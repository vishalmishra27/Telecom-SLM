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00000000-0000-0000-0000-000000000000}"/>
  <workbookPr codeName="ThisWorkbook"/>
  <mc:AlternateContent xmlns:mc="http://schemas.openxmlformats.org/markup-compatibility/2006">
    <mc:Choice Requires="x15">
      <x15ac:absPath xmlns:x15ac="http://schemas.microsoft.com/office/spreadsheetml/2010/11/ac" url="https://kpmgindia365-my.sharepoint.com/personal/shobhitpatodia_kpmg_com/Documents/Airtel Data/"/>
    </mc:Choice>
  </mc:AlternateContent>
  <xr:revisionPtr revIDLastSave="0" documentId="8_{0D88B2E5-3DD9-42EA-8286-EB38F54E5939}" xr6:coauthVersionLast="47" xr6:coauthVersionMax="47" xr10:uidLastSave="{00000000-0000-0000-0000-000000000000}"/>
  <bookViews>
    <workbookView xWindow="-110" yWindow="-110" windowWidth="19420" windowHeight="11500" xr2:uid="{00000000-000D-0000-FFFF-FFFF00000000}"/>
  </bookViews>
  <sheets>
    <sheet name="Daily Operations Testimony" sheetId="1" r:id="rId1"/>
    <sheet name="Sheet1" sheetId="2" state="hidden" r:id="rId2"/>
    <sheet name="List" sheetId="3" state="hidden" r:id="rId3"/>
  </sheets>
  <definedNames>
    <definedName name="_xlnm._FilterDatabase" localSheetId="0" hidden="1">'Daily Operations Testimony'!$A$1:$AP$999</definedName>
    <definedName name="ABGB">Table2[ABGB]</definedName>
    <definedName name="AIOps">Table226[AIOps]</definedName>
    <definedName name="Airtel_PaymentBank">Table44[Airtel_PaymentBank]</definedName>
    <definedName name="AirtelIQ">Table42[AirtelIQ]</definedName>
    <definedName name="AirtelPaymentBank">Table44[Airtel_PaymentBank]</definedName>
    <definedName name="AlertCategory">Table30[AlertCategory]</definedName>
    <definedName name="Analytics">List!$H$2:$H$5</definedName>
    <definedName name="Application">#REF!</definedName>
    <definedName name="ApplicationName">List!$A$2:$A$611</definedName>
    <definedName name="Avoidance">Table34[CategoryNew]</definedName>
    <definedName name="Broadband">Table20[Broadband]</definedName>
    <definedName name="CaseNInteraction">Table4[CaseNInteraction]</definedName>
    <definedName name="Category">Table33[Category]</definedName>
    <definedName name="CategoryNew">Table34[CategoryNew]</definedName>
    <definedName name="CCT">Table4[CCT]</definedName>
    <definedName name="Change">Table51[Change]</definedName>
    <definedName name="DCInfra">Table5[DC Infra]</definedName>
    <definedName name="DCNetwork">Table7[DCNetwork]</definedName>
    <definedName name="DeviceManagement">Table23[DeviceManagemet]</definedName>
    <definedName name="DigitalAcquisition">Table8[DigitalAcquisition]</definedName>
    <definedName name="DigitalAcquisitionOps">Table8[DigitalAcquisition]</definedName>
    <definedName name="DigitalExperienceB2B">Table9[DigitalExperienceB2B]</definedName>
    <definedName name="DigitalExperienceB2C">Table10[DigitalExperienceB2C]</definedName>
    <definedName name="Domain">List!$B$2:$B$200</definedName>
    <definedName name="DTH">Table11[DTH]</definedName>
    <definedName name="HowAvoided">Table34[CategoryNew]</definedName>
    <definedName name="iFactory">Table12[iFactory]</definedName>
    <definedName name="ImpactedBusinessService">Table28[ImpactedBusinessService]</definedName>
    <definedName name="ImpactingLOB">Table1[ImpactingLOB]</definedName>
    <definedName name="IncidentType">Table24[IncidentType]</definedName>
    <definedName name="InfraIssue">Table52[Infra Issue]</definedName>
    <definedName name="Integration">Table13[Integration]</definedName>
    <definedName name="IntOps">Table14[IntOps]</definedName>
    <definedName name="iOT">Table15[iOT]</definedName>
    <definedName name="IssueType">Table36[IssueType]</definedName>
    <definedName name="Journey">Table28[ImpactedBusinessService]</definedName>
    <definedName name="LOB">Table1[ImpactingLOB]</definedName>
    <definedName name="Location">Table29[Location]</definedName>
    <definedName name="Month">Table32[Month]</definedName>
    <definedName name="NA">Table55[NA]</definedName>
    <definedName name="NetworkDigitization">Table16[NetworkDigitization]</definedName>
    <definedName name="NSG">Table43[NSG]</definedName>
    <definedName name="Nxtra">Table44[Nxtra]</definedName>
    <definedName name="PaymentBank">Table41[PaymentBank]</definedName>
    <definedName name="Postpaid">Table17[Postpaid]</definedName>
    <definedName name="Prepaid">Table18[Prepaid]</definedName>
    <definedName name="PriorityMatrix">Table39[PriorityMatrix]</definedName>
    <definedName name="ProcessandHygiene">Table50[ProcessandHygiene]</definedName>
    <definedName name="ProductIssue">Table53[Product Issue]</definedName>
    <definedName name="RCAStatus">Table27[RCAStatus]</definedName>
    <definedName name="RepeatIssue">Table37[Repeat]</definedName>
    <definedName name="Security">Table19[Security]</definedName>
    <definedName name="Servicepath">Table28[ImpactedBusinessService]</definedName>
    <definedName name="Sev">Table26[Severity]</definedName>
    <definedName name="Severity">Table26[[#Headers],[Severity]]</definedName>
    <definedName name="SeverityEventTicket">Table31[SeverityEventTicket]</definedName>
    <definedName name="SeverityType">Table26[Severity]</definedName>
    <definedName name="Status">Table38[Status]</definedName>
    <definedName name="SupportingPartner">Table35[SupportingPartner]</definedName>
    <definedName name="Telemedia">Table20[Broadband]</definedName>
    <definedName name="ThirdParty">Table54[Third Party]</definedName>
    <definedName name="UNOC">Table21[UNOC]</definedName>
    <definedName name="WYNK">Table22[Wynk]</definedName>
    <definedName name="Xstream">Table44[Xstream]</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J7" i="3" l="1" a="1"/>
  <c r="BJ7" i="3" s="1"/>
  <c r="BJ6" i="3" a="1"/>
  <c r="BJ6" i="3" s="1"/>
  <c r="BJ5" i="3" a="1"/>
  <c r="BJ5" i="3"/>
  <c r="BJ4" i="3" a="1"/>
  <c r="BJ4" i="3"/>
  <c r="BJ3" i="3" a="1"/>
  <c r="BJ3" i="3" s="1"/>
  <c r="BJ2" i="3" a="1"/>
  <c r="BJ2" i="3" s="1"/>
  <c r="N999" i="1"/>
  <c r="AP999" i="1" s="1"/>
  <c r="AP998" i="1"/>
  <c r="N998" i="1"/>
  <c r="AP997" i="1"/>
  <c r="N997" i="1"/>
  <c r="N996" i="1"/>
  <c r="AP996" i="1" s="1"/>
  <c r="N995" i="1"/>
  <c r="AP995" i="1" s="1"/>
  <c r="AP994" i="1"/>
  <c r="N994" i="1"/>
  <c r="AP993" i="1"/>
  <c r="N993" i="1"/>
  <c r="N992" i="1"/>
  <c r="AP992" i="1" s="1"/>
  <c r="AP991" i="1"/>
  <c r="N991" i="1"/>
  <c r="AP990" i="1"/>
  <c r="N990" i="1"/>
  <c r="N989" i="1"/>
  <c r="AP989" i="1" s="1"/>
  <c r="N988" i="1"/>
  <c r="AP988" i="1" s="1"/>
  <c r="AP987" i="1"/>
  <c r="N987" i="1"/>
  <c r="AP986" i="1"/>
  <c r="N986" i="1"/>
  <c r="AP985" i="1"/>
  <c r="N985" i="1"/>
  <c r="AP984" i="1"/>
  <c r="N984" i="1"/>
  <c r="AP983" i="1"/>
  <c r="N983" i="1"/>
  <c r="N982" i="1"/>
  <c r="AP982" i="1" s="1"/>
  <c r="N981" i="1"/>
  <c r="AP981" i="1" s="1"/>
  <c r="AP980" i="1"/>
  <c r="N980" i="1"/>
  <c r="AP979" i="1"/>
  <c r="N979" i="1"/>
  <c r="AP978" i="1"/>
  <c r="N978" i="1"/>
  <c r="AP977" i="1"/>
  <c r="N977" i="1"/>
  <c r="AP976" i="1"/>
  <c r="N976" i="1"/>
  <c r="N975" i="1"/>
  <c r="AP975" i="1" s="1"/>
  <c r="N974" i="1"/>
  <c r="AP974" i="1" s="1"/>
  <c r="AP973" i="1"/>
  <c r="N973" i="1"/>
  <c r="AP972" i="1"/>
  <c r="N972" i="1"/>
  <c r="AP971" i="1"/>
  <c r="N971" i="1"/>
  <c r="AP970" i="1"/>
  <c r="N970" i="1"/>
  <c r="AP969" i="1"/>
  <c r="N969" i="1"/>
  <c r="N968" i="1"/>
  <c r="AP968" i="1" s="1"/>
  <c r="N967" i="1"/>
  <c r="AP967" i="1" s="1"/>
  <c r="AP966" i="1"/>
  <c r="N966" i="1"/>
  <c r="AP965" i="1"/>
  <c r="N965" i="1"/>
  <c r="N964" i="1"/>
  <c r="AP964" i="1" s="1"/>
  <c r="AP963" i="1"/>
  <c r="N963" i="1"/>
  <c r="AP962" i="1"/>
  <c r="N962" i="1"/>
  <c r="N961" i="1"/>
  <c r="AP961" i="1" s="1"/>
  <c r="N960" i="1"/>
  <c r="AP960" i="1" s="1"/>
  <c r="AP959" i="1"/>
  <c r="N959" i="1"/>
  <c r="AP958" i="1"/>
  <c r="N958" i="1"/>
  <c r="N957" i="1"/>
  <c r="AP957" i="1" s="1"/>
  <c r="AP956" i="1"/>
  <c r="N956" i="1"/>
  <c r="AP955" i="1"/>
  <c r="N955" i="1"/>
  <c r="N954" i="1"/>
  <c r="AP954" i="1" s="1"/>
  <c r="N953" i="1"/>
  <c r="AP953" i="1" s="1"/>
  <c r="AP952" i="1"/>
  <c r="N952" i="1"/>
  <c r="AP951" i="1"/>
  <c r="N951" i="1"/>
  <c r="N950" i="1"/>
  <c r="AP950" i="1" s="1"/>
  <c r="AP949" i="1"/>
  <c r="N949" i="1"/>
  <c r="AP948" i="1"/>
  <c r="N948" i="1"/>
  <c r="N947" i="1"/>
  <c r="AP947" i="1" s="1"/>
  <c r="N946" i="1"/>
  <c r="AP946" i="1" s="1"/>
  <c r="AP945" i="1"/>
  <c r="N945" i="1"/>
  <c r="AP944" i="1"/>
  <c r="N944" i="1"/>
  <c r="N943" i="1"/>
  <c r="AP943" i="1" s="1"/>
  <c r="AP942" i="1"/>
  <c r="N942" i="1"/>
  <c r="AP941" i="1"/>
  <c r="N941" i="1"/>
  <c r="N940" i="1"/>
  <c r="AP940" i="1" s="1"/>
  <c r="N939" i="1"/>
  <c r="AP939" i="1" s="1"/>
  <c r="AP938" i="1"/>
  <c r="N938" i="1"/>
  <c r="AP937" i="1"/>
  <c r="N937" i="1"/>
  <c r="AP936" i="1"/>
  <c r="N936" i="1"/>
  <c r="AP935" i="1"/>
  <c r="N935" i="1"/>
  <c r="AP934" i="1"/>
  <c r="N934" i="1"/>
  <c r="N933" i="1"/>
  <c r="AP933" i="1" s="1"/>
  <c r="N932" i="1"/>
  <c r="AP932" i="1" s="1"/>
  <c r="AP931" i="1"/>
  <c r="N931" i="1"/>
  <c r="AP930" i="1"/>
  <c r="N930" i="1"/>
  <c r="AP929" i="1"/>
  <c r="N929" i="1"/>
  <c r="AP928" i="1"/>
  <c r="N928" i="1"/>
  <c r="AP927" i="1"/>
  <c r="N927" i="1"/>
  <c r="N926" i="1"/>
  <c r="AP926" i="1" s="1"/>
  <c r="N925" i="1"/>
  <c r="AP925" i="1" s="1"/>
  <c r="AP924" i="1"/>
  <c r="N924" i="1"/>
  <c r="AP923" i="1"/>
  <c r="N923" i="1"/>
  <c r="AP922" i="1"/>
  <c r="N922" i="1"/>
  <c r="AP921" i="1"/>
  <c r="N921" i="1"/>
  <c r="AP920" i="1"/>
  <c r="N920" i="1"/>
  <c r="N919" i="1"/>
  <c r="AP919" i="1" s="1"/>
  <c r="N918" i="1"/>
  <c r="AP918" i="1" s="1"/>
  <c r="AP917" i="1"/>
  <c r="N917" i="1"/>
  <c r="AP916" i="1"/>
  <c r="N916" i="1"/>
  <c r="N915" i="1"/>
  <c r="AP915" i="1" s="1"/>
  <c r="AP914" i="1"/>
  <c r="N914" i="1"/>
  <c r="AP913" i="1"/>
  <c r="N913" i="1"/>
  <c r="N912" i="1"/>
  <c r="AP912" i="1" s="1"/>
  <c r="N911" i="1"/>
  <c r="AP911" i="1" s="1"/>
  <c r="AP910" i="1"/>
  <c r="N910" i="1"/>
  <c r="AP909" i="1"/>
  <c r="N909" i="1"/>
  <c r="AP908" i="1"/>
  <c r="N908" i="1"/>
  <c r="AP907" i="1"/>
  <c r="N907" i="1"/>
  <c r="AP906" i="1"/>
  <c r="N906" i="1"/>
  <c r="N905" i="1"/>
  <c r="AP905" i="1" s="1"/>
  <c r="N904" i="1"/>
  <c r="AP904" i="1" s="1"/>
  <c r="AP903" i="1"/>
  <c r="N903" i="1"/>
  <c r="AP902" i="1"/>
  <c r="N902" i="1"/>
  <c r="N901" i="1"/>
  <c r="AP901" i="1" s="1"/>
  <c r="AP900" i="1"/>
  <c r="N900" i="1"/>
  <c r="AP899" i="1"/>
  <c r="N899" i="1"/>
  <c r="N898" i="1"/>
  <c r="AP898" i="1" s="1"/>
  <c r="N897" i="1"/>
  <c r="AP897" i="1" s="1"/>
  <c r="AP896" i="1"/>
  <c r="N896" i="1"/>
  <c r="AP895" i="1"/>
  <c r="N895" i="1"/>
  <c r="N894" i="1"/>
  <c r="AP894" i="1" s="1"/>
  <c r="AP893" i="1"/>
  <c r="N893" i="1"/>
  <c r="AP892" i="1"/>
  <c r="N892" i="1"/>
  <c r="N891" i="1"/>
  <c r="AP891" i="1" s="1"/>
  <c r="N890" i="1"/>
  <c r="AP890" i="1" s="1"/>
  <c r="AP889" i="1"/>
  <c r="N889" i="1"/>
  <c r="AP888" i="1"/>
  <c r="N888" i="1"/>
  <c r="AP887" i="1"/>
  <c r="N887" i="1"/>
  <c r="AP886" i="1"/>
  <c r="N886" i="1"/>
  <c r="AP885" i="1"/>
  <c r="N885" i="1"/>
  <c r="N884" i="1"/>
  <c r="AP884" i="1" s="1"/>
  <c r="N883" i="1"/>
  <c r="AP883" i="1" s="1"/>
  <c r="AP882" i="1"/>
  <c r="N882" i="1"/>
  <c r="AP881" i="1"/>
  <c r="N881" i="1"/>
  <c r="AP880" i="1"/>
  <c r="N880" i="1"/>
  <c r="AP879" i="1"/>
  <c r="N879" i="1"/>
  <c r="AP878" i="1"/>
  <c r="N878" i="1"/>
  <c r="N877" i="1"/>
  <c r="AP877" i="1" s="1"/>
  <c r="N876" i="1"/>
  <c r="AP876" i="1" s="1"/>
  <c r="AP875" i="1"/>
  <c r="N875" i="1"/>
  <c r="AP874" i="1"/>
  <c r="N874" i="1"/>
  <c r="AP873" i="1"/>
  <c r="N873" i="1"/>
  <c r="AP872" i="1"/>
  <c r="N872" i="1"/>
  <c r="AP871" i="1"/>
  <c r="N871" i="1"/>
  <c r="N870" i="1"/>
  <c r="AP870" i="1" s="1"/>
  <c r="N869" i="1"/>
  <c r="AP869" i="1" s="1"/>
  <c r="AP868" i="1"/>
  <c r="N868" i="1"/>
  <c r="AP867" i="1"/>
  <c r="N867" i="1"/>
  <c r="N866" i="1"/>
  <c r="AP866" i="1" s="1"/>
  <c r="AP865" i="1"/>
  <c r="N865" i="1"/>
  <c r="AP864" i="1"/>
  <c r="N864" i="1"/>
  <c r="N863" i="1"/>
  <c r="AP863" i="1" s="1"/>
  <c r="N862" i="1"/>
  <c r="AP862" i="1" s="1"/>
  <c r="AP861" i="1"/>
  <c r="N861" i="1"/>
  <c r="AP860" i="1"/>
  <c r="N860" i="1"/>
  <c r="AP859" i="1"/>
  <c r="N859" i="1"/>
  <c r="AP858" i="1"/>
  <c r="N858" i="1"/>
  <c r="AP857" i="1"/>
  <c r="N857" i="1"/>
  <c r="N856" i="1"/>
  <c r="AP856" i="1" s="1"/>
  <c r="N855" i="1"/>
  <c r="AP855" i="1" s="1"/>
  <c r="AP854" i="1"/>
  <c r="N853" i="1"/>
  <c r="AP853" i="1" s="1"/>
  <c r="N852" i="1"/>
  <c r="AP852" i="1" s="1"/>
  <c r="AP851" i="1"/>
  <c r="N851" i="1"/>
  <c r="N850" i="1"/>
  <c r="AP850" i="1" s="1"/>
  <c r="N849" i="1"/>
  <c r="AP849" i="1" s="1"/>
  <c r="AP848" i="1"/>
  <c r="N848" i="1"/>
  <c r="N847" i="1"/>
  <c r="AP847" i="1" s="1"/>
  <c r="N846" i="1"/>
  <c r="AP846" i="1" s="1"/>
  <c r="N845" i="1"/>
  <c r="AP845" i="1" s="1"/>
  <c r="N844" i="1"/>
  <c r="AP844" i="1" s="1"/>
  <c r="N843" i="1"/>
  <c r="AP843" i="1" s="1"/>
  <c r="N842" i="1"/>
  <c r="AP842" i="1" s="1"/>
  <c r="AP841" i="1"/>
  <c r="N841" i="1"/>
  <c r="AP840" i="1"/>
  <c r="N840" i="1"/>
  <c r="N839" i="1"/>
  <c r="AP839" i="1" s="1"/>
  <c r="N838" i="1"/>
  <c r="AP838" i="1" s="1"/>
  <c r="N837" i="1"/>
  <c r="AP837" i="1" s="1"/>
  <c r="N836" i="1"/>
  <c r="AP836" i="1" s="1"/>
  <c r="N835" i="1"/>
  <c r="AP835" i="1" s="1"/>
  <c r="AP834" i="1"/>
  <c r="N834" i="1"/>
  <c r="N833" i="1"/>
  <c r="AP833" i="1" s="1"/>
  <c r="N832" i="1"/>
  <c r="AP832" i="1" s="1"/>
  <c r="N831" i="1"/>
  <c r="AP831" i="1" s="1"/>
  <c r="AP830" i="1"/>
  <c r="N830" i="1"/>
  <c r="N829" i="1"/>
  <c r="AP829" i="1" s="1"/>
  <c r="N828" i="1"/>
  <c r="AP828" i="1" s="1"/>
  <c r="AP827" i="1"/>
  <c r="N827" i="1"/>
  <c r="N826" i="1"/>
  <c r="AP826" i="1" s="1"/>
  <c r="N825" i="1"/>
  <c r="AP825" i="1" s="1"/>
  <c r="N824" i="1"/>
  <c r="AP824" i="1" s="1"/>
  <c r="N823" i="1"/>
  <c r="AP823" i="1" s="1"/>
  <c r="N822" i="1"/>
  <c r="AP822" i="1" s="1"/>
  <c r="N821" i="1"/>
  <c r="AP821" i="1" s="1"/>
  <c r="AP820" i="1"/>
  <c r="N820" i="1"/>
  <c r="N819" i="1"/>
  <c r="AP819" i="1" s="1"/>
  <c r="N818" i="1"/>
  <c r="AP818" i="1" s="1"/>
  <c r="N817" i="1"/>
  <c r="AP817" i="1" s="1"/>
  <c r="N816" i="1"/>
  <c r="AP816" i="1" s="1"/>
  <c r="N815" i="1"/>
  <c r="AP815" i="1" s="1"/>
  <c r="N814" i="1"/>
  <c r="AP814" i="1" s="1"/>
  <c r="AP813" i="1"/>
  <c r="N813" i="1"/>
  <c r="AP812" i="1"/>
  <c r="N812" i="1"/>
  <c r="N811" i="1"/>
  <c r="AP811" i="1" s="1"/>
  <c r="N810" i="1"/>
  <c r="AP810" i="1" s="1"/>
  <c r="N809" i="1"/>
  <c r="AP809" i="1" s="1"/>
  <c r="N808" i="1"/>
  <c r="AP808" i="1" s="1"/>
  <c r="N807" i="1"/>
  <c r="AP807" i="1" s="1"/>
  <c r="AP806" i="1"/>
  <c r="N806" i="1"/>
  <c r="N805" i="1"/>
  <c r="AP805" i="1" s="1"/>
  <c r="N804" i="1"/>
  <c r="AP804" i="1" s="1"/>
  <c r="N803" i="1"/>
  <c r="AP803" i="1" s="1"/>
  <c r="AP802" i="1"/>
  <c r="N802" i="1"/>
  <c r="N801" i="1"/>
  <c r="AP801" i="1" s="1"/>
  <c r="N800" i="1"/>
  <c r="AP800" i="1" s="1"/>
  <c r="AP799" i="1"/>
  <c r="N799" i="1"/>
  <c r="N798" i="1"/>
  <c r="AP798" i="1" s="1"/>
  <c r="N797" i="1"/>
  <c r="AP797" i="1" s="1"/>
  <c r="N796" i="1"/>
  <c r="AP796" i="1" s="1"/>
  <c r="N795" i="1"/>
  <c r="AP795" i="1" s="1"/>
  <c r="N794" i="1"/>
  <c r="AP794" i="1" s="1"/>
  <c r="N793" i="1"/>
  <c r="AP793" i="1" s="1"/>
  <c r="AP792" i="1"/>
  <c r="N792" i="1"/>
  <c r="AP791" i="1"/>
  <c r="N791" i="1"/>
  <c r="N790" i="1"/>
  <c r="AP790" i="1" s="1"/>
  <c r="N789" i="1"/>
  <c r="AP789" i="1" s="1"/>
  <c r="N788" i="1"/>
  <c r="AP788" i="1" s="1"/>
  <c r="N787" i="1"/>
  <c r="AP787" i="1" s="1"/>
  <c r="N786" i="1"/>
  <c r="AP786" i="1" s="1"/>
  <c r="AP785" i="1"/>
  <c r="N785" i="1"/>
  <c r="N784" i="1"/>
  <c r="AP784" i="1" s="1"/>
  <c r="N783" i="1"/>
  <c r="AP783" i="1" s="1"/>
  <c r="N782" i="1"/>
  <c r="AP782" i="1" s="1"/>
  <c r="AP781" i="1"/>
  <c r="N781" i="1"/>
  <c r="N780" i="1"/>
  <c r="AP780" i="1" s="1"/>
  <c r="N779" i="1"/>
  <c r="AP779" i="1" s="1"/>
  <c r="AP778" i="1"/>
  <c r="N778" i="1"/>
  <c r="N777" i="1"/>
  <c r="AP777" i="1" s="1"/>
  <c r="N776" i="1"/>
  <c r="AP776" i="1" s="1"/>
  <c r="N775" i="1"/>
  <c r="AP775" i="1" s="1"/>
  <c r="N774" i="1"/>
  <c r="AP774" i="1" s="1"/>
  <c r="N773" i="1"/>
  <c r="AP773" i="1" s="1"/>
  <c r="N772" i="1"/>
  <c r="AP772" i="1" s="1"/>
  <c r="AP771" i="1"/>
  <c r="N771" i="1"/>
  <c r="N770" i="1"/>
  <c r="AP770" i="1" s="1"/>
  <c r="N769" i="1"/>
  <c r="AP769" i="1" s="1"/>
  <c r="N768" i="1"/>
  <c r="AP768" i="1" s="1"/>
  <c r="N767" i="1"/>
  <c r="AP767" i="1" s="1"/>
  <c r="N766" i="1"/>
  <c r="AP766" i="1" s="1"/>
  <c r="N765" i="1"/>
  <c r="AP765" i="1" s="1"/>
  <c r="AP764" i="1"/>
  <c r="N764" i="1"/>
  <c r="AP763" i="1"/>
  <c r="N763" i="1"/>
  <c r="N762" i="1"/>
  <c r="AP762" i="1" s="1"/>
  <c r="N761" i="1"/>
  <c r="AP761" i="1" s="1"/>
  <c r="N760" i="1"/>
  <c r="AP760" i="1" s="1"/>
  <c r="N759" i="1"/>
  <c r="AP759" i="1" s="1"/>
  <c r="N758" i="1"/>
  <c r="AP758" i="1" s="1"/>
  <c r="N757" i="1"/>
  <c r="AP757" i="1" s="1"/>
  <c r="N756" i="1"/>
  <c r="AP756" i="1" s="1"/>
  <c r="N755" i="1"/>
  <c r="AP755" i="1" s="1"/>
  <c r="N754" i="1"/>
  <c r="AP754" i="1" s="1"/>
  <c r="AP753" i="1"/>
  <c r="N753" i="1"/>
  <c r="N752" i="1"/>
  <c r="AP752" i="1" s="1"/>
  <c r="N751" i="1"/>
  <c r="AP751" i="1" s="1"/>
  <c r="N750" i="1"/>
  <c r="AP750" i="1" s="1"/>
  <c r="N749" i="1"/>
  <c r="AP749" i="1" s="1"/>
  <c r="N748" i="1"/>
  <c r="AP748" i="1" s="1"/>
  <c r="N747" i="1"/>
  <c r="AP747" i="1" s="1"/>
  <c r="N746" i="1"/>
  <c r="AP746" i="1" s="1"/>
  <c r="N745" i="1"/>
  <c r="AP745" i="1" s="1"/>
  <c r="N744" i="1"/>
  <c r="AP744" i="1" s="1"/>
  <c r="AP743" i="1"/>
  <c r="N743" i="1"/>
  <c r="AP742" i="1"/>
  <c r="N742" i="1"/>
  <c r="N741" i="1"/>
  <c r="AP741" i="1" s="1"/>
  <c r="N740" i="1"/>
  <c r="AP740" i="1" s="1"/>
  <c r="N739" i="1"/>
  <c r="AP739" i="1" s="1"/>
  <c r="N738" i="1"/>
  <c r="AP738" i="1" s="1"/>
  <c r="N737" i="1"/>
  <c r="AP737" i="1" s="1"/>
  <c r="N736" i="1"/>
  <c r="AP736" i="1" s="1"/>
  <c r="N735" i="1"/>
  <c r="AP735" i="1" s="1"/>
  <c r="N734" i="1"/>
  <c r="AP734" i="1" s="1"/>
  <c r="N733" i="1"/>
  <c r="AP733" i="1" s="1"/>
  <c r="AP732" i="1"/>
  <c r="N732" i="1"/>
  <c r="N731" i="1"/>
  <c r="AP731" i="1" s="1"/>
  <c r="N730" i="1"/>
  <c r="AP730" i="1" s="1"/>
  <c r="N729" i="1"/>
  <c r="AP729" i="1" s="1"/>
  <c r="AP728" i="1"/>
  <c r="N728" i="1"/>
  <c r="N727" i="1"/>
  <c r="AP727" i="1" s="1"/>
  <c r="N726" i="1"/>
  <c r="AP726" i="1" s="1"/>
  <c r="N725" i="1"/>
  <c r="AP725" i="1" s="1"/>
  <c r="N724" i="1"/>
  <c r="AP724" i="1" s="1"/>
  <c r="N723" i="1"/>
  <c r="AP723" i="1" s="1"/>
  <c r="AP722" i="1"/>
  <c r="N722" i="1"/>
  <c r="N721" i="1"/>
  <c r="AP721" i="1" s="1"/>
  <c r="N720" i="1"/>
  <c r="AP720" i="1" s="1"/>
  <c r="N719" i="1"/>
  <c r="AP719" i="1" s="1"/>
  <c r="AP718" i="1"/>
  <c r="N718" i="1"/>
  <c r="N717" i="1"/>
  <c r="AP717" i="1" s="1"/>
  <c r="N716" i="1"/>
  <c r="AP716" i="1" s="1"/>
  <c r="N715" i="1"/>
  <c r="AP715" i="1" s="1"/>
  <c r="AP714" i="1"/>
  <c r="N714" i="1"/>
  <c r="N713" i="1"/>
  <c r="AP713" i="1" s="1"/>
  <c r="N712" i="1"/>
  <c r="AP712" i="1" s="1"/>
  <c r="N711" i="1"/>
  <c r="AP711" i="1" s="1"/>
  <c r="N710" i="1"/>
  <c r="AP710" i="1" s="1"/>
  <c r="N709" i="1"/>
  <c r="AP709" i="1" s="1"/>
  <c r="AP708" i="1"/>
  <c r="N708" i="1"/>
  <c r="N707" i="1"/>
  <c r="AP707" i="1" s="1"/>
  <c r="N706" i="1"/>
  <c r="AP706" i="1" s="1"/>
  <c r="N705" i="1"/>
  <c r="AP705" i="1" s="1"/>
  <c r="AP704" i="1"/>
  <c r="N704" i="1"/>
  <c r="N703" i="1"/>
  <c r="AP703" i="1" s="1"/>
  <c r="N702" i="1"/>
  <c r="AP702" i="1" s="1"/>
  <c r="N701" i="1"/>
  <c r="AP701" i="1" s="1"/>
  <c r="N700" i="1"/>
  <c r="AP700" i="1" s="1"/>
  <c r="N699" i="1"/>
  <c r="AP699" i="1" s="1"/>
  <c r="N698" i="1"/>
  <c r="AP698" i="1" s="1"/>
  <c r="N697" i="1"/>
  <c r="AP697" i="1" s="1"/>
  <c r="N696" i="1"/>
  <c r="AP696" i="1" s="1"/>
  <c r="N695" i="1"/>
  <c r="AP695" i="1" s="1"/>
  <c r="AP694" i="1"/>
  <c r="N694" i="1"/>
  <c r="AP693" i="1"/>
  <c r="N693" i="1"/>
  <c r="N692" i="1"/>
  <c r="AP692" i="1" s="1"/>
  <c r="N691" i="1"/>
  <c r="AP691" i="1" s="1"/>
  <c r="N690" i="1"/>
  <c r="AP690" i="1" s="1"/>
  <c r="N689" i="1"/>
  <c r="AP689" i="1" s="1"/>
  <c r="N688" i="1"/>
  <c r="AP688" i="1" s="1"/>
  <c r="N687" i="1"/>
  <c r="AP687" i="1" s="1"/>
  <c r="N686" i="1"/>
  <c r="AP686" i="1" s="1"/>
  <c r="N685" i="1"/>
  <c r="AP685" i="1" s="1"/>
  <c r="N684" i="1"/>
  <c r="AP684" i="1" s="1"/>
  <c r="AP683" i="1"/>
  <c r="N683" i="1"/>
  <c r="N682" i="1"/>
  <c r="AP682" i="1" s="1"/>
  <c r="N681" i="1"/>
  <c r="AP681" i="1" s="1"/>
  <c r="N680" i="1"/>
  <c r="AP680" i="1" s="1"/>
  <c r="AP679" i="1"/>
  <c r="N679" i="1"/>
  <c r="N678" i="1"/>
  <c r="AP678" i="1" s="1"/>
  <c r="N677" i="1"/>
  <c r="AP677" i="1" s="1"/>
  <c r="N676" i="1"/>
  <c r="AP676" i="1" s="1"/>
  <c r="N675" i="1"/>
  <c r="AP675" i="1" s="1"/>
  <c r="N674" i="1"/>
  <c r="AP674" i="1" s="1"/>
  <c r="AP673" i="1"/>
  <c r="N673" i="1"/>
  <c r="N672" i="1"/>
  <c r="AP672" i="1" s="1"/>
  <c r="N671" i="1"/>
  <c r="AP671" i="1" s="1"/>
  <c r="N670" i="1"/>
  <c r="AP670" i="1" s="1"/>
  <c r="AP669" i="1"/>
  <c r="N669" i="1"/>
  <c r="N668" i="1"/>
  <c r="AP668" i="1" s="1"/>
  <c r="N667" i="1"/>
  <c r="AP667" i="1" s="1"/>
  <c r="N666" i="1"/>
  <c r="AP666" i="1" s="1"/>
  <c r="N665" i="1"/>
  <c r="AP665" i="1" s="1"/>
  <c r="N664" i="1"/>
  <c r="AP664" i="1" s="1"/>
  <c r="N663" i="1"/>
  <c r="AP663" i="1" s="1"/>
  <c r="N662" i="1"/>
  <c r="AP662" i="1" s="1"/>
  <c r="N661" i="1"/>
  <c r="AP661" i="1" s="1"/>
  <c r="N660" i="1"/>
  <c r="AP660" i="1" s="1"/>
  <c r="N659" i="1"/>
  <c r="AP659" i="1" s="1"/>
  <c r="N658" i="1"/>
  <c r="AP658" i="1" s="1"/>
  <c r="N657" i="1"/>
  <c r="AP657" i="1" s="1"/>
  <c r="N656" i="1"/>
  <c r="AP656" i="1" s="1"/>
  <c r="AP655" i="1"/>
  <c r="N655" i="1"/>
  <c r="N654" i="1"/>
  <c r="AP654" i="1" s="1"/>
  <c r="N653" i="1"/>
  <c r="AP653" i="1" s="1"/>
  <c r="N652" i="1"/>
  <c r="AP652" i="1" s="1"/>
  <c r="AP651" i="1"/>
  <c r="N651" i="1"/>
  <c r="N650" i="1"/>
  <c r="AP650" i="1" s="1"/>
  <c r="N649" i="1"/>
  <c r="AP649" i="1" s="1"/>
  <c r="AP648" i="1"/>
  <c r="N648" i="1"/>
  <c r="N647" i="1"/>
  <c r="AP647" i="1" s="1"/>
  <c r="N646" i="1"/>
  <c r="AP646" i="1" s="1"/>
  <c r="N645" i="1"/>
  <c r="AP645" i="1" s="1"/>
  <c r="N644" i="1"/>
  <c r="AP644" i="1" s="1"/>
  <c r="N643" i="1"/>
  <c r="AP643" i="1" s="1"/>
  <c r="AP642" i="1"/>
  <c r="N642" i="1"/>
  <c r="AP641" i="1"/>
  <c r="N641" i="1"/>
  <c r="N640" i="1"/>
  <c r="AP640" i="1" s="1"/>
  <c r="N639" i="1"/>
  <c r="AP639" i="1" s="1"/>
  <c r="N638" i="1"/>
  <c r="AP638" i="1" s="1"/>
  <c r="AP637" i="1"/>
  <c r="N637" i="1"/>
  <c r="N636" i="1"/>
  <c r="AP636" i="1" s="1"/>
  <c r="N635" i="1"/>
  <c r="AP635" i="1" s="1"/>
  <c r="AP634" i="1"/>
  <c r="N634" i="1"/>
  <c r="N633" i="1"/>
  <c r="AP633" i="1" s="1"/>
  <c r="N632" i="1"/>
  <c r="AP632" i="1" s="1"/>
  <c r="N631" i="1"/>
  <c r="AP631" i="1" s="1"/>
  <c r="AP630" i="1"/>
  <c r="N630" i="1"/>
  <c r="N629" i="1"/>
  <c r="AP629" i="1" s="1"/>
  <c r="AP628" i="1"/>
  <c r="N628" i="1"/>
  <c r="N627" i="1"/>
  <c r="AP627" i="1" s="1"/>
  <c r="N626" i="1"/>
  <c r="AP626" i="1" s="1"/>
  <c r="N625" i="1"/>
  <c r="AP625" i="1" s="1"/>
  <c r="AP624" i="1"/>
  <c r="N624" i="1"/>
  <c r="AP623" i="1"/>
  <c r="N623" i="1"/>
  <c r="N622" i="1"/>
  <c r="AP622" i="1" s="1"/>
  <c r="AP621" i="1"/>
  <c r="N621" i="1"/>
  <c r="AP620" i="1"/>
  <c r="N620" i="1"/>
  <c r="N619" i="1"/>
  <c r="AP619" i="1" s="1"/>
  <c r="N618" i="1"/>
  <c r="AP618" i="1" s="1"/>
  <c r="N617" i="1"/>
  <c r="AP617" i="1" s="1"/>
  <c r="AP616" i="1"/>
  <c r="N616" i="1"/>
  <c r="N615" i="1"/>
  <c r="AP615" i="1" s="1"/>
  <c r="AP614" i="1"/>
  <c r="N614" i="1"/>
  <c r="N613" i="1"/>
  <c r="AP613" i="1" s="1"/>
  <c r="N612" i="1"/>
  <c r="AP612" i="1" s="1"/>
  <c r="N611" i="1"/>
  <c r="AP611" i="1" s="1"/>
  <c r="AP610" i="1"/>
  <c r="N610" i="1"/>
  <c r="N609" i="1"/>
  <c r="AP609" i="1" s="1"/>
  <c r="N608" i="1"/>
  <c r="AP608" i="1" s="1"/>
  <c r="AP607" i="1"/>
  <c r="N607" i="1"/>
  <c r="N606" i="1"/>
  <c r="AP606" i="1" s="1"/>
  <c r="N605" i="1"/>
  <c r="AP605" i="1" s="1"/>
  <c r="N604" i="1"/>
  <c r="AP604" i="1" s="1"/>
  <c r="AP603" i="1"/>
  <c r="N603" i="1"/>
  <c r="AP602" i="1"/>
  <c r="N602" i="1"/>
  <c r="N601" i="1"/>
  <c r="AP601" i="1" s="1"/>
  <c r="N600" i="1"/>
  <c r="AP600" i="1" s="1"/>
  <c r="AP599" i="1"/>
  <c r="N599" i="1"/>
  <c r="N598" i="1"/>
  <c r="AP598" i="1" s="1"/>
  <c r="N597" i="1"/>
  <c r="AP597" i="1" s="1"/>
  <c r="AP596" i="1"/>
  <c r="N596" i="1"/>
  <c r="N595" i="1"/>
  <c r="AP595" i="1" s="1"/>
  <c r="N594" i="1"/>
  <c r="AP594" i="1" s="1"/>
  <c r="AP593" i="1"/>
  <c r="N593" i="1"/>
  <c r="N592" i="1"/>
  <c r="AP592" i="1" s="1"/>
  <c r="N591" i="1"/>
  <c r="AP591" i="1" s="1"/>
  <c r="N590" i="1"/>
  <c r="AP590" i="1" s="1"/>
  <c r="AP589" i="1"/>
  <c r="N589" i="1"/>
  <c r="N588" i="1"/>
  <c r="AP588" i="1" s="1"/>
  <c r="N587" i="1"/>
  <c r="AP587" i="1" s="1"/>
  <c r="N586" i="1"/>
  <c r="AP586" i="1" s="1"/>
  <c r="N585" i="1"/>
  <c r="AP585" i="1" s="1"/>
  <c r="N584" i="1"/>
  <c r="AP584" i="1" s="1"/>
  <c r="N583" i="1"/>
  <c r="AP583" i="1" s="1"/>
  <c r="N582" i="1"/>
  <c r="AP582" i="1" s="1"/>
  <c r="N581" i="1"/>
  <c r="AP581" i="1" s="1"/>
  <c r="N580" i="1"/>
  <c r="AP580" i="1" s="1"/>
  <c r="N579" i="1"/>
  <c r="AP579" i="1" s="1"/>
  <c r="N578" i="1"/>
  <c r="AP578" i="1" s="1"/>
  <c r="N577" i="1"/>
  <c r="AP577" i="1" s="1"/>
  <c r="N576" i="1"/>
  <c r="AP576" i="1" s="1"/>
  <c r="AP575" i="1"/>
  <c r="N575" i="1"/>
  <c r="N574" i="1"/>
  <c r="AP574" i="1" s="1"/>
  <c r="N573" i="1"/>
  <c r="AP573" i="1" s="1"/>
  <c r="N572" i="1"/>
  <c r="AP572" i="1" s="1"/>
  <c r="AP571" i="1"/>
  <c r="N571" i="1"/>
  <c r="N570" i="1"/>
  <c r="AP570" i="1" s="1"/>
  <c r="N569" i="1"/>
  <c r="AP569" i="1" s="1"/>
  <c r="N568" i="1"/>
  <c r="AP568" i="1" s="1"/>
  <c r="N567" i="1"/>
  <c r="AP567" i="1" s="1"/>
  <c r="N566" i="1"/>
  <c r="AP566" i="1" s="1"/>
  <c r="N565" i="1"/>
  <c r="AP565" i="1" s="1"/>
  <c r="N564" i="1"/>
  <c r="AP564" i="1" s="1"/>
  <c r="N563" i="1"/>
  <c r="AP563" i="1" s="1"/>
  <c r="N562" i="1"/>
  <c r="AP562" i="1" s="1"/>
  <c r="N561" i="1"/>
  <c r="AP561" i="1" s="1"/>
  <c r="N560" i="1"/>
  <c r="AP560" i="1" s="1"/>
  <c r="N559" i="1"/>
  <c r="AP559" i="1" s="1"/>
  <c r="N558" i="1"/>
  <c r="AP558" i="1" s="1"/>
  <c r="AP557" i="1"/>
  <c r="N557" i="1"/>
  <c r="N556" i="1"/>
  <c r="AP556" i="1" s="1"/>
  <c r="N555" i="1"/>
  <c r="AP555" i="1" s="1"/>
  <c r="N554" i="1"/>
  <c r="AP554" i="1" s="1"/>
  <c r="AP553" i="1"/>
  <c r="N553" i="1"/>
  <c r="N552" i="1"/>
  <c r="AP552" i="1" s="1"/>
  <c r="N551" i="1"/>
  <c r="AP551" i="1" s="1"/>
  <c r="AP550" i="1"/>
  <c r="N550" i="1"/>
  <c r="N549" i="1"/>
  <c r="AP549" i="1" s="1"/>
  <c r="N548" i="1"/>
  <c r="AP548" i="1" s="1"/>
  <c r="N547" i="1"/>
  <c r="AP547" i="1" s="1"/>
  <c r="N546" i="1"/>
  <c r="AP546" i="1" s="1"/>
  <c r="N545" i="1"/>
  <c r="AP545" i="1" s="1"/>
  <c r="AP544" i="1"/>
  <c r="N544" i="1"/>
  <c r="AP543" i="1"/>
  <c r="N543" i="1"/>
  <c r="N542" i="1"/>
  <c r="AP542" i="1" s="1"/>
  <c r="N541" i="1"/>
  <c r="AP541" i="1" s="1"/>
  <c r="N540" i="1"/>
  <c r="AP540" i="1" s="1"/>
  <c r="AP539" i="1"/>
  <c r="N539" i="1"/>
  <c r="N538" i="1"/>
  <c r="AP538" i="1" s="1"/>
  <c r="N537" i="1"/>
  <c r="AP537" i="1" s="1"/>
  <c r="AP536" i="1"/>
  <c r="N536" i="1"/>
  <c r="N535" i="1"/>
  <c r="AP535" i="1" s="1"/>
  <c r="N534" i="1"/>
  <c r="AP534" i="1" s="1"/>
  <c r="N533" i="1"/>
  <c r="AP533" i="1" s="1"/>
  <c r="AP532" i="1"/>
  <c r="N532" i="1"/>
  <c r="N531" i="1"/>
  <c r="AP531" i="1" s="1"/>
  <c r="AP530" i="1"/>
  <c r="N530" i="1"/>
  <c r="N529" i="1"/>
  <c r="AP529" i="1" s="1"/>
  <c r="N528" i="1"/>
  <c r="AP528" i="1" s="1"/>
  <c r="N527" i="1"/>
  <c r="AP527" i="1" s="1"/>
  <c r="AP526" i="1"/>
  <c r="N526" i="1"/>
  <c r="AP525" i="1"/>
  <c r="N525" i="1"/>
  <c r="N524" i="1"/>
  <c r="AP524" i="1" s="1"/>
  <c r="AP523" i="1"/>
  <c r="N523" i="1"/>
  <c r="AP522" i="1"/>
  <c r="N522" i="1"/>
  <c r="N521" i="1"/>
  <c r="AP521" i="1" s="1"/>
  <c r="N520" i="1"/>
  <c r="AP520" i="1" s="1"/>
  <c r="N519" i="1"/>
  <c r="AP519" i="1" s="1"/>
  <c r="AP518" i="1"/>
  <c r="N518" i="1"/>
  <c r="N517" i="1"/>
  <c r="AP517" i="1" s="1"/>
  <c r="AP516" i="1"/>
  <c r="N516" i="1"/>
  <c r="N515" i="1"/>
  <c r="AP515" i="1" s="1"/>
  <c r="N514" i="1"/>
  <c r="AP514" i="1" s="1"/>
  <c r="N513" i="1"/>
  <c r="AP513" i="1" s="1"/>
  <c r="AP512" i="1"/>
  <c r="N512" i="1"/>
  <c r="N511" i="1"/>
  <c r="AP511" i="1" s="1"/>
  <c r="N510" i="1"/>
  <c r="AP510" i="1" s="1"/>
  <c r="AP509" i="1"/>
  <c r="N509" i="1"/>
  <c r="N508" i="1"/>
  <c r="AP508" i="1" s="1"/>
  <c r="N507" i="1"/>
  <c r="AP507" i="1" s="1"/>
  <c r="N506" i="1"/>
  <c r="AP506" i="1" s="1"/>
  <c r="AP505" i="1"/>
  <c r="N505" i="1"/>
  <c r="AP504" i="1"/>
  <c r="N504" i="1"/>
  <c r="N503" i="1"/>
  <c r="AP503" i="1" s="1"/>
  <c r="N502" i="1"/>
  <c r="AP502" i="1" s="1"/>
  <c r="AP501" i="1"/>
  <c r="N501" i="1"/>
  <c r="N500" i="1"/>
  <c r="AP500" i="1" s="1"/>
  <c r="N499" i="1"/>
  <c r="AP499" i="1" s="1"/>
  <c r="AP498" i="1"/>
  <c r="N498" i="1"/>
  <c r="N497" i="1"/>
  <c r="AP497" i="1" s="1"/>
  <c r="N496" i="1"/>
  <c r="AP496" i="1" s="1"/>
  <c r="AP495" i="1"/>
  <c r="N495" i="1"/>
  <c r="N494" i="1"/>
  <c r="AP494" i="1" s="1"/>
  <c r="N493" i="1"/>
  <c r="AP493" i="1" s="1"/>
  <c r="N492" i="1"/>
  <c r="AP492" i="1" s="1"/>
  <c r="AP491" i="1"/>
  <c r="N491" i="1"/>
  <c r="N490" i="1"/>
  <c r="AP490" i="1" s="1"/>
  <c r="N489" i="1"/>
  <c r="AP489" i="1" s="1"/>
  <c r="N488" i="1"/>
  <c r="AP488" i="1" s="1"/>
  <c r="N487" i="1"/>
  <c r="AP487" i="1" s="1"/>
  <c r="N486" i="1"/>
  <c r="AP486" i="1" s="1"/>
  <c r="N485" i="1"/>
  <c r="AP485" i="1" s="1"/>
  <c r="N484" i="1"/>
  <c r="AP484" i="1" s="1"/>
  <c r="N483" i="1"/>
  <c r="AP483" i="1" s="1"/>
  <c r="N482" i="1"/>
  <c r="AP482" i="1" s="1"/>
  <c r="N481" i="1"/>
  <c r="AP481" i="1" s="1"/>
  <c r="N480" i="1"/>
  <c r="AP480" i="1" s="1"/>
  <c r="N479" i="1"/>
  <c r="AP479" i="1" s="1"/>
  <c r="N478" i="1"/>
  <c r="AP478" i="1" s="1"/>
  <c r="AP477" i="1"/>
  <c r="N477" i="1"/>
  <c r="N476" i="1"/>
  <c r="AP476" i="1" s="1"/>
  <c r="N475" i="1"/>
  <c r="AP475" i="1" s="1"/>
  <c r="N474" i="1"/>
  <c r="AP474" i="1" s="1"/>
  <c r="AP473" i="1"/>
  <c r="N473" i="1"/>
  <c r="N472" i="1"/>
  <c r="AP472" i="1" s="1"/>
  <c r="N471" i="1"/>
  <c r="AP471" i="1" s="1"/>
  <c r="N470" i="1"/>
  <c r="AP470" i="1" s="1"/>
  <c r="N469" i="1"/>
  <c r="AP469" i="1" s="1"/>
  <c r="N468" i="1"/>
  <c r="AP468" i="1" s="1"/>
  <c r="N467" i="1"/>
  <c r="AP467" i="1" s="1"/>
  <c r="N466" i="1"/>
  <c r="AP466" i="1" s="1"/>
  <c r="N465" i="1"/>
  <c r="AP465" i="1" s="1"/>
  <c r="N464" i="1"/>
  <c r="AP464" i="1" s="1"/>
  <c r="N463" i="1"/>
  <c r="AP463" i="1" s="1"/>
  <c r="N462" i="1"/>
  <c r="AP462" i="1" s="1"/>
  <c r="N461" i="1"/>
  <c r="AP461" i="1" s="1"/>
  <c r="N460" i="1"/>
  <c r="AP460" i="1" s="1"/>
  <c r="AP459" i="1"/>
  <c r="N459" i="1"/>
  <c r="N458" i="1"/>
  <c r="AP458" i="1" s="1"/>
  <c r="N457" i="1"/>
  <c r="AP457" i="1" s="1"/>
  <c r="N456" i="1"/>
  <c r="AP456" i="1" s="1"/>
  <c r="AP455" i="1"/>
  <c r="N455" i="1"/>
  <c r="N454" i="1"/>
  <c r="AP454" i="1" s="1"/>
  <c r="N453" i="1"/>
  <c r="AP453" i="1" s="1"/>
  <c r="AP452" i="1"/>
  <c r="N452" i="1"/>
  <c r="N451" i="1"/>
  <c r="AP451" i="1" s="1"/>
  <c r="N450" i="1"/>
  <c r="AP450" i="1" s="1"/>
  <c r="N449" i="1"/>
  <c r="AP449" i="1" s="1"/>
  <c r="N448" i="1"/>
  <c r="AP448" i="1" s="1"/>
  <c r="N447" i="1"/>
  <c r="AP447" i="1" s="1"/>
  <c r="AP446" i="1"/>
  <c r="N446" i="1"/>
  <c r="AP445" i="1"/>
  <c r="N445" i="1"/>
  <c r="N444" i="1"/>
  <c r="AP444" i="1" s="1"/>
  <c r="N443" i="1"/>
  <c r="AP443" i="1" s="1"/>
  <c r="N442" i="1"/>
  <c r="AP442" i="1" s="1"/>
  <c r="AP441" i="1"/>
  <c r="N441" i="1"/>
  <c r="N440" i="1"/>
  <c r="AP440" i="1" s="1"/>
  <c r="N439" i="1"/>
  <c r="AP439" i="1" s="1"/>
  <c r="AP438" i="1"/>
  <c r="N438" i="1"/>
  <c r="N437" i="1"/>
  <c r="AP437" i="1" s="1"/>
  <c r="N436" i="1"/>
  <c r="AP436" i="1" s="1"/>
  <c r="N435" i="1"/>
  <c r="AP435" i="1" s="1"/>
  <c r="AP434" i="1"/>
  <c r="N434" i="1"/>
  <c r="N433" i="1"/>
  <c r="AP433" i="1" s="1"/>
  <c r="AP432" i="1"/>
  <c r="N432" i="1"/>
  <c r="N431" i="1"/>
  <c r="AP431" i="1" s="1"/>
  <c r="N430" i="1"/>
  <c r="AP430" i="1" s="1"/>
  <c r="N429" i="1"/>
  <c r="AP429" i="1" s="1"/>
  <c r="AP428" i="1"/>
  <c r="N428" i="1"/>
  <c r="AP427" i="1"/>
  <c r="N427" i="1"/>
  <c r="N426" i="1"/>
  <c r="AP426" i="1" s="1"/>
  <c r="AP425" i="1"/>
  <c r="N425" i="1"/>
  <c r="N424" i="1"/>
  <c r="AP424" i="1" s="1"/>
  <c r="N423" i="1"/>
  <c r="AP423" i="1" s="1"/>
  <c r="N422" i="1"/>
  <c r="AP422" i="1" s="1"/>
  <c r="N421" i="1"/>
  <c r="AP421" i="1" s="1"/>
  <c r="AP420" i="1"/>
  <c r="N420" i="1"/>
  <c r="N419" i="1"/>
  <c r="AP419" i="1" s="1"/>
  <c r="AP418" i="1"/>
  <c r="N418" i="1"/>
  <c r="N417" i="1"/>
  <c r="AP417" i="1" s="1"/>
  <c r="N416" i="1"/>
  <c r="AP416" i="1" s="1"/>
  <c r="N415" i="1"/>
  <c r="AP415" i="1" s="1"/>
  <c r="AP414" i="1"/>
  <c r="N414" i="1"/>
  <c r="N413" i="1"/>
  <c r="AP413" i="1" s="1"/>
  <c r="N412" i="1"/>
  <c r="AP412" i="1" s="1"/>
  <c r="AP411" i="1"/>
  <c r="N411" i="1"/>
  <c r="N410" i="1"/>
  <c r="AP410" i="1" s="1"/>
  <c r="N409" i="1"/>
  <c r="AP409" i="1" s="1"/>
  <c r="N408" i="1"/>
  <c r="AP408" i="1" s="1"/>
  <c r="AP407" i="1"/>
  <c r="N407" i="1"/>
  <c r="N406" i="1"/>
  <c r="AP406" i="1" s="1"/>
  <c r="N405" i="1"/>
  <c r="AP405" i="1" s="1"/>
  <c r="N404" i="1"/>
  <c r="AP404" i="1" s="1"/>
  <c r="AP403" i="1"/>
  <c r="N403" i="1"/>
  <c r="N402" i="1"/>
  <c r="AP402" i="1" s="1"/>
  <c r="N401" i="1"/>
  <c r="AP401" i="1" s="1"/>
  <c r="N400" i="1"/>
  <c r="AP400" i="1" s="1"/>
  <c r="AP399" i="1"/>
  <c r="N399" i="1"/>
  <c r="N398" i="1"/>
  <c r="AP398" i="1" s="1"/>
  <c r="N397" i="1"/>
  <c r="AP397" i="1" s="1"/>
  <c r="N396" i="1"/>
  <c r="AP396" i="1" s="1"/>
  <c r="N395" i="1"/>
  <c r="AP395" i="1" s="1"/>
  <c r="N394" i="1"/>
  <c r="AP394" i="1" s="1"/>
  <c r="N393" i="1"/>
  <c r="AP393" i="1" s="1"/>
  <c r="N392" i="1"/>
  <c r="AP392" i="1" s="1"/>
  <c r="AP391" i="1"/>
  <c r="N391" i="1"/>
  <c r="N390" i="1"/>
  <c r="AP390" i="1" s="1"/>
  <c r="N389" i="1"/>
  <c r="AP389" i="1" s="1"/>
  <c r="N388" i="1"/>
  <c r="AP388" i="1" s="1"/>
  <c r="N387" i="1"/>
  <c r="AP387" i="1" s="1"/>
  <c r="AP386" i="1"/>
  <c r="N386" i="1"/>
  <c r="N385" i="1"/>
  <c r="AP385" i="1" s="1"/>
  <c r="N384" i="1"/>
  <c r="AP384" i="1" s="1"/>
  <c r="AP383" i="1"/>
  <c r="N383" i="1"/>
  <c r="N382" i="1"/>
  <c r="AP382" i="1" s="1"/>
  <c r="N381" i="1"/>
  <c r="AP381" i="1" s="1"/>
  <c r="N380" i="1"/>
  <c r="AP380" i="1" s="1"/>
  <c r="N379" i="1"/>
  <c r="AP379" i="1" s="1"/>
  <c r="AP378" i="1"/>
  <c r="N378" i="1"/>
  <c r="N377" i="1"/>
  <c r="AP377" i="1" s="1"/>
  <c r="N376" i="1"/>
  <c r="AP376" i="1" s="1"/>
  <c r="AP375" i="1"/>
  <c r="N375" i="1"/>
  <c r="N374" i="1"/>
  <c r="AP374" i="1" s="1"/>
  <c r="N373" i="1"/>
  <c r="AP373" i="1" s="1"/>
  <c r="N372" i="1"/>
  <c r="AP372" i="1" s="1"/>
  <c r="N371" i="1"/>
  <c r="AP371" i="1" s="1"/>
  <c r="AP370" i="1"/>
  <c r="N370" i="1"/>
  <c r="N369" i="1"/>
  <c r="AP369" i="1" s="1"/>
  <c r="N368" i="1"/>
  <c r="AP368" i="1" s="1"/>
  <c r="N367" i="1"/>
  <c r="AP367" i="1" s="1"/>
  <c r="N366" i="1"/>
  <c r="AP366" i="1" s="1"/>
  <c r="N365" i="1"/>
  <c r="AP365" i="1" s="1"/>
  <c r="N364" i="1"/>
  <c r="AP364" i="1" s="1"/>
  <c r="N363" i="1"/>
  <c r="AP363" i="1" s="1"/>
  <c r="AP362" i="1"/>
  <c r="N362" i="1"/>
  <c r="N361" i="1"/>
  <c r="AP361" i="1" s="1"/>
  <c r="N360" i="1"/>
  <c r="AP360" i="1" s="1"/>
  <c r="N359" i="1"/>
  <c r="AP359" i="1" s="1"/>
  <c r="AP358" i="1"/>
  <c r="N358" i="1"/>
  <c r="N357" i="1"/>
  <c r="AP357" i="1" s="1"/>
  <c r="N356" i="1"/>
  <c r="AP356" i="1" s="1"/>
  <c r="N355" i="1"/>
  <c r="AP355" i="1" s="1"/>
  <c r="AP354" i="1"/>
  <c r="N354" i="1"/>
  <c r="N353" i="1"/>
  <c r="AP353" i="1" s="1"/>
  <c r="N352" i="1"/>
  <c r="AP352" i="1" s="1"/>
  <c r="N351" i="1"/>
  <c r="AP351" i="1" s="1"/>
  <c r="AP350" i="1"/>
  <c r="N350" i="1"/>
  <c r="N349" i="1"/>
  <c r="AP349" i="1" s="1"/>
  <c r="N348" i="1"/>
  <c r="AP348" i="1" s="1"/>
  <c r="N347" i="1"/>
  <c r="AP347" i="1" s="1"/>
  <c r="N346" i="1"/>
  <c r="AP346" i="1" s="1"/>
  <c r="N345" i="1"/>
  <c r="AP345" i="1" s="1"/>
  <c r="N344" i="1"/>
  <c r="AP344" i="1" s="1"/>
  <c r="N343" i="1"/>
  <c r="AP343" i="1" s="1"/>
  <c r="AP342" i="1"/>
  <c r="N342" i="1"/>
  <c r="N341" i="1"/>
  <c r="AP341" i="1" s="1"/>
  <c r="N340" i="1"/>
  <c r="AP340" i="1" s="1"/>
  <c r="N339" i="1"/>
  <c r="AP339" i="1" s="1"/>
  <c r="N338" i="1"/>
  <c r="AP338" i="1" s="1"/>
  <c r="AP337" i="1"/>
  <c r="N337" i="1"/>
  <c r="N336" i="1"/>
  <c r="AP336" i="1" s="1"/>
  <c r="N335" i="1"/>
  <c r="AP335" i="1" s="1"/>
  <c r="AP334" i="1"/>
  <c r="N334" i="1"/>
  <c r="N333" i="1"/>
  <c r="AP333" i="1" s="1"/>
  <c r="N332" i="1"/>
  <c r="AP332" i="1" s="1"/>
  <c r="N331" i="1"/>
  <c r="AP331" i="1" s="1"/>
  <c r="N330" i="1"/>
  <c r="AP330" i="1" s="1"/>
  <c r="AP329" i="1"/>
  <c r="N329" i="1"/>
  <c r="N328" i="1"/>
  <c r="AP328" i="1" s="1"/>
  <c r="N327" i="1"/>
  <c r="AP327" i="1" s="1"/>
  <c r="AP326" i="1"/>
  <c r="N326" i="1"/>
  <c r="N325" i="1"/>
  <c r="AP325" i="1" s="1"/>
  <c r="N324" i="1"/>
  <c r="AP324" i="1" s="1"/>
  <c r="N323" i="1"/>
  <c r="AP323" i="1" s="1"/>
  <c r="N322" i="1"/>
  <c r="AP322" i="1" s="1"/>
  <c r="AP321" i="1"/>
  <c r="N321" i="1"/>
  <c r="N320" i="1"/>
  <c r="AP320" i="1" s="1"/>
  <c r="N319" i="1"/>
  <c r="AP319" i="1" s="1"/>
  <c r="N318" i="1"/>
  <c r="AP318" i="1" s="1"/>
  <c r="N317" i="1"/>
  <c r="AP317" i="1" s="1"/>
  <c r="N316" i="1"/>
  <c r="AP316" i="1" s="1"/>
  <c r="N315" i="1"/>
  <c r="AP315" i="1" s="1"/>
  <c r="N314" i="1"/>
  <c r="AP314" i="1" s="1"/>
  <c r="AP313" i="1"/>
  <c r="N313" i="1"/>
  <c r="N312" i="1"/>
  <c r="AP312" i="1" s="1"/>
  <c r="N311" i="1"/>
  <c r="AP311" i="1" s="1"/>
  <c r="N310" i="1"/>
  <c r="AP310" i="1" s="1"/>
  <c r="AP309" i="1"/>
  <c r="N309" i="1"/>
  <c r="N308" i="1"/>
  <c r="AP308" i="1" s="1"/>
  <c r="N307" i="1"/>
  <c r="AP307" i="1" s="1"/>
  <c r="N306" i="1"/>
  <c r="AP306" i="1" s="1"/>
  <c r="AP305" i="1"/>
  <c r="N305" i="1"/>
  <c r="N304" i="1"/>
  <c r="AP304" i="1" s="1"/>
  <c r="N303" i="1"/>
  <c r="AP303" i="1" s="1"/>
  <c r="N302" i="1"/>
  <c r="AP302" i="1" s="1"/>
  <c r="AP301" i="1"/>
  <c r="N301" i="1"/>
  <c r="N300" i="1"/>
  <c r="AP300" i="1" s="1"/>
  <c r="N299" i="1"/>
  <c r="AP299" i="1" s="1"/>
  <c r="N298" i="1"/>
  <c r="AP298" i="1" s="1"/>
  <c r="N297" i="1"/>
  <c r="AP297" i="1" s="1"/>
  <c r="N296" i="1"/>
  <c r="AP296" i="1" s="1"/>
  <c r="N295" i="1"/>
  <c r="AP295" i="1" s="1"/>
  <c r="N294" i="1"/>
  <c r="AP294" i="1" s="1"/>
  <c r="AP293" i="1"/>
  <c r="N293" i="1"/>
  <c r="N292" i="1"/>
  <c r="AP292" i="1" s="1"/>
  <c r="N291" i="1"/>
  <c r="AP291" i="1" s="1"/>
  <c r="N290" i="1"/>
  <c r="AP290" i="1" s="1"/>
  <c r="N289" i="1"/>
  <c r="AP289" i="1" s="1"/>
  <c r="AP288" i="1"/>
  <c r="N288" i="1"/>
  <c r="N287" i="1"/>
  <c r="AP287" i="1" s="1"/>
  <c r="N286" i="1"/>
  <c r="AP286" i="1" s="1"/>
  <c r="AP285" i="1"/>
  <c r="N285" i="1"/>
  <c r="N284" i="1"/>
  <c r="AP284" i="1" s="1"/>
  <c r="N283" i="1"/>
  <c r="AP283" i="1" s="1"/>
  <c r="N282" i="1"/>
  <c r="AP282" i="1" s="1"/>
  <c r="N281" i="1"/>
  <c r="AP281" i="1" s="1"/>
  <c r="AP280" i="1"/>
  <c r="N280" i="1"/>
  <c r="N279" i="1"/>
  <c r="AP279" i="1" s="1"/>
  <c r="N278" i="1"/>
  <c r="AP278" i="1" s="1"/>
  <c r="AP277" i="1"/>
  <c r="N277" i="1"/>
  <c r="N276" i="1"/>
  <c r="AP276" i="1" s="1"/>
  <c r="N275" i="1"/>
  <c r="AP275" i="1" s="1"/>
  <c r="N274" i="1"/>
  <c r="AP274" i="1" s="1"/>
  <c r="N273" i="1"/>
  <c r="AP273" i="1" s="1"/>
  <c r="AP272" i="1"/>
  <c r="N272" i="1"/>
  <c r="N269" i="1"/>
  <c r="AP269" i="1" s="1"/>
  <c r="N268" i="1"/>
  <c r="AP268" i="1" s="1"/>
  <c r="N267" i="1"/>
  <c r="AP267" i="1" s="1"/>
  <c r="N266" i="1"/>
  <c r="AP266" i="1" s="1"/>
  <c r="N265" i="1"/>
  <c r="AP265" i="1" s="1"/>
  <c r="N264" i="1"/>
  <c r="AP264" i="1" s="1"/>
  <c r="AP263" i="1"/>
  <c r="N263" i="1"/>
  <c r="AP262" i="1"/>
  <c r="N262" i="1"/>
  <c r="N261" i="1"/>
  <c r="AP261" i="1" s="1"/>
  <c r="N260" i="1"/>
  <c r="AP260" i="1" s="1"/>
  <c r="AP259" i="1"/>
  <c r="N259" i="1"/>
  <c r="AP258" i="1"/>
  <c r="N258" i="1"/>
  <c r="N257" i="1"/>
  <c r="AP257" i="1" s="1"/>
  <c r="N256" i="1"/>
  <c r="AP256" i="1" s="1"/>
  <c r="AP255" i="1"/>
  <c r="N255" i="1"/>
  <c r="N254" i="1"/>
  <c r="AP254" i="1" s="1"/>
  <c r="N253" i="1"/>
  <c r="AP253" i="1" s="1"/>
  <c r="AP252" i="1"/>
  <c r="N252" i="1"/>
  <c r="N251" i="1"/>
  <c r="AP251" i="1" s="1"/>
  <c r="N250" i="1"/>
  <c r="AP250" i="1" s="1"/>
  <c r="AP249" i="1"/>
  <c r="N249" i="1"/>
  <c r="AP248" i="1"/>
  <c r="N248" i="1"/>
  <c r="N247" i="1"/>
  <c r="AP247" i="1" s="1"/>
  <c r="N246" i="1"/>
  <c r="AP246" i="1" s="1"/>
  <c r="AP245" i="1"/>
  <c r="N245" i="1"/>
  <c r="N244" i="1"/>
  <c r="AP244" i="1" s="1"/>
  <c r="N243" i="1"/>
  <c r="AP243" i="1" s="1"/>
  <c r="N242" i="1"/>
  <c r="AP242" i="1" s="1"/>
  <c r="AP241" i="1"/>
  <c r="N241" i="1"/>
  <c r="N240" i="1"/>
  <c r="AP240" i="1" s="1"/>
  <c r="N239" i="1"/>
  <c r="AP239" i="1" s="1"/>
  <c r="AP238" i="1"/>
  <c r="N238" i="1"/>
  <c r="N237" i="1"/>
  <c r="AP237" i="1" s="1"/>
  <c r="N236" i="1"/>
  <c r="AP236" i="1" s="1"/>
  <c r="N235" i="1"/>
  <c r="AP235" i="1" s="1"/>
  <c r="AP234" i="1"/>
  <c r="N234" i="1"/>
  <c r="N233" i="1"/>
  <c r="AP233" i="1" s="1"/>
  <c r="N232" i="1"/>
  <c r="AP232" i="1" s="1"/>
  <c r="AP231" i="1"/>
  <c r="N231" i="1"/>
  <c r="N230" i="1"/>
  <c r="AP230" i="1" s="1"/>
  <c r="N229" i="1"/>
  <c r="AP229" i="1" s="1"/>
  <c r="N228" i="1"/>
  <c r="AP228" i="1" s="1"/>
  <c r="AP227" i="1"/>
  <c r="N227" i="1"/>
  <c r="N226" i="1"/>
  <c r="AP226" i="1" s="1"/>
  <c r="N225" i="1"/>
  <c r="AP225" i="1" s="1"/>
  <c r="AP224" i="1"/>
  <c r="N224" i="1"/>
  <c r="N223" i="1"/>
  <c r="AP223" i="1" s="1"/>
  <c r="N222" i="1"/>
  <c r="AP222" i="1" s="1"/>
  <c r="AP221" i="1"/>
  <c r="N221" i="1"/>
  <c r="AP220" i="1"/>
  <c r="N220" i="1"/>
  <c r="N219" i="1"/>
  <c r="AP219" i="1" s="1"/>
  <c r="N218" i="1"/>
  <c r="AP218" i="1" s="1"/>
  <c r="AP217" i="1"/>
  <c r="N217" i="1"/>
  <c r="N216" i="1"/>
  <c r="AP216" i="1" s="1"/>
  <c r="N215" i="1"/>
  <c r="AP215" i="1" s="1"/>
  <c r="AP214" i="1"/>
  <c r="N214" i="1"/>
  <c r="AP213" i="1"/>
  <c r="N213" i="1"/>
  <c r="N212" i="1"/>
  <c r="AP212" i="1" s="1"/>
  <c r="N211" i="1"/>
  <c r="AP211" i="1" s="1"/>
  <c r="AP210" i="1"/>
  <c r="N210" i="1"/>
  <c r="N209" i="1"/>
  <c r="AP209" i="1" s="1"/>
  <c r="N208" i="1"/>
  <c r="AP208" i="1" s="1"/>
  <c r="N207" i="1"/>
  <c r="AP207" i="1" s="1"/>
  <c r="AP206" i="1"/>
  <c r="N206" i="1"/>
  <c r="N205" i="1"/>
  <c r="AP205" i="1" s="1"/>
  <c r="N204" i="1"/>
  <c r="AP204" i="1" s="1"/>
  <c r="AP203" i="1"/>
  <c r="N203" i="1"/>
  <c r="N202" i="1"/>
  <c r="AP202" i="1" s="1"/>
  <c r="N201" i="1"/>
  <c r="AP201" i="1" s="1"/>
  <c r="AP200" i="1"/>
  <c r="N200" i="1"/>
  <c r="AP199" i="1"/>
  <c r="N199" i="1"/>
  <c r="N198" i="1"/>
  <c r="AP198" i="1" s="1"/>
  <c r="N197" i="1"/>
  <c r="AP197" i="1" s="1"/>
  <c r="AP196" i="1"/>
  <c r="N196" i="1"/>
  <c r="N195" i="1"/>
  <c r="AP195" i="1" s="1"/>
  <c r="N194" i="1"/>
  <c r="AP194" i="1" s="1"/>
  <c r="N193" i="1"/>
  <c r="AP193" i="1" s="1"/>
  <c r="AP192" i="1"/>
  <c r="N192" i="1"/>
  <c r="N191" i="1"/>
  <c r="AP191" i="1" s="1"/>
  <c r="N190" i="1"/>
  <c r="AP190" i="1" s="1"/>
  <c r="AP189" i="1"/>
  <c r="N189" i="1"/>
  <c r="N188" i="1"/>
  <c r="AP188" i="1" s="1"/>
  <c r="N187" i="1"/>
  <c r="AP187" i="1" s="1"/>
  <c r="N186" i="1"/>
  <c r="AP186" i="1" s="1"/>
  <c r="AP185" i="1"/>
  <c r="N185" i="1"/>
  <c r="N184" i="1"/>
  <c r="AP184" i="1" s="1"/>
  <c r="N183" i="1"/>
  <c r="AP183" i="1" s="1"/>
  <c r="AP182" i="1"/>
  <c r="N182" i="1"/>
  <c r="N181" i="1"/>
  <c r="AP181" i="1" s="1"/>
  <c r="N180" i="1"/>
  <c r="AP180" i="1" s="1"/>
  <c r="N179" i="1"/>
  <c r="AP179" i="1" s="1"/>
  <c r="AP178" i="1"/>
  <c r="N178" i="1"/>
  <c r="N177" i="1"/>
  <c r="AP177" i="1" s="1"/>
  <c r="N176" i="1"/>
  <c r="AP176" i="1" s="1"/>
  <c r="AP175" i="1"/>
  <c r="N175" i="1"/>
  <c r="N174" i="1"/>
  <c r="AP174" i="1" s="1"/>
  <c r="N173" i="1"/>
  <c r="AP173" i="1" s="1"/>
  <c r="AP172" i="1"/>
  <c r="N172" i="1"/>
  <c r="AP171" i="1"/>
  <c r="N171" i="1"/>
  <c r="N170" i="1"/>
  <c r="AP170" i="1" s="1"/>
  <c r="N169" i="1"/>
  <c r="AP169" i="1" s="1"/>
  <c r="AP168" i="1"/>
  <c r="N168" i="1"/>
  <c r="N167" i="1"/>
  <c r="AP167" i="1" s="1"/>
  <c r="N166" i="1"/>
  <c r="AP166" i="1" s="1"/>
  <c r="AP165" i="1"/>
  <c r="N165" i="1"/>
  <c r="AP164" i="1"/>
  <c r="N164" i="1"/>
  <c r="N163" i="1"/>
  <c r="AP163" i="1" s="1"/>
  <c r="N162" i="1"/>
  <c r="AP162" i="1" s="1"/>
  <c r="AP161" i="1"/>
  <c r="N161" i="1"/>
  <c r="N160" i="1"/>
  <c r="AP160" i="1" s="1"/>
  <c r="N159" i="1"/>
  <c r="AP159" i="1" s="1"/>
  <c r="N158" i="1"/>
  <c r="AP158" i="1" s="1"/>
  <c r="AP157" i="1"/>
  <c r="N157" i="1"/>
  <c r="N156" i="1"/>
  <c r="AP156" i="1" s="1"/>
  <c r="N155" i="1"/>
  <c r="AP155" i="1" s="1"/>
  <c r="AP154" i="1"/>
  <c r="N154" i="1"/>
  <c r="N153" i="1"/>
  <c r="AP153" i="1" s="1"/>
  <c r="N152" i="1"/>
  <c r="AP152" i="1" s="1"/>
  <c r="AP151" i="1"/>
  <c r="N151" i="1"/>
  <c r="AP150" i="1"/>
  <c r="N150" i="1"/>
  <c r="N149" i="1"/>
  <c r="AP149" i="1" s="1"/>
  <c r="N148" i="1"/>
  <c r="AP148" i="1" s="1"/>
  <c r="AP147" i="1"/>
  <c r="N147" i="1"/>
  <c r="N146" i="1"/>
  <c r="AP146" i="1" s="1"/>
  <c r="N145" i="1"/>
  <c r="AP145" i="1" s="1"/>
  <c r="N144" i="1"/>
  <c r="AP144" i="1" s="1"/>
  <c r="AP143" i="1"/>
  <c r="N143" i="1"/>
  <c r="N142" i="1"/>
  <c r="AP142" i="1" s="1"/>
  <c r="N141" i="1"/>
  <c r="AP141" i="1" s="1"/>
  <c r="AP140" i="1"/>
  <c r="N140" i="1"/>
  <c r="N139" i="1"/>
  <c r="AP139" i="1" s="1"/>
  <c r="N138" i="1"/>
  <c r="AP138" i="1" s="1"/>
  <c r="N137" i="1"/>
  <c r="AP137" i="1" s="1"/>
  <c r="AP136" i="1"/>
  <c r="N136" i="1"/>
  <c r="N135" i="1"/>
  <c r="AP135" i="1" s="1"/>
  <c r="N134" i="1"/>
  <c r="AP134" i="1" s="1"/>
  <c r="AP133" i="1"/>
  <c r="N133" i="1"/>
  <c r="N132" i="1"/>
  <c r="AP132" i="1" s="1"/>
  <c r="N131" i="1"/>
  <c r="AP131" i="1" s="1"/>
  <c r="N130" i="1"/>
  <c r="AP130" i="1" s="1"/>
  <c r="AP129" i="1"/>
  <c r="N129" i="1"/>
  <c r="N128" i="1"/>
  <c r="AP128" i="1" s="1"/>
  <c r="N127" i="1"/>
  <c r="AP127" i="1" s="1"/>
  <c r="AP126" i="1"/>
  <c r="N126" i="1"/>
  <c r="N125" i="1"/>
  <c r="AP125" i="1" s="1"/>
  <c r="N124" i="1"/>
  <c r="AP124" i="1" s="1"/>
  <c r="AP123" i="1"/>
  <c r="N123" i="1"/>
  <c r="AP122" i="1"/>
  <c r="N122" i="1"/>
  <c r="N121" i="1"/>
  <c r="AP121" i="1" s="1"/>
  <c r="N120" i="1"/>
  <c r="AP120" i="1" s="1"/>
  <c r="AP119" i="1"/>
  <c r="N119" i="1"/>
  <c r="N118" i="1"/>
  <c r="AP118" i="1" s="1"/>
  <c r="N117" i="1"/>
  <c r="AP117" i="1" s="1"/>
  <c r="AP116" i="1"/>
  <c r="N116" i="1"/>
  <c r="AP115" i="1"/>
  <c r="N115" i="1"/>
  <c r="N114" i="1"/>
  <c r="AP114" i="1" s="1"/>
  <c r="N113" i="1"/>
  <c r="AP113" i="1" s="1"/>
  <c r="AP112" i="1"/>
  <c r="N112" i="1"/>
  <c r="N111" i="1"/>
  <c r="AP111" i="1" s="1"/>
  <c r="N110" i="1"/>
  <c r="AP110" i="1" s="1"/>
  <c r="N109" i="1"/>
  <c r="AP109" i="1" s="1"/>
  <c r="AP108" i="1"/>
  <c r="N108" i="1"/>
  <c r="N107" i="1"/>
  <c r="AP107" i="1" s="1"/>
  <c r="N106" i="1"/>
  <c r="AP106" i="1" s="1"/>
  <c r="AP105" i="1"/>
  <c r="N105" i="1"/>
  <c r="N104" i="1"/>
  <c r="AP104" i="1" s="1"/>
  <c r="N103" i="1"/>
  <c r="AP103" i="1" s="1"/>
  <c r="AP102" i="1"/>
  <c r="N102" i="1"/>
  <c r="AP101" i="1"/>
  <c r="N101" i="1"/>
  <c r="N100" i="1"/>
  <c r="AP100" i="1" s="1"/>
  <c r="N99" i="1"/>
  <c r="AP99" i="1" s="1"/>
  <c r="AP98" i="1"/>
  <c r="N98" i="1"/>
  <c r="N97" i="1"/>
  <c r="AP97" i="1" s="1"/>
  <c r="N96" i="1"/>
  <c r="AP96" i="1" s="1"/>
  <c r="N95" i="1"/>
  <c r="AP95" i="1" s="1"/>
  <c r="AP94" i="1"/>
  <c r="N94" i="1"/>
  <c r="N93" i="1"/>
  <c r="AP93" i="1" s="1"/>
  <c r="N92" i="1"/>
  <c r="AP92" i="1" s="1"/>
  <c r="AP91" i="1"/>
  <c r="N91" i="1"/>
  <c r="N90" i="1"/>
  <c r="AP90" i="1" s="1"/>
  <c r="N89" i="1"/>
  <c r="AP89" i="1" s="1"/>
  <c r="N88" i="1"/>
  <c r="AP88" i="1" s="1"/>
  <c r="AP87" i="1"/>
  <c r="N87" i="1"/>
  <c r="N86" i="1"/>
  <c r="AP86" i="1" s="1"/>
  <c r="N85" i="1"/>
  <c r="AP85" i="1" s="1"/>
  <c r="AP84" i="1"/>
  <c r="N84" i="1"/>
  <c r="N83" i="1"/>
  <c r="AP83" i="1" s="1"/>
  <c r="N82" i="1"/>
  <c r="AP82" i="1" s="1"/>
  <c r="N81" i="1"/>
  <c r="AP81" i="1" s="1"/>
  <c r="AP80" i="1"/>
  <c r="N80" i="1"/>
  <c r="N79" i="1"/>
  <c r="AP79" i="1" s="1"/>
  <c r="N78" i="1"/>
  <c r="AP78" i="1" s="1"/>
  <c r="AP77" i="1"/>
  <c r="N77" i="1"/>
  <c r="N76" i="1"/>
  <c r="AP76" i="1" s="1"/>
  <c r="AO75" i="1"/>
  <c r="N75" i="1"/>
  <c r="AP75" i="1" s="1"/>
  <c r="N74" i="1"/>
  <c r="AP74" i="1" s="1"/>
  <c r="AP73" i="1"/>
  <c r="N73" i="1"/>
  <c r="AP72" i="1"/>
  <c r="N72" i="1"/>
  <c r="N71" i="1"/>
  <c r="AP71" i="1" s="1"/>
  <c r="N70" i="1"/>
  <c r="AP70" i="1" s="1"/>
  <c r="AP69" i="1"/>
  <c r="N69" i="1"/>
  <c r="N68" i="1"/>
  <c r="AP68" i="1" s="1"/>
  <c r="N67" i="1"/>
  <c r="AP67" i="1" s="1"/>
  <c r="AP66" i="1"/>
  <c r="N66" i="1"/>
  <c r="AP65" i="1"/>
  <c r="N65" i="1"/>
  <c r="N64" i="1"/>
  <c r="AP64" i="1" s="1"/>
  <c r="N63" i="1"/>
  <c r="AP63" i="1" s="1"/>
  <c r="AP62" i="1"/>
  <c r="N62" i="1"/>
  <c r="N61" i="1"/>
  <c r="AP61" i="1" s="1"/>
  <c r="AP60" i="1"/>
  <c r="N60" i="1"/>
  <c r="AP59" i="1"/>
  <c r="N59" i="1"/>
  <c r="AP58" i="1"/>
  <c r="N58" i="1"/>
  <c r="N57" i="1"/>
  <c r="AP57" i="1" s="1"/>
  <c r="N56" i="1"/>
  <c r="AP56" i="1" s="1"/>
  <c r="AP55" i="1"/>
  <c r="N55" i="1"/>
  <c r="N54" i="1"/>
  <c r="AP54" i="1" s="1"/>
  <c r="N53" i="1"/>
  <c r="AP53" i="1" s="1"/>
  <c r="AP52" i="1"/>
  <c r="N52" i="1"/>
  <c r="AP51" i="1"/>
  <c r="N51" i="1"/>
  <c r="N50" i="1"/>
  <c r="AP50" i="1" s="1"/>
  <c r="N49" i="1"/>
  <c r="AP49" i="1" s="1"/>
  <c r="AP48" i="1"/>
  <c r="N48" i="1"/>
  <c r="N47" i="1"/>
  <c r="AP47" i="1" s="1"/>
  <c r="N46" i="1"/>
  <c r="AP46" i="1" s="1"/>
  <c r="AP45" i="1"/>
  <c r="N45" i="1"/>
  <c r="AP44" i="1"/>
  <c r="N44" i="1"/>
  <c r="N43" i="1"/>
  <c r="AP43" i="1" s="1"/>
  <c r="N42" i="1"/>
  <c r="AP42" i="1" s="1"/>
  <c r="AP41" i="1"/>
  <c r="N41" i="1"/>
  <c r="N40" i="1"/>
  <c r="AP40" i="1" s="1"/>
  <c r="AP39" i="1"/>
  <c r="N39" i="1"/>
  <c r="AP38" i="1"/>
  <c r="N38" i="1"/>
  <c r="AP37" i="1"/>
  <c r="N37" i="1"/>
  <c r="N36" i="1"/>
  <c r="AP36" i="1" s="1"/>
  <c r="N35" i="1"/>
  <c r="AP35" i="1" s="1"/>
  <c r="AP34" i="1"/>
  <c r="N34" i="1"/>
  <c r="N33" i="1"/>
  <c r="AP33" i="1" s="1"/>
  <c r="N32" i="1"/>
  <c r="AP32" i="1" s="1"/>
  <c r="AP31" i="1"/>
  <c r="N31" i="1"/>
  <c r="AP30" i="1"/>
  <c r="N30" i="1"/>
  <c r="N29" i="1"/>
  <c r="AP29" i="1" s="1"/>
  <c r="N28" i="1"/>
  <c r="AP28" i="1" s="1"/>
  <c r="AP27" i="1"/>
  <c r="N27" i="1"/>
  <c r="N26" i="1"/>
  <c r="AP26" i="1" s="1"/>
  <c r="N25" i="1"/>
  <c r="AP25" i="1" s="1"/>
  <c r="AP24" i="1"/>
  <c r="N24" i="1"/>
  <c r="AP23" i="1"/>
  <c r="N23" i="1"/>
  <c r="N22" i="1"/>
  <c r="AP22" i="1" s="1"/>
  <c r="N21" i="1"/>
  <c r="AP21" i="1" s="1"/>
  <c r="AP20" i="1"/>
  <c r="N20" i="1"/>
  <c r="N19" i="1"/>
  <c r="AP19" i="1" s="1"/>
  <c r="N18" i="1"/>
  <c r="AP18" i="1" s="1"/>
  <c r="AP17" i="1"/>
  <c r="N17" i="1"/>
  <c r="AP16" i="1"/>
  <c r="N16" i="1"/>
  <c r="N15" i="1"/>
  <c r="AP15" i="1" s="1"/>
  <c r="N14" i="1"/>
  <c r="AP14" i="1" s="1"/>
  <c r="AP13" i="1"/>
  <c r="N13" i="1"/>
  <c r="N12" i="1"/>
  <c r="AP12" i="1" s="1"/>
  <c r="AP11" i="1"/>
  <c r="N11" i="1"/>
  <c r="AP10" i="1"/>
  <c r="N10" i="1"/>
  <c r="AP9" i="1"/>
  <c r="N9" i="1"/>
  <c r="N8" i="1"/>
  <c r="AP8" i="1" s="1"/>
  <c r="N7" i="1"/>
  <c r="AP7" i="1" s="1"/>
  <c r="AP6" i="1"/>
  <c r="N6" i="1"/>
  <c r="N5" i="1"/>
  <c r="AP5" i="1" s="1"/>
  <c r="N4" i="1"/>
  <c r="AP4" i="1" s="1"/>
  <c r="AP3" i="1"/>
  <c r="N3" i="1"/>
  <c r="AP2" i="1"/>
  <c r="N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Aditi Sharma</author>
  </authors>
  <commentList>
    <comment ref="C831" authorId="0" shapeId="0" xr:uid="{00000000-0006-0000-0000-000001000000}">
      <text>
        <r>
          <rPr>
            <sz val="11"/>
            <color theme="1"/>
            <rFont val="Calibri"/>
            <family val="2"/>
            <scheme val="minor"/>
          </rPr>
          <t>Aditi Sharma:
DLP</t>
        </r>
      </text>
    </comment>
  </commentList>
</comments>
</file>

<file path=xl/sharedStrings.xml><?xml version="1.0" encoding="utf-8"?>
<sst xmlns="http://schemas.openxmlformats.org/spreadsheetml/2006/main" count="24865" uniqueCount="7863">
  <si>
    <t>Supporting Partner</t>
  </si>
  <si>
    <t>Business Service Path</t>
  </si>
  <si>
    <t>Impacted Application</t>
  </si>
  <si>
    <t>Status</t>
  </si>
  <si>
    <t>Location</t>
  </si>
  <si>
    <t>Incident Number</t>
  </si>
  <si>
    <t>Incident Type</t>
  </si>
  <si>
    <t>Severity Category</t>
  </si>
  <si>
    <t>Incident Start Time</t>
  </si>
  <si>
    <t>SDN Upgarde Time</t>
  </si>
  <si>
    <t>Severity Upgrade Time</t>
  </si>
  <si>
    <t>Incident Resolved Time</t>
  </si>
  <si>
    <t>Severity TAT</t>
  </si>
  <si>
    <t>Overall TAT (DD/HH:MM)</t>
  </si>
  <si>
    <t>Priority Matrix Condtion</t>
  </si>
  <si>
    <t>Issue Description</t>
  </si>
  <si>
    <t>Restoration Details</t>
  </si>
  <si>
    <t>RCA</t>
  </si>
  <si>
    <t>Problem Record</t>
  </si>
  <si>
    <t>Problem Created Date</t>
  </si>
  <si>
    <t>Problem Resolution Date</t>
  </si>
  <si>
    <t>RCA Status</t>
  </si>
  <si>
    <t>Aging</t>
  </si>
  <si>
    <t>Impacted LOB</t>
  </si>
  <si>
    <t>Alert Category</t>
  </si>
  <si>
    <t>Severity of the Event Ticket</t>
  </si>
  <si>
    <t>Event/Alert Number</t>
  </si>
  <si>
    <t>Alert Description</t>
  </si>
  <si>
    <t>Alert Start Date/Time</t>
  </si>
  <si>
    <t>Alert Closure Date/Time</t>
  </si>
  <si>
    <t>Month</t>
  </si>
  <si>
    <t>Issue Category</t>
  </si>
  <si>
    <t>Issue Sub Category</t>
  </si>
  <si>
    <t>Issue Type</t>
  </si>
  <si>
    <t>Repeat Issue</t>
  </si>
  <si>
    <t>Business Impact</t>
  </si>
  <si>
    <t>Underlying Change</t>
  </si>
  <si>
    <t>Call Volume</t>
  </si>
  <si>
    <t>Remarks</t>
  </si>
  <si>
    <t>Reported  by NOC/App/MIM/SM</t>
  </si>
  <si>
    <t>Incident Reported Time to MIM</t>
  </si>
  <si>
    <t>Minutes of Outage</t>
  </si>
  <si>
    <t>NovaTel</t>
  </si>
  <si>
    <t>Broadband Customer Experience Journey (Activation/Install)</t>
  </si>
  <si>
    <t>Nokia OSS, NovaWorks</t>
  </si>
  <si>
    <t>Resolved</t>
  </si>
  <si>
    <t>PAN India</t>
  </si>
  <si>
    <t>INC13627108</t>
  </si>
  <si>
    <t>New</t>
  </si>
  <si>
    <t>LW</t>
  </si>
  <si>
    <t>Yes</t>
  </si>
  <si>
    <t>Broadband installation orders were impacted.</t>
  </si>
  <si>
    <t>In this issue, it was identified that due to some issue at EMS_1 broadband install order processing and task 2 was impacted. Further to mitigate the issue, NSG team took service restart of EMS_1 post which order processing started and issue got resolved.</t>
  </si>
  <si>
    <t>Broadband, Digital Acquisition</t>
  </si>
  <si>
    <t>Symptom</t>
  </si>
  <si>
    <t>P3
P2</t>
  </si>
  <si>
    <t>INC13620393
INC13621504</t>
  </si>
  <si>
    <t>Symptom:
1)queue_monitoring_length Elastic|Current Value : 114.5
Alert time - 2025-04-01 10:44 Hrs
Event No -INC13620393
2)AW Nokia mismatch count | 11_12 Difference in AW and Nokia count in last 1 hr| AW Count: 830  |  Nokia Count : 655  | Difference: 175 
Alert time - 2025-04-01 10:44 Hrs
Event No -INC13621504</t>
  </si>
  <si>
    <t>04/01/2025  10:44
04/01/2025  11:04</t>
  </si>
  <si>
    <t>04/01/2025  11:51
04/01/2025  11:18</t>
  </si>
  <si>
    <t>Third Party</t>
  </si>
  <si>
    <t>Process Failure/ SOP Miss</t>
  </si>
  <si>
    <t>Avoidable</t>
  </si>
  <si>
    <t>No</t>
  </si>
  <si>
    <t>Nokia_OSS: 105 orders impacted. NovaWorks: 821 orders impacted.</t>
  </si>
  <si>
    <t>Application Team</t>
  </si>
  <si>
    <t>Digital UPI Journey</t>
  </si>
  <si>
    <t>APB_Payments Hub, APB_SBA, APB_CKYC, APB_Wallet, APB_IMPS, APB_AEPS</t>
  </si>
  <si>
    <t>INC0444648</t>
  </si>
  <si>
    <t>Sev2</t>
  </si>
  <si>
    <t xml:space="preserve">High response time observed for multiple NFB applications originating from CBS. </t>
  </si>
  <si>
    <t>In this issue, High response time was observed from CBS, leading to service degradation across multiple APBL applications. During troubleshooting, the issue auto-resolved without any manual intervention from any technical domain team. As a precautionary measure, the CBS team has escalated the matter to Oracle for further root cause analysis to identify potential underlying factors and prevent recurrence.</t>
  </si>
  <si>
    <t>Payment Bank</t>
  </si>
  <si>
    <t>P4
P4
P4</t>
  </si>
  <si>
    <t>INC13630714 , INC13630720 , INC13630719
INC13630817
INC13630813</t>
  </si>
  <si>
    <t>Symptom:
1)Multiple 429 Failure Alerts for NFB-WALLET-PROFILE-ADAPTER
Alert time - 2025-04-01 22:00 Hrs
Event No -INC13630714 , INC13630720 , INC13630719
2)High 99th Percentile for /apb-service/v1/payments/bank-profile in last 10minutes
Current Value : 8571.4285714
Alert time - 2025-04-01 22:09 Hrs
Event No-INC13630817
3)High 95th Percentile for /apb-service/v1/payments/wallet-profile//IOS in last 10minutes
Current Value : 1776.8571428571429
Alert time - 2025-04-01 22:10 Hrs
Event No-INC13630813</t>
  </si>
  <si>
    <t>4/1/2025 22:00
4/1/2025 22:09
4/1/2025 22:10</t>
  </si>
  <si>
    <t>4/1/2025 22:35
4/1/2025 22:19
4/1/2025 22:25</t>
  </si>
  <si>
    <t>NA</t>
  </si>
  <si>
    <t xml:space="preserve"> For NFB-PAYMENTS-UPI Success Transactions Dip Comparison: {D vs (D-7)}=674056-1280634= 606578 (47.37%) 
For NFB-SBA Account Creation Comparison-{D vs (D-7)= 0-256= 256 (100% drop in account creation) 
For NFB-CKYC Account Creation Comparison-{D vs (D-7)= 0-116= 116 (100% drop in account creation) 
For NFB-Wallet Creation Comparison-{D vs (D-7)= 0-105= 105 (100% drop in wallet creation) For NFB-IMPS {D vs (D-1)= 29-9864= 9835 (99.71% drop in success count) (Inward Use case)
 For NFB-AePS Transactions Dip Comparison {D vs (D-1)= 1543-1863=320 (percentage dip in NFB-AePS transactions is approximately 17.18%.)</t>
  </si>
  <si>
    <t>APB_Payment_UPI, APB_SBA, APB_DMT, APB_Payments Hub, APB_Snorkel, APB_My Nova App</t>
  </si>
  <si>
    <t>INC0445286</t>
  </si>
  <si>
    <t>High response time observed for multiple NFB applications originating from CBS.</t>
  </si>
  <si>
    <t xml:space="preserve"> In this issue, High response time was observed from CBS, leading to service degradation across multiple APBL applications. During troubleshooting, the application team informed that Adhoc purge was in progress. Further DBA team stopped those ongoing purge. Following the actions taken, an improvement was observed, and the issue was resolved.</t>
  </si>
  <si>
    <t>P4
P4</t>
  </si>
  <si>
    <t>INC13635050,INC13635049,INC13635043
INC13635046,INC13635047</t>
  </si>
  <si>
    <t>1) Multiple High 429 Failure Alerts for WALLET-DETAILS-ADAPTER  
 Failure Perc : 11605% Host Name : DPS_APB_SERVICE 
Sev-4 Current Value : 11605
Alert time-2025-04-02 07:09Hrs
Event No -INC13635050,INC13635049,INC13635043
2)Multiple High 500 Failure for WALLET-PROFILE
Host Name : DPS_APB_SERVICE 
Sev-4 Current Value : 867
Alert time-2025-04-02 07:09Hrs
Event No-INC13635046,INC13635047</t>
  </si>
  <si>
    <t>04/02/2025  07:09
04/02/2025  07:09</t>
  </si>
  <si>
    <t>04/02/2025  07:29
04/02/2025  07:29</t>
  </si>
  <si>
    <t>Process and Hygiene</t>
  </si>
  <si>
    <t>Process Failure/SOP Miss</t>
  </si>
  <si>
    <t>NFB-PAYMENTS-UPI Success Transactions Dip Comparison: {D vs (D-7)}=23-28012= 606578 (47.37%)
For NFB-SBA Account Creation Comparison-{D vs (D-7)= 21-66=45 (68.18% drop in account creation)
For NFB-Payments-DMT Transactions Failure Comparison {D vs (D-7)= 14-1=13 (92.85% increase in failure rate)
For NFB-Payments Hub Transactions Dip Comparison {D vs (D-7)= 33153-4711=28442 (85.79% percentage dip in NFB-Payments Hub transactions is approximately)
For NFB-SNORKEL total hit Comparison: {D vs (D-7)}= 203474-162995=40479 (19.89% percentage increase in hit count)
For NFB-My Nova App (phastos) total failure Comparison: {D vs (D-7)}= 7471-288=7183 (96% increase in failure rate)
For NFB-My Nova App (bank profile) total failure Comparison: {D vs (D-7)}= 143604-10=143594 (99% increase in failure rate)
For NFB-My Nova App (content homepage) total failure Comparison: {D vs (D-7)}= 42519-101=42418 (99% increase in failure rate)</t>
  </si>
  <si>
    <t>Accenture</t>
  </si>
  <si>
    <t>Broadband Customer Experience Journey</t>
  </si>
  <si>
    <t>HB_CRM</t>
  </si>
  <si>
    <t xml:space="preserve">INC13637590 </t>
  </si>
  <si>
    <t>CC Advisors were unable to view bill invoices in HB_CRM.</t>
  </si>
  <si>
    <t>Issue was triggered due to a change (CHG0170863) deployed yesterday night at ESB end. To resolve the issue, ESB team proceeded with the change roll-back, post which the CC advisors were able to view the invoices.</t>
  </si>
  <si>
    <t>Broadband</t>
  </si>
  <si>
    <t>Change</t>
  </si>
  <si>
    <t>SOP Miss</t>
  </si>
  <si>
    <t>Bill invoice impacted for CC Advisors.</t>
  </si>
  <si>
    <t>CHG0170863</t>
  </si>
  <si>
    <t>Business Group</t>
  </si>
  <si>
    <t>Black Acquisition Journey, Broadband New Customer Acquisition Journey, Postpaid New Customer Acquisition Journey</t>
  </si>
  <si>
    <t>eCAF</t>
  </si>
  <si>
    <t>INC13640883</t>
  </si>
  <si>
    <t>Broadband, Postpaid and Black acquisition related payments were impacted.</t>
  </si>
  <si>
    <t>In this issue, acquisition payments initiated via QR Code were impacted for broadband, black and postpaid. Upon investigation, no anomalies were identified at eCAF and DPS end. Further, to mitigate, DPS team shifted 100% traffic from PayU to Razorpay for consumers CART_ECOM and ECOM_OM, post which issue got resolved.</t>
  </si>
  <si>
    <t>Digital Acquisition</t>
  </si>
  <si>
    <t>P2
P3</t>
  </si>
  <si>
    <t>INC13637286,INC13637098
INC13637638</t>
  </si>
  <si>
    <t>Symptoms:
1)Overall Dip in QR Code Success Rate
Host Name : DPS_SR Sev-2
Current Value : 77.359781121751027
Alert time-2025-04-02 10:49Hrs
Event No -INC13637286,INC13637098,
2)ECAF-CART Milestone View  PAYMENT FAILURE
Host Name : ECAF-CART Milestone View  PAYMENT FAILURE
Sev-4 Current Value : 230.0
PAYMENT_MODE : QR_CODE
Alert time-2025-04-02 11:17Hrs
Event No-INC13637638</t>
  </si>
  <si>
    <t>04/02/2025  10:49
04/02/2025  11:17</t>
  </si>
  <si>
    <t>04/02/2025  11:39
04/02/2025  11:57</t>
  </si>
  <si>
    <t>Success Dip: Broadband:(D vs D-7: 6154 vs 5780) is no dip. Postpaid: (D vs D-7: 5364 vs 4431) is no dip. Black: (D vs D-7 : 1460 vs 3357:1897) is 56%</t>
  </si>
  <si>
    <t>Amdocs</t>
  </si>
  <si>
    <t>DTH Customer Experience Journey</t>
  </si>
  <si>
    <t>DCAP</t>
  </si>
  <si>
    <t>INC13644620</t>
  </si>
  <si>
    <t>Order creation for NCA for DTH customer was impacted.</t>
  </si>
  <si>
    <t>In this issue, it was identified the no. of accounts had breached the capacity of CU15. To mitigate, the capacity of account creation was increased to 2.5lac from 2lac for CU15 by application team, post which pendency was repushed and orders got cleared.</t>
  </si>
  <si>
    <t>Postpaid</t>
  </si>
  <si>
    <t>P1</t>
  </si>
  <si>
    <t>INC13643825</t>
  </si>
  <si>
    <t>Symptoms:
1)High ADVANCE_PAYMENT_FAILURE in last 30 min||For threshold &gt;100Host Name : DCAP_NCA_JOURNEY_FAILURE_ALERTSev-2 Current Value : 179.0
TYPE : advance_payment_failureAlert time-2025-04-02 19:04Hrs
Event No-INC13643825</t>
  </si>
  <si>
    <t>Configuration Failure</t>
  </si>
  <si>
    <t>650 orders</t>
  </si>
  <si>
    <t>NOC Team</t>
  </si>
  <si>
    <t>NovaWorks</t>
  </si>
  <si>
    <t>INC13654177</t>
  </si>
  <si>
    <t xml:space="preserve">Broadband installation orders were intermittently stuck at ACS end. </t>
  </si>
  <si>
    <t>During the troubleshoot, ACS team confirmed that this issue was specific to installation of wifi-6 model intermittently and it got triggered due to a change deployed (CHG0171004) last night at ACS end. To restore, ACS team deployed a hotfix. However, they encountered some issues during the initial deployment, which led to a second deployment of the hotfix. Following this, improvements were observed and the issue got resolved.</t>
  </si>
  <si>
    <t>Direct</t>
  </si>
  <si>
    <t>P3
P3
P2
P1</t>
  </si>
  <si>
    <t>TG Alerts
INC13651840
INC13651512
INC13651647</t>
  </si>
  <si>
    <t>Symptom:
1)Order Level Status Alert
Issue:High Failure in last 10 min
Type:CPE Configuration
Total:55 Failure:18 Failure %:32.73
Alert time -  2025-04-03 08:41Hrs
Event No -TG Alerts
2)DN__RouterManagement_Access_log_Failure
sev-2 Trigger: /routermanagement/getCpeStatus
Trigger Name : High 5xx Failure in last 30minutes
Trigger Value: 13.248239436619718
Alert time -  2025-04-02 08:57Hrs
Event No -INC13651840
3)ACS FTACS User Session Count is too high||FTACS
Host Name : ACS Session Count
Sev-2 Current Value : 504.0
IP : 10.223.131.90
Alert time -  2025-04-03 10:01Hrs
Event No -INC13651512
4)ACS_PORT DOWN ALERT 
Issue: Port 8282 is down on 10.14.162.101
IP : 10.14.162.101 Port: 8282 Count: 0
Alert time -  2025-04-03 10:11Hrs
Event No -INC13651647</t>
  </si>
  <si>
    <t>04/02/2025  08:41
04/02/2025  08:57
04/02/2025  10:01
04/02/2025  10:11</t>
  </si>
  <si>
    <t>04/02/2025  12:41
04/02/2025  09:27
04/02/2025  10:31
04/02/2025  12:26</t>
  </si>
  <si>
    <t>Configuration Miss</t>
  </si>
  <si>
    <t>Failure of CPE configuration: 750+ orders.</t>
  </si>
  <si>
    <t>CHG0171004</t>
  </si>
  <si>
    <t>APB_Payment_UPI</t>
  </si>
  <si>
    <t xml:space="preserve">INC0446457 </t>
  </si>
  <si>
    <t>Sev1</t>
  </si>
  <si>
    <t xml:space="preserve">High response time was observed from the database impacting transactions in NFB-PAYMENTS-UPI. </t>
  </si>
  <si>
    <t>During the investigation, the UPI Team reported high response times originating from the database, which was directly impacting transaction processing. Upon analysis, the Database Team identified that an Insert Query was taking longer than expected, leading to system-wide latency. To mitigate the issue, the UPI Team restarted all UPI application services, which resulted in noticeable performance improvement. Further again issue still persisted. DBA team further increased the default parameter "_bct_public_dba_buffer_size" set to 500M -&gt; 1G to minimize concurrency impact. Following the action, an improvement was observed, and the issue was resolved.</t>
  </si>
  <si>
    <t>NO</t>
  </si>
  <si>
    <t>For NFB-PAYMENTS-UPI Success Transactions Dip Comparison: {D vs (D-1)}= 6648262-19588558=12940296 (66% drop in Success transaction)</t>
  </si>
  <si>
    <t>Nova App Experience Journey, Prepaid Online Recharge Journey, Prepaid Customer Experience Journey, Broadband Customer Experience Journey, DTH Customer Experience Journey, Postpaid Customer Experience Journey, Broadband New Customer Acquisition Journey, Black Acquisition Journey</t>
  </si>
  <si>
    <t>Nova App, DPS, eCAF_eDSL, Feasibility, LAPU_MT, Selfcare_B2C, Service Portal</t>
  </si>
  <si>
    <t>INC13659058</t>
  </si>
  <si>
    <t>SDN</t>
  </si>
  <si>
    <t xml:space="preserve">Multiple internet facing Applications which are hosted at 62 DC and Phase 2 observed service disruption. </t>
  </si>
  <si>
    <t>Multiple internet facing applications which are hosted at both Data Centers( 62 and Phase2) observed the issue. For the restoration, Network team has done AES link failover from primary to secondary for both the Data Center( 62 and Phase2). Post doing the failover improvement was observed and issue got resolved.</t>
  </si>
  <si>
    <t xml:space="preserve">Primary root cause Summary:
• Multiple internet facing applications(Service Portal, DPS, Selfcare_B2C, Feasibility, LAPU_MT, Nova App, eCAF_eDSL) hosted on both the data canters(62DC &amp; Phase2) experienced service degradation lead impact towards multiple journey’s(Nova App Experience Journey, Prepaid Online Recharge Journey, Prepaid, Broadband, DTH, Postpaid Customer Experience Journey. Customer Experience Journey, Broadband New Acquisition Order Journey, Black Acquisition Journey).
• The network team's investigations revealed that they had periodic problems with both datacentre AES Internet connectivity (primary link in Phase 2 DC and secondary link in 62DC), and that established connections had begun to move to a blackhole condition. “ where network traffic is silently discarded, or dropped, without informing the source that the data didn't reach its intended recipient”.
• During the problem, the network team noticed sporadic excessive latency on the affected links, which caused several latency-sensitive applications to go offline while all other non-latency-sensitive applications continued to function..
• When latency was excessive, each request or session that an application started to or from the internet was lost and ignored, which caused certain programs to go offline or blackhole.
• AES Internet link failover action is carried out in order to further alleviate the situation and ensure that apps successfully run. The network team also reported that since neither link port was ever down, the proper alert for a link outage was not triggered.
• To further investigate the issue, case was get register over AES end and they validated- Media of both the links, Path of both the link , utilizations of both the link , end to end media for both the link also indicating that link was not get down form long. However, What mechanisms are in place within the observability team to detect and respond to service degradation on a link that is not fully down and therefore doesn’t trigger a manual failover that concrete answer not yet received form AES end.
• Enclose the excessive latency graph which clearly indicating that issue was in both the link and going forward team will change the path and took the suggested preventive majors to avoid such occurrences further. 
Primary Internet link latency DC-62
Preventive Actions:
• Network team have to check the feasibility of AES Internet link Path segregation- Open Bhushan
• Feasibility also need to explore that what monitoring need to be place if these link port not get down(observed high latency) however, a service degradation observed. Open Bhushan
• Network team will align the Internet link for both DC’s on Secondary devices, because In Sec 62, they have NovaTel link and in Phase-2 they are having TATA as last mile. Open Bhushan
• Network team have also check if they can place secondary link for DC62 as a TATA or other vendor to rule-out dependency on NovaTel link. Open Bhushan
</t>
  </si>
  <si>
    <t>PRB0044454</t>
  </si>
  <si>
    <t>Closed</t>
  </si>
  <si>
    <t>Digital Experience B2C, Digital Acquisition, Prepaid</t>
  </si>
  <si>
    <t>P1
P1
P1
P2
P1</t>
  </si>
  <si>
    <t>INC13657727/INC13657726/INC13657718/INC13657715/INC13657700/INC13657798
INC13657821
INC13657890
INC13657891
INC13657886
INC13657946/INC13657942/INC13657983</t>
  </si>
  <si>
    <t>Symptom:
1) Multiple 10.5.35.87/10.222.204.61/10.222.204.85/10.222.204.84/10.5.35.78/10.5.35.74/10.5.35.73/10.5.35.84/10.5.35.86
DIGITAL_EXPERIENCE_KONG_INFRA
Application: Digital DevOps 
Alert time: 4/3/2025, 6:35 Hrs
Event No. -  INC13657727/INC13657726/INC13657718/INC13657715/INC13657700/INC13657798
2) Prism-TPM-Prepaid Online Recharge Journey-TPM-Prepaid-Low traffic on_PrepaidAppRechargeConsumer:PcidssCouponEngineAppTopic_is less than 50
Alert time: 2025-04-03 18:46
Event No : INC13657821
3) DPS-NEWARCH Transaction ALERT | ISSUE: Dip in SR in last 10 minutes | payment_gateway: JUSPAY | : UPI Success Rate: 0% 
Alert Time : 2025-04-03 18:50:11 
Event No: INC13657890
4) DPS LOB WISE VOLUME ISSUE STARTED | ISSUE: Traffic Dip Alert 20% from AVERAGE of same time-period of last 7 days || Lob: PREPAID |
Alert Time: 2025-04-03 18:50
Event No: INC13657891
5) Hostname: Lapupartnerwise, no data alert
Trigger: No data for Hub 2 NovaTelin
Alert Time: 2025-04-03 18:51
Event No : INC13657886
6)multiple DPS_Traffic_Monitoring
Trigger: Traffic Dip Posting Service 25%
Trigger: Traffic Dip Payments Options Service 25%
Trigger: Overall Dip in UPI Success Rate
Trigger: Traffic Dip Prepaid Service 25%
Trigger: Traffic Dip PG Service 25%
Alert time: 2025-04-03 18:58
Event No : INC13657946/INC13657942/INC13657983</t>
  </si>
  <si>
    <t>4/3/2025 18:35
4/3/2025 18:46
4/3/2025 18:50
4/3/2025 18:50
4/3/2025 18:51</t>
  </si>
  <si>
    <t>4/3/2025 19:15
4/3/2025 19:14
4/3/2025 19:30
4/3/2025 19:30
4/3/2025 19:06</t>
  </si>
  <si>
    <t>Unavoidable</t>
  </si>
  <si>
    <t>Success Hits for Service Portal : (D vs D-6: 1788 vs 2886 :1098) is 38%.  
Feasibility :Broadband Success Dip:(D vs D-7: 127 vs 398: 271) is 68%  
Success Dip for LAPU_MT:  (D vs D-7: 417076 vs 558584: 141508) is 25%.
DPS Kong Hits: (D vs D-1: 725241 vs 231329: 493912) is 68%.</t>
  </si>
  <si>
    <t>Buisness Group</t>
  </si>
  <si>
    <t>Postpaid Dunning Order Journey, Broadband Dunning Order Journey, Black Dunning Journey</t>
  </si>
  <si>
    <t>BTFLY_ATOM, UDP_Dunning</t>
  </si>
  <si>
    <t>INC13671934</t>
  </si>
  <si>
    <t>Barring and Unbarring orders of Postpaid, Broadband and Black were impacted.</t>
  </si>
  <si>
    <t>During investigation, it was identified that there was a change deployment at DBA end yesterday (CHG0171510) which triggered the issue. To mitigate the issue App DBA team rebuilt 27 indexes. After the service refresh the orders were repushed and pendency started getting cleared. Following this, improvements were observed, and the issue got resolved.</t>
  </si>
  <si>
    <t xml:space="preserve">Primary root cause:
Specification Leg-01
Q1: Why there was a service degradation experienced in Dunning Order Journey?
Ans: Because, due to slowness noticed in the underlying database for barring and unbarring orders for Postpaid, Broadband, and Black services processing were stuck, which affected several Dunning Order Journeys..
Q2: Why the underlying database system was responding slowly to the UDP_Dunning application?
Ans: Because, Subsequent analysis revealed that a sudden query execution plan change at Oracle causes a large number of active sessions (about 1000) for the SQL ID "0t2xpvt2966gz," which negatively impacted the database performance. Additionally, it was observed that the application team faced unusable state error pertaining to unusable indexes whenever they discovered that a primary index sub-partition was in an unusable state, which was also a contributing reason.
Detection Leg 02 
Q3: Why there was a sudden Oracle query execution plan got changed?
Ans: Because, At 11:30 PM the night before the outage, the Oracle query execution plan was automatically modified. Oracle's default behaviour is to select the optimal plan based on specific conditions (such as changes in underlying statistics, bind variable values, or the optimizer's internal calculations). It is common behavior for Oracle query execution plans to change following purging operations. However, the problem wasn't discovered before business hours began.
Q4: Why sub-partition primary index was in unusable state?
Ans: Subsequently, while investigating the issue,  it was discovered that a change (CHG0171510) had been implemented last night to purge the database of the tables mentioned below ACT_HI_DETAIL, ACT_HI_ACTINST, and ACT_HI_VARINST. Unfortunately, after completing the purging  activity team performed index rebuild and Reorg but neglected to create the index on the sub-partition table, which led to those situations.
Systemic leg-03
Q5: Why indexing was not rebuilt on Sub-partioning tables?
Ans: Because, task assignment and ownership details were unclear in the implementation plan; since the application L3 team's script lacked the information needed to sub partition and generate the index. This change was implemented because the team was experiencing database slow performance and needed to process the feed to 5L after billing cycle. Since this feeds only contained requests Barring orders, they were cleared without any problems. It was discovered in the morning when the system began to display live orders for Unbarring as well.
Observations:
• The issue wasn’t caught during sanity checks because there were no live orders in the system to test. Additionally, the DBA and application teams didn’t perform sanity checks after the purging and reorganization activity, which was a gap in the process.
• The implementation plan prepared by App Dev team should be cleared and App/DBA team should be aligned in a better way. 
• Since there was no data on monitoring dashboard due to which team didn’t  receive any proactive alert for outage on UDP_Dunning which delayed to catch the issue proactively.
• There was a slight delay in analysing the impact on Unbarring orders as initially  team suspected only Barring order were impacted which increased the MTTR. 
Preventive Actions:
• Going forward to avoid reoccurrence of issue both App/DBA team should be aligned and Proper change implementation plan must be shared/ reviewed with ownership and assignment to respective team- Open Yashpal, Gaurav Bansal, Pran Sharma.
• DBA team should not implement or close the change task unless team are aligned with the activity and implementation plan-Open Gaurav Bansal
• Application team to work with Monitoring team to fix the dashboard issue to ensure proactive alerting is in place-Open Bijender/Deepesh
</t>
  </si>
  <si>
    <t>PRB0044459</t>
  </si>
  <si>
    <t>P4
P4
P3
P3
P1</t>
  </si>
  <si>
    <t>INC13664726,INC13664788
INC13665115 
INC13665177 
INC13665256
TG Alerts</t>
  </si>
  <si>
    <t>Symptom
1)The Data Guard status of udpduncdbdr is Error ORA-03135: connection lost contact on N1PL-PD-BTFR01
Alert time -  2025-04-04 08:52Hrs(Fluctuating)
Event No -INC13664726,INC13664788
2)CPU I/O Wait is 80.205%, crossed warning (40) or critical (80) threshold on N1PL-PD-BTFR02 
Alert time -2025-04-04 08:22Hrs(Fluctuating)
Event No -INC13665115 
3)High CPU utilization (over {$CPU.UTIL.CRIT}% for 15m)
Hostname:10.14.175.202 sev-3  
Trigger Value: 99.12 %
Alert time - 2025-04-04 08:32Hrs(Fluctuating)
Event No -INC13665177 
4)SOLACE_ALERT |soldr25 event: VPN: VPN_CLIENT_USERNAME_CONNECTIONS_HIGH: ButterflySouthVPN - Message VPN (39) 
ButterflySouthVPN client-username udpcuser - connections threshold 160(80%) reached: 160 Service (Combined) 
Alert time -2025-04-04 08:43Hrs
Event No -INC13665256
5)Dunning: UDP Dunning: 10.14.175.201/202: 1535*. *UDP_Dunning-High Number of Active Connections_Sev-1
Alert time -2025-04-04 09:06Hrs(Fluctuating)
Event No -TG Alert</t>
  </si>
  <si>
    <t>4/4/2025 08:52
4/4/2025 08:22
4/4/2025 08:32
4/4/2025 08:43
4/3/2025 09:06</t>
  </si>
  <si>
    <t>4/4/2025 09:02
4/4/2025 11:15
4/4/2025 8:48
4/4/2025 09:28
4/3/2025 09:10</t>
  </si>
  <si>
    <t>3000+ barring/Unbarring orders</t>
  </si>
  <si>
    <t>CHG0171510</t>
  </si>
  <si>
    <t>APB_Payment_DMT, APB_IMPS Outwards</t>
  </si>
  <si>
    <t>INC0447019</t>
  </si>
  <si>
    <t>Partner &amp; Own Channel Transaction going into Timeout.All Transactions are going into Timeout for both the channels.</t>
  </si>
  <si>
    <t>An issue has been observed in IMPS outward, causing Partner and Own Channel DMT &amp; IMPS transactions to go into timeout. To resolve this, the Dev team has disabled Hibernate Envers for IMPS_OUTWARD_MASTER, preventing entries from being pushed into the Audit Table. This has resolved the Revision No. error, and after restarting imps-switch-outward on production under JIRA ID NFB-557714,Following the action, an improvement was observed, and the issue was resolved.</t>
  </si>
  <si>
    <t>For NFB-PAYMENTS-IMPS Success Transactions Dip Comparison: {D vs (D-7)}= 7-9496=9489 (99% drop in Success transaction)
For NFB-Payments-DMT Success Transactions Dip Comparison: {D vs (D-7)}= 0-7754=7754 (100% drop in Success transaction.</t>
  </si>
  <si>
    <t>Analytics Customer Experience Journey</t>
  </si>
  <si>
    <t>CGNAT</t>
  </si>
  <si>
    <t>INC13676668</t>
  </si>
  <si>
    <t>PDR loading impacted for South Hub which was resulting into CDR file corruption.</t>
  </si>
  <si>
    <t xml:space="preserve">In this issue, application team was facing issue in file dumping to the landing server due to which IPDR loading was impacted. Network Team has checked multiple angles and haven't found any issue. However, volume has decreased now and the improvement has seen automatically. 
</t>
  </si>
  <si>
    <t>Analytics</t>
  </si>
  <si>
    <t xml:space="preserve">IPDR loading backlog for south hub: 2lakh </t>
  </si>
  <si>
    <t xml:space="preserve"> INC13672528</t>
  </si>
  <si>
    <t xml:space="preserve"> Broadband installation orders were impacted intermittently.   </t>
  </si>
  <si>
    <t>In this issue, ACS team confirmed that number of connections were increased due to which issue got triggered. For the restoration, ACS team took service refresh at their end post that improvement observed and issue got resolved.</t>
  </si>
  <si>
    <t>P1
P1
P1
P1</t>
  </si>
  <si>
    <t>INC13671075
INC13671918
INC13671980
INC13672307</t>
  </si>
  <si>
    <t>Symptoms:
1) HB_ATOM-Telemedia New Customer Acquisition Journey-Device-Nucleus
Alert time: 2025-04-04 16:56 hrs
Event No. INC13671075
2) Hostname: sp_multitenant_api_failure
URL: https://hbatomdn-prod.novatel.example/routermanagement/getRadioParameters
Alert time: 2025-04-04 17:24 hrs
Event No: INC13671918
3) ACS Session Count
ACS FTACS User Session Count is too high
Alert time: 2025-04-04 17:31 hrs
Event No. INC13671980
4) Multiple high failures in last 10 min
A)Type: Check Configuration
System: FTIsDeviceProvisioned - ACS
B)Type: CPE Configuration
System: DSL Config - ACS
Alert time: 2025-04-04 18:01 hrs
Event INC13672307</t>
  </si>
  <si>
    <t>4/4/2025 16:56
4/4/2025 17:31
4/4/2025 17:31
4/4/2025 18:01</t>
  </si>
  <si>
    <t>4/4/2025 17:45
4/4/2025 18:31
4/4/2025 18:31
4/4/2025 18:11</t>
  </si>
  <si>
    <t>No orders impacted</t>
  </si>
  <si>
    <t>Prepaid Customer Experience Journey</t>
  </si>
  <si>
    <t>eCAF, PACS, Dedupe</t>
  </si>
  <si>
    <t>North Hub, West Hub</t>
  </si>
  <si>
    <t>INC13679712</t>
  </si>
  <si>
    <t>Prepaid activation Orders were getting failed in eCAF application for Delhi and Mumbai.</t>
  </si>
  <si>
    <t>In this issue, Prepaid activation orders were getting failed in eCAF application over Dedupe task. It was identified that cases was stuck on L1 eCAF. However, ecaf team repush the stuck cases post which pendency started clearing and issue got resolved.</t>
  </si>
  <si>
    <t>Digital Acquisition, Postpaid, Prepaid</t>
  </si>
  <si>
    <t>P2</t>
  </si>
  <si>
    <t>INC13675383/INC13675382/INC13675381</t>
  </si>
  <si>
    <t>Symptom
1)ECAF_PREPAID_MILESTONE_ORACLE,sev_2
Ecaf_prepaid_milestone_dedupe_success having high count
Trigger Value: 173
Alert Time :2025-04-04 23:00Hrs (Multiple)
Incident :INC13675383/INC13675382/INC13675381</t>
  </si>
  <si>
    <t>Impacted orders approx. 100</t>
  </si>
  <si>
    <t>Broadband Customer Experience Journey, Postpaid Customer Experience Journey, Broadband Payment Posting Journey</t>
  </si>
  <si>
    <t>DCAP, Ecom, OneNova, Service Portal</t>
  </si>
  <si>
    <t>INC13681983</t>
  </si>
  <si>
    <t>Issue was observed with CU10 which impacted details fetching in Service Portal, Payment posting for NCA and Broadband activation orders.</t>
  </si>
  <si>
    <t>In this issue, error was observed while processing the payment posting for the NCA journey and fetching billing details in the service portal, Broadband activation orders were also stuck at EV_Accepted task. Issue identified at CU10 and for restoration BSL team performed a service restart for impacted CU after which it got resolved.</t>
  </si>
  <si>
    <t xml:space="preserve">Postpaid, Digital Experience B2C, Digital Acquisition </t>
  </si>
  <si>
    <t>P3
P3
P2
P2
P3
P2</t>
  </si>
  <si>
    <t xml:space="preserve"> INC13681242
INC13681276
INC13681257
INC13681330/INC13681321
INC13681284,INC13681285
Alert91280799</t>
  </si>
  <si>
    <t>Direct:
1)n1ocp-pclus01_billingserviceplatform|Pod CPU utilization is High |pod:db-pdk6cu10
Alert time - 2025-04-05 13:17 Hrs
Event No INC13681242
2)BSL Billing Acc Details API FX DB High Response on DB: PDK6CU10|Current Value : 6305
Alert time - 2025-04-05 11:13 Hrs
Event No -INC13681276
Symptom:
1)sp_broadband_shifting_elgibility_failure|Trigger Value: 79
Alert time - 2025-04-05 11:14 Hrs
Event No -INC13681257
2)DCAP_NCA_JOURNEY_FAILURE_ALERT|Trigger Value: 332 
Alert time - 2025-04-05 11:24 Hrs
Event No -INC13681330,INC13681321
3)BSL_503_STATUS_CODE_ALERT_Trigger Threshold is Greater than  100|Trigger Value: 22464
Alert time - 2025-04-05 11:21 Hrs
Event No -INC13681284,INC13681285
4)Channel-Backend-Alerts-cx-Plan,sev-2
5XX | /v1/current-plan | Failure Perc : 3.9742528891597297 % || Failure count : 32804
Threshold:1.2%,Trigger Value: 3.9742528891597297
Alert Time :2025-04-05 11:18 Hrs 
Incident :Alert91280799</t>
  </si>
  <si>
    <t>5/4/2025  11:17
5/4/2025  11:13
5/4/2025  11:14
5/4/2025  11:24
5/4/2025  11:21
5/4/2025  11:18</t>
  </si>
  <si>
    <t>Open
5/4/2025  12:33
5/4/2025  11:33
5/4/2025  12:10
5/4/2025  12:21
5/4/2025  11:23</t>
  </si>
  <si>
    <t>ECOM: 124
SSP: Success Hit Dip: (D vs D-6 : 1331 vs 315 : 1016)
DCAP: 590
One NovaTel- 100 Approx</t>
  </si>
  <si>
    <t>South Hub</t>
  </si>
  <si>
    <t>Re-Opened</t>
  </si>
  <si>
    <t xml:space="preserve"> IPDR loading was impacted for South Hub which resulted into CDR file corruption.</t>
  </si>
  <si>
    <t>Same issue re-occurred where file latency was observed which further impacted CDR reports fetching to Nodal agencies. Network team checked at their but no packet loss observed. Multiple troubleshooting steps have been performed but no improvement was observed. Application team took backup of backlog files and run only live files on the nodes but no improvement observed after that also. For permanent fixing the latency issue NSG team(Techlan Ericsson) planned to perform an activity tonight.</t>
  </si>
  <si>
    <t xml:space="preserve">NA </t>
  </si>
  <si>
    <t>IPDR loading backlog for south hub: 2,71,000</t>
  </si>
  <si>
    <t>Postpaid Customer Experience Journey, iOT Customer Experience Journey</t>
  </si>
  <si>
    <t>BTFLY_ATOM, M2M</t>
  </si>
  <si>
    <t>INC13684286</t>
  </si>
  <si>
    <t>M2M new registration orders were stuck at  BTFLY_ATOM.</t>
  </si>
  <si>
    <t>In this issue, M2M new registration orders were stuck at BTFLY_ATOM. During the investigation, it was identified that slowness was observed from ESB response handler. Although, during the course of troubleshoot the issue got resolved without any technical intervention.</t>
  </si>
  <si>
    <t>Postpaid, iOT</t>
  </si>
  <si>
    <t>INC13681445
INC13682332</t>
  </si>
  <si>
    <t>Direct:
1)ESB KONG API 503 FAILURE PERCENTAGE GREATER THAN 64%|Trigger Value: 47.53
APINAME:/services/service/manageserviceprovisioning/provisionserviceorder/om/m2mretailordercallback/solace/v2
Alert time - 2025-04-05 11:31 (Fluctuating)
Event No -INC13681445
Symptom:
1)BTFLY_ATOM_TASK_WISE_IN_PROGRESS_ALERT |Trigger Value: 2233
Task Type: Comptel_in_progress
Alert time - 2025-04-05 12:39 
Event No -INC13682332</t>
  </si>
  <si>
    <t>5/4/2025  11:31
5/4/2025  12:39</t>
  </si>
  <si>
    <t>5/4/2025  12:01
5/4/2025  13:08</t>
  </si>
  <si>
    <t>M2M new registration: 5500 orders were stuck.</t>
  </si>
  <si>
    <t>Black Customer Experience Journey</t>
  </si>
  <si>
    <t>DCAP, DTH_OE, DTH_OM</t>
  </si>
  <si>
    <t>INC13692900</t>
  </si>
  <si>
    <t>Order creation and payment posting were impacted for NCA journey for DTH postpaid customers.</t>
  </si>
  <si>
    <t>During the troubleshoot, it was identified that pendency got built up at ESB end due to which inflow rate was high at BSL end because of which Order creation and payment posting were impacted for NCA journey for DTH customers. Although, during the course of troubleshoot the issue got resolved without any technical intervention.</t>
  </si>
  <si>
    <t>Postpaid, DTH</t>
  </si>
  <si>
    <t>INC13683704
INC13683726</t>
  </si>
  <si>
    <t>Symptom:
1)DTH Postpaid Solace Alert CreateServiceReqQ|Current Value : 97
Alert time - 2025-04-05 14:40 Hrs
Event No -INC13683704
2) DCAP_NCA_JOURNEY_FAILURE_ALERT|Current Value : 164
Alert time - 2025-04-05 14:44 Hrs
Event No -INC13683726</t>
  </si>
  <si>
    <t>05/04/2025  14:40
05/04/2025  14:44</t>
  </si>
  <si>
    <t>05/04/2025  15:20
05/04/2025  15:22</t>
  </si>
  <si>
    <t>DTH_OM, DTH_OE :400 order creation was impacted.
DCAP: 195</t>
  </si>
  <si>
    <t>Prepaid Retail Recharge Journey</t>
  </si>
  <si>
    <t>LAPU_GT, Mitra</t>
  </si>
  <si>
    <t>INC13685513</t>
  </si>
  <si>
    <t>Retail roaming recharges were impacted for UPW and Delhi.</t>
  </si>
  <si>
    <t>During the troubleshooting, it was identified that one switch was down at AIR end due to which it triggered the issue. To mitigate the issue, LAPU_GT team isolated the Problematic AIR IP post that success observed.</t>
  </si>
  <si>
    <t>Prepaid, Digital Acquisition</t>
  </si>
  <si>
    <t>P3
P3
P3</t>
  </si>
  <si>
    <t>INC13684901,INC13684900 ,INC13684899
INC13684908
INC13684920 /INC13684919</t>
  </si>
  <si>
    <t>Direct:
1) LapuGT_1002_responsecode|Current Value : 20|SERVER : 10.241.178.100
Alert time - 2025-04-05 16:38 Hrs (Fluctuating)
Event No -INC13684901,INC13684900 ,INC13684899
Symptom:
1)Multiple Mitra Connection Offline ISSUE STARTED
--Circle:BH|Count:32
--Circle:WB|Count:15
--Circle:NESA|Count:17
Alert time - 2025-04-05 16:40 Hrs
Event No -INC13684908, INC13684908
2)mitra_LapuFailureTrend_ErrorCode|Trigger Value: 13
Alert time - 2025-04-05 16:41 Hrs
Event No -INC13684920 /INC13684919</t>
  </si>
  <si>
    <t>2025/04/05 16:38
2025/04/05 16:40
2025/04/05 16:41</t>
  </si>
  <si>
    <t>2025/04/05 17:06
2025/04/05 16:55
2025/04/05 16:51</t>
  </si>
  <si>
    <t>Approx. 800 transactions were impacted.</t>
  </si>
  <si>
    <t>NovaWorks, Service Portal</t>
  </si>
  <si>
    <t>INC13694611</t>
  </si>
  <si>
    <t>IPTV installation was impacted at NovaWorks.</t>
  </si>
  <si>
    <t>During the troubleshoot, it was identified that EDT task was not getting closed at NovaWorks end due to which IPTV installation was impacted for which NovaWorks team was in process to bypass EDT stage in mop process. To restore the issue, Firewall team unrestricted the policy on the problematic IP for some time and then changed it back to the default state, after which the issue was resolved.</t>
  </si>
  <si>
    <t>Digital Acquisition, Digital Experience B2C</t>
  </si>
  <si>
    <t>4000 orders approx - EDT status failure.</t>
  </si>
  <si>
    <t>Broadband Customer Experience Journey, Broadband Customer Experience Journey (Activation/Install)</t>
  </si>
  <si>
    <t>NovaWorks, HB_ATOM, ACS, Service Portal, Mpower, Device Nucleus</t>
  </si>
  <si>
    <t>INC13695895</t>
  </si>
  <si>
    <t>Broadband and FWA installation orders were impacted along with CC advisors were facing issues in MOP scenario.</t>
  </si>
  <si>
    <t>In this issue, connectivity between ACS application server to server and DB was down for IPV6 environment, leading to impact on broadband and FWA installation orders along with Service Portal getting errors in various broadband related flows. 
To restore, Unix team edited the resolve.com entry for IPV6 and took restart of the application and DB servers, post which the connectivity issue was resolved. 
After this ACS application team took restart of application services and enabled the traffic, post which issue got resolved.</t>
  </si>
  <si>
    <t>Primary root cause:
Specification Leg – 01
Q1: Why did the Broadband Customer Experience Journey experience a service outage?
Ans: Because, Numerous applications (NovaWorks, Mpower, Service Portal, HB_ATOM) were experiencing failures from downstream applications (ACS), which affected the installation of broadband and FWA. Additionally, a number of scenarios pertaining to broadband not functioning in the service portal had an impact on the Broadband Customer Experience Journey, as FEs were receiving multiple errors while processing orders for broadband and FWA installations, including "Provisioning not completed, Device not found on TR, Error receive from ACS FTGet Deviceinfo API-503, etc." In addition, Mpower reports that "reboot data not found under reboot count" and the services portal reports that "not able to load data."
Detection Leg 02
Q2: Why were several application services receiving failures from the application ACS downstream?
Ans: Because, intercommunications between ACS applications servers(12 servers) for IPV6 were not happening and later also not able to stablished connections with ACS underlying primary database 10.223.131.90 as its got hanged, even not able to execute OS commands (PS-EF) as well.
Q3: Why again the ACS system started experiencing failure in evening as well?
Ans: Because, again the similar kind of  issue observed with primary ACS database 10.223.131.90  which was catering the traffic went into hung state and team was not able to execute any OS commands. However, no such intercommunication-related difficulty was recorded this time between ACS nodes. Additionally, database traffic was moved to secondary passive database 10.223.131.91 in order to mitigate the problem.
Q4: Why there was an issue observed with primary database 10.223.131.90?
Ans: The Infra/DBA team's investigation revealed that an auto-killing Cron Job had been operating on the primary database since the fourth April’25, which finally caused the database and system performance to deteriorate and enter a hung state, making it unable to even execute any OS instructions. The DBA team halted the cron task, which improved system performance and decreased system load.
Systemic leg-03
Q5: Why intercommunications get break between ACS applications servers for IPV6 protocol?
Ans: More conversations with Infra team investigate that, On 8th February’25 ColorTokens agents get installed on ACS system with couple of dependent packages and in one of them was nftable. However, on 6th Apr’25 nftable rules were being pushed from ColorTokens console which restricted IPv6 IP pinging. Since agents were communicating through DNS and when team remove entries from resolve.conf file and rebooted system, nftable rules got flushed and Ips are started pining. 
Note: In order to reduce the security risk, the Zero Trust agent (ColorTokens) was deployed on DMZ/EOL/EOS servers. The security team's job was to simply capture packages, not to enforce any policies. Agent was meant to keep an eye on and add known traffic to its whitelist, but it broke down and stopped the transactions. It established a clear IPV 6 deny rule. These are the other  impacted database RAC cluster which is now fixed by removing the nftable rules ADRS App- 10.5.179.220,10.5.179.63, 10.5.179.67, Route -10.14.59.61 - Intec-10.13.61.71 Digi CAF App, 10.241.66.172, 10.14.242.106 KM-IPORTAL. Detailed RCA of this cause will be share by security team.
Observations: 
Overall MTTR of the outage was very high and the contribution factor are as follows- 
• A few ACS services experienced similar problems with the system on March 28th, however the Infra team was unclear about the mitigation strategy on that day of the outage and required an extra forty-five minutes to troubleshoot the problem. 
• The ACS team was also unable to open traffic once this intercommunications problem was resolved because of the high number of CPE device sessions, which was another contributing factor.
• It was also discovered that servers were not receiving patches for an extended period of time, with compliance posture in mind, the application team is encouraged to finish patching both (DB/ACS servers) as soon as possible.
• The INFRA Team also pointed out that the NSF mount point "policy is open between production and test and this is shared between two hosts, one production, one test" does not adhere to best practices. It is necessary to review the test and production policies.
• Before implementing any new policies in the production systems, the security team must evaluate every factor.
Preventive Actions: 
• Application team have to explore the feasibility to run the database services in Active/Active mode instead of Active Passive. Open Ajay
• ACS system monitoring need to be placed over central monitoring system instead to monitor form Cron Job’s. Open Ajay
• ACS team have to revisit the NSF mount point requirement and fix test to Prod configurations as well as data is moving from PROD to test. Open Ajay
• Route access for OS/DBA need to be more stringent to make changes in running environment. Open  Ajay/Amit Bajpai
• Security team to revert deny policy which was pushed from console and hold any new implementation till further communication. Closed Shailendra 
• Cross validate that any rule push should not carry DENY policy. Open Amit Bajpai</t>
  </si>
  <si>
    <t>PRB0044460</t>
  </si>
  <si>
    <t>Broadband, Digital Acquisition, Digital Experience B2C, NSG</t>
  </si>
  <si>
    <t>P1
P1
P1/P1
P1/P1/P1
P1
P1
P1
P1
P1</t>
  </si>
  <si>
    <t>Alert91314410
INC13693714
INC13693741/INC13693758/INC13693757
INC13693747/INC13693745/INC13693789
Alert91314522 
INC13693789
INC13693788/INC13693785 
Alert91314572
Alert91314541</t>
  </si>
  <si>
    <t xml:space="preserve">ACS_PORT DOWN ALERT  🚫
Issue: Port 8103 is down on 10.14.78.250
Alert time:2025-04-06 11:29 Hrs Hrs
Incident:Alert91314410
2)*HB_ATOM-Broadband New Customer Acquisition Journey-Device-Nucleus_BT_/routermanagement/
getConnectedDevices_OverallErrorRate is greater than 15%_Sev-1
Alert time:2025-04-06 11:27 Hrs
Incident:INC13693714
3)Multiple 5XX Failure in last 10 Minutes
API : /router/bandblock/resume//router/info//router/ssids
Alert time:2025-04-06 11:29 hrs (Fluctuating)
Incident:INC13693741/INC13693758/INC13693757
4)Multiple CPE Configuration
Total:579
Failure:465
Threshold:Min 40 hits and 30% failure
Alert time:2025-04-06 11:31 Hrs (Fluctuating)
Incident:INC13693747/INC13693745/INC13693789
5)Check Configuration
Total:364
Failure:255
Threshold:Min 50 hits and 70% failure
Alert Time:2025-04-06 11:33 Hrs
Incident: Alert91314522 
6) DN_TASK_FAILURE_ALERT_NOC
Sev : S3
Current Value : 80.31
Alert time:2025-04-06 11:33 Hrs
Incident:INC13693789 
7) DN_SYSTEM_FAILURE_ALERT_NOC
Sev : S3
Current Value : 70.05
Alert time:2025-04-06 11:33 Hrs
Incident:INC13693788/INC13693785
8)HB_ATOM-Telemedia New Customer Acquisition Journey-Device-Nucleus_
OverallAvgResponseTime 5000ms_Sev-1
Alert time:2025-04-06 11:34 Hrs
Incident:Alert91314572
9)sp_multitenant_api_failure
Sev: S2
Current Value : 198 
Alert time:2025-04-06 11:34 Hrs
Incident:Alert91314541
</t>
  </si>
  <si>
    <t>4/6/2025 11:29
4/6/2025 11:27
4/6/2025 11:29
4/6/2025 11:31
4/6/2025 11:33
2025-04-06 11:33:41"
4/6/2025 11:33
2025-04-06 11:34:59"
2025-04-06 11:34:01"</t>
  </si>
  <si>
    <t>4/6/2025 12:44
4/6/2025 11:43
4/6/2025 12:09
4/6/2025 12:13
4/6/2025 12:03
4/6/2025 12:16
4/6/2025 12:03
4/6/2025 11:39
4/6/2025 11:37</t>
  </si>
  <si>
    <t>4k Installations were impacted.
Success Hits for Service Portal : (D vs D-6: 19064 vs 16578 :2486) is 15%.</t>
  </si>
  <si>
    <t>Accenture-DCMS</t>
  </si>
  <si>
    <t>Broadband and FWA installation orders were impacted along with Service Portal were getting errors in various broadband related flows.</t>
  </si>
  <si>
    <t>ssue re-surfaced as Application was not able to connect with the Primary DB node(10.223.131.90). As a workaround, DBA team has done failover of Primary DB node to secondary DB node following service restart of the application services by ACS team. Post doing the corrective actions, issue got resolved.</t>
  </si>
  <si>
    <t>P1
P2
P4
P1
P3
P3
P1</t>
  </si>
  <si>
    <t>INC13697379
INC13697401
INC13697411,INC13697452
INC13697470
INC13697504
INC13697502
INC13697421</t>
  </si>
  <si>
    <t>Symptom:
1)HB_ATOM-Broadband New Customer Acquisition Journey-Device-Nucleus_BT_/routermanagement/
getConnectedDevices_OverallErrorRate is greater than 15%_Sev-1
Alert time:2025-04-06 19:09 Hrs
Incident:INC13697379
2)ACS_PORT DOWN ALERT  🚫
Issue: Port 8103 is down on 10.14.78.250
Alert time:2025-04-06 19:03 Hrs Hrs
Incident:INC13697401
3)Multiple 5XX Failure in last 10 Minutes
API : /router/bandblock/resume//router/info//router/ssids
Alert time:2025-04-06 19:05 hrs (Fluctuating)
Incident:INC13697411,INC13697452
4)Multiple CPE Configuration
Total:475
Failure:146
Failure %:30.74
Threshold:Min 40 hits and 30% failure
Alert time:2025-04-06 19:11 Hrs 
Incident:INC13697470
5) DN_TASK_FAILURE_ALERT_NOC
Sev : S3
Current Value : 100
Alert time:2025-04-06 19:13 Hrs
Incident:INC13697504 
6) DN_SYSTEM_FAILURE_ALERT_NOC
Sev : S3
Current Value : 94.66
Alert time:2025-04-06 19:13 Hrs
Incident:INC13697502
7)HB_ATOM-Telemedia New Customer Acquisition Journey-Device-Nucleus_
OverallAvgResponseTime 5000ms_Sev-1
Alert time:2025-04-06 19:04 Hrs
Incident:INC13697421</t>
  </si>
  <si>
    <t>06/04/2025 19:09
06/04/2025 19:03
06/04/2025 19:05
06/04/2025 19:11
06/04/2025 19:13
06/04/2025 19:13
06/04/2025 19:04</t>
  </si>
  <si>
    <t>06/04/2025 19:46
06/04/2025 19:39
06/04/2025 20:15
06/04/2025 19:46
06/04/2025 19:43
06/04/2025 19:46
06/04/2025 19:38</t>
  </si>
  <si>
    <t>Infra Issue</t>
  </si>
  <si>
    <t>Hygiene</t>
  </si>
  <si>
    <t>4k installation orders were impacted</t>
  </si>
  <si>
    <t>INC13706601</t>
  </si>
  <si>
    <t>CC advisors were facing issues in MOP scenario.</t>
  </si>
  <si>
    <t xml:space="preserve">In this issue, CC advisor were facing issue in Internet not working MOP scenario for Broadband. Upon investigation, it was observed that the issue was from ACS end as HB_ATOM was not receiving response from ACS. ACS team took some corrective action, post which issue got resolved.
</t>
  </si>
  <si>
    <t>Root Cause Analysis (RCA) – EmbedUR API Slowness
Summary: The EmbedUR API experienced degraded performance resulting in noticeable slowness in application responses. The root cause was traced to a hardware failure on one of the primary servers hosting the API, leading to performance degradation. 
Root Cause: A hardware failure occurred on one of the primary servers used by the EmbedUR API. This failure disrupted optimal load distribution, resulting in increased response times from the 
application.
Impact:
 Increased latency observed in API responses. Partial degradation in application performance for end users.
 Temporary load imbalance across infrastructure.
Actions Taken:
1. The faulty server was immediately isolated to prevent further impact.
2. Services were re-routed and redistributed across remaining healthy servers to ensure 
business continuity.
3. EmbedUR OEM team intervened and optimized traffic handling on the active servers to 
balance the load efficiently.
4. The team collaborated closely with EmbedUR OEM to continuously monitor and 
stabilize the environment.
Current Status:
 Issue resolved. Application performance restored to normal parameters.
 Continuous monitoring is in place to ensure stability.
Preventive Measures / Next Steps:
 EmbedUR OEM to conduct a thorough review of the failed server and replace/repair as required.
 Infrastructure team to review and enhance hardware health monitoring protocols. Evaluate and strengthen the failover mechanism to minimize future disruption.
 Scheduled follow-up with OEM to discuss long-term resilience and performance optimization.</t>
  </si>
  <si>
    <t>PRB0044466</t>
  </si>
  <si>
    <t>Digital Experience B2C, Digital Acquisition</t>
  </si>
  <si>
    <t>p1
P1
P1
P1</t>
  </si>
  <si>
    <t>INC13702781,INC13702811,INC13702810,Alert9134209
INC13702786,INC13702857
INC13702826/INC13702893
INC13702880/INC13702879</t>
  </si>
  <si>
    <t>Multiple channel backend alert
API : /router/devices//router/info//migration/router/mesh/node/router/availability
Alert time:2025-04-07 08:45 Hrs (Fluctuating)
Incident:INC13702781,INC13702811,INC13702810,Alert91342091  
2)HB_ATOM-Broadband New Customer Acquisition Journey-Device-Nucleus_BT_/routermanagement/
getConnectedDevices_OverallErrorRate is greater than 15%_Sev-1
Alert time:2025-04-07 08:47 Hrs
Incident:INC13702786,INC13702857
3)sp_multitenant_api_failure
Sev: S2
Current Value : 198 
Alert time:2025-04-07 08:51 Hrs
Incident:INC13702826/INC13702893
4)DN__RouterManagement_Access_log_Failure
Sev: S3
Current Value : 13.36
Alert time:2025-04-07 08:57 Hrs
Incident:INC13702880/INC13702879</t>
  </si>
  <si>
    <t>4/7/2025 8:45
4/7/2025 8:47
4/7/2025 8:51
4/7/2025 8:57</t>
  </si>
  <si>
    <t>4/7/2025 8:59
4/7/2025 9:45
4/7/2025 9:20
4/7/2025 9:27</t>
  </si>
  <si>
    <t>Hardware Failure</t>
  </si>
  <si>
    <t>Success hits Dip (D Vs D-4 : 393 Vs 9800 : 9407) 95.8%</t>
  </si>
  <si>
    <t>Nova App Experience Journey</t>
  </si>
  <si>
    <t>Nova App, DPS</t>
  </si>
  <si>
    <t>INC13706748</t>
  </si>
  <si>
    <t>Recharges via Nova App were delayed.</t>
  </si>
  <si>
    <t>In this issue, it was identified that the recharges performed via the NovaTel app were delayed as the DPS Kafka went down. To restore this, DPS team took the Kafka services refresh post which issue got resolved.</t>
  </si>
  <si>
    <t>Digital Experience B2C</t>
  </si>
  <si>
    <t>P1
P1
P1/P1/P1
P1/P1/P1</t>
  </si>
  <si>
    <t xml:space="preserve">INC13705748,INC13705836,INC13705832
INC13705914
Alert91348412,Alert91348441,Alert91348443
Alert91348842,Alert91348843
</t>
  </si>
  <si>
    <t>Multiple DPS_Kafka_10.14.190.237/235/236 alerts
severity: Disaster
Trigger Name : Kafka Broker unreachable 
Alert time:2025-04-07 12:48 Hrs 
Incident:INC13705748,INC13705836,INC13705832 
Symptom:
1)Prism-TPM-Prepaid Online Recharge Journey-TPM-Prepaid-Low traffic on_PrepaidAppRechargeConsumer
:PcidssCouponEngineAppTopic_is less than 50
Alert time:2025-04-07 12:57 Hrs
Incident:INC13705914
2)Multiple DPS_Anomaly
Sev : S2,Current Value : 245
Alert time:2025-04-07 12:53 Hrs
Incident:Alert91348412,Alert91348441,Alert91348443
3)Lapu partner wise no data alert
severity: Average
Trigger: No data for Hub 2 NovaTelin
Alert time:2025-04-07 13:06 Hrs
Incident:Alert91348842,Alert91348843</t>
  </si>
  <si>
    <t>4/7/2025 12:48
4/7/2025 12:57
4/7/2025 12:53
4/7/2025 13:06</t>
  </si>
  <si>
    <t>4/7/2025 13:05
4/7/2025 13:13
4/7/2025 13:02
4/7/2025 13:11</t>
  </si>
  <si>
    <t>Delayed transaction count : 20k approx.</t>
  </si>
  <si>
    <t>Issue resurfaced where CC advisors were facing issue in MOP scenario for Broadband. HB_ATOM team confirmed that they were getting error from ACS end. During the troubleshooting, ACS team suspected that issue might occurred due to high load on router management. To mitigate the issue, ACS team redeployed all the services for their application, post which improvement seen.</t>
  </si>
  <si>
    <t>P3
P1
P2
P2</t>
  </si>
  <si>
    <t>INC13708659
INC13697379
INC13708762,INC13709066
Alert91354833,Alert91354673</t>
  </si>
  <si>
    <t>Symptom:
1)DN__RouterManagement_Access_log_Failure
Alert time:2025-04-07 16:27 Hrs
Incident:INC13708659
2)HB_ATOM-Telemedia New Customer Acquisition Journey-Device-Nucleus_OverallAvgResponseTime 5000ms_Sev-1
Alert time:2025-04-07 16:32 Hrs
Incident:INC13697379
3)sp_multitenant_api_failure|Trigger Value: 907
API://hbatomdn-prod.novatel.example/routermanagement/getAccessPointInfo
Alert time:2025-04-07 16:33 Hrs
Incident:INC13708762,INC13709066
4)Channel-Backend-Alerts-cx-network|Failure Perc : 39.94 %|Failure count : 900
API : /router/info
API : /migration/router/mesh/node
Alert time:2025-04-07 16:39 Hrs
Incident:Alert91354833,Alert91354673</t>
  </si>
  <si>
    <t>4/07/2025 16:27
4/07/2025 16:32
4/07/2025 16:33
4/07/2025 16:39</t>
  </si>
  <si>
    <t>4/07/2025 16:50
4/07/2025 19:46
4/07/2025 16:50
4/07/2025 17:34</t>
  </si>
  <si>
    <t>No Business Impact</t>
  </si>
  <si>
    <t>APB_Payment_UPI, APB_Payment_DMT, APB_IMS</t>
  </si>
  <si>
    <t>INC0448187</t>
  </si>
  <si>
    <t>In this issue, High response time was observed from CBS, leading to service degradation across multiple APBL applications. During troubleshooting, the application team informed that they have taken the restart of all 12 CBS nodes. Following the actions taken, an improvement was observed, and the issue was resolved. The thread dump has been downloaded for further analysis.</t>
  </si>
  <si>
    <t>P4
P3</t>
  </si>
  <si>
    <t>INC13715265 , INC13715264 ,Alert91372929 ,Alert91372928
INC13715301</t>
  </si>
  <si>
    <t>Symptoms:
1)High  Failure for WALLET-PROFILE
Host Name : DPS_APB_SERVICE || Current Value :  2917
API : WALLET-PROFILE
API : WALLET-DETAILS-ADAPTER 
API : NFB-WALLET-PROFILE-ADAPTER
Alert Time : 2025.04.08 03:39 Hrs 
Incident : INC13715265 , INC13715264 ,Alert91372929 ,Alert91372928
2)High 99th Percentile in last 10minutes
API :  /apb-service/v1/payments/bank-profile  | Current Value : 5089
Alert Time : 2025.04.08 03:44 Hrs 
Incident : INC13715301</t>
  </si>
  <si>
    <t>04/08/2025  03:39
04/08/2025 03:44</t>
  </si>
  <si>
    <t>04/08/2025  03:58
04/08/2025 03:55</t>
  </si>
  <si>
    <t>Service Portal</t>
  </si>
  <si>
    <t>Issue resurfaced where CC advisors were facing issue in MOP scenario for Broadband. ACS team was confirmed that around 5 VMs managed by NSG in Noida 57 were down due to which issue triggered. To mitigated the impact, ACS' OEM redistributed the load across other available virtual machines (VMs), post which improvement observed.</t>
  </si>
  <si>
    <t>P2
P1</t>
  </si>
  <si>
    <t>INC13716609,INC13716750
Alert91377284</t>
  </si>
  <si>
    <t>Symptoms:
1)sp_multitenant_api_failure | High Failure in last 10M  |  Total Count : 216 | 
URL:https://hbatomdn-prod.novatel.example/routermanagement/getCurrentChannelValues
URL:/guardian/api/v1/user/custom/BROADBAND_DEVICE_DETAILS_NEW
Alert Time : 2025-04-08 06:31 Hrs 
Incident : INC13716609,INC13716750
2)HB_ATOM-Telemedia New Customer Acquisition Journey-Device-Nucleus_OverallAvgResponseTime 5000ms_Sev-1
Alert Time : 2025-04-08 06:38 Hrs 
Incident : Alert91377284</t>
  </si>
  <si>
    <t>04/08/2025  06:31
04/08/2025  06:38</t>
  </si>
  <si>
    <t>04/08/2025  06:42
04/08/2025  06:44</t>
  </si>
  <si>
    <t>D vs D-4= 44 vs 3758= 3723(99%) Success Dip.</t>
  </si>
  <si>
    <t>Postpaid Payment Posting Journey</t>
  </si>
  <si>
    <t>INC13719127</t>
  </si>
  <si>
    <t>Payment posting for Postpaid LOB was impacted intermittently.</t>
  </si>
  <si>
    <t>It was identified that issue triggered for Postpaid payment postings intermittently. To resolve the issue, DBA team proceeded with DB bounce for CU27 followed by the creation of 7 new indexes and enabling of the constraints, post which the issue was mitigated.</t>
  </si>
  <si>
    <t>P1
P1
P1
P1
P1
P1</t>
  </si>
  <si>
    <t>INC13715632
INC13715672  
INC13715706
INC13717133,Alert91378991
INC13717610</t>
  </si>
  <si>
    <t>FX High response time in last 60 min exception(): 
not able to call databaseService API on DB: PDK6CU27
Alert time:  2025-04-08 04:25 Hrs
Incident: INC13715632 
2)FX High response time in last 60 min exception():
 not able to call databaseService API on DB: PDK6CU31
Alert time:2025-04-08 04:33 Hrs 
Incident:INC13715672  
3)FX High response time in last 60 min executeProcedure():
 database service API on DB: PDK6CU31
Alert time:2025-04-08 04:39 Hrs
Incident:INC13715706
4) Lapu StatusCode wise alert in cap Gateway
Sev : S3
Current Value : 14.0
Alert time:2025-04-08 07:30 (Fluctuating)
Incident:INC13717133,Alert91378991,
5)DCAP OCP 4 MetricWise Failed Hits ALERT
Sev:S2
Current value:130.0
Alert time:2025-04-08 08:14 Hrs
Incident:INC13717610</t>
  </si>
  <si>
    <t>4/8/2025 4:25
4/8/2025 4:33
4/8/2025 4:39
4/8/2025 7:30
4/8/2025 8:14</t>
  </si>
  <si>
    <t>4/8/2025 10:46
4/8/2025 10:33
4/8/2025 10:39
4/8/2025 7:40
4/8/2025 7:40
4/8/2025 8:50</t>
  </si>
  <si>
    <t>Failure count: 202</t>
  </si>
  <si>
    <t>Prepaid Customer Experience Journey (Activation/Install), Postpaid Customer Experience Journey (Activation/Install)</t>
  </si>
  <si>
    <t>M2M, Mediation_IL</t>
  </si>
  <si>
    <t>North Hub</t>
  </si>
  <si>
    <t>INC13718240</t>
  </si>
  <si>
    <t>Prepaid-MNP and M2M Postpaid activation is impacted for Delhi and UP West.</t>
  </si>
  <si>
    <t>In this issue, hardware failure was identified at NSG end wherein power adapter was faulty for  one of the AIR node. For this, Hardware engineer replaced the faulty adapter post which the node got up. Pendency was repushed and success was observed, issue stands resolved.</t>
  </si>
  <si>
    <t>Prepaid, iOT</t>
  </si>
  <si>
    <t>P1
P1
P1</t>
  </si>
  <si>
    <t>INC13718330
INC13718329
TG ALERT</t>
  </si>
  <si>
    <t>Multiple ECMS PORT is DOWN
Severity : P3
Current Value : down
DESTINATION : 10.3.174.5
SOURCE : 10.5.207.84
HUB : DELCMS1
Alert time: 2025-04-08 09:33  Hrs
Incident: INC13718330
2)Multiple ECMS PORT is DOWN
Current Value : down
HUB : UPWCMS1
DESTINATION : 10.3.174.5
SOURCE : 10.92.202.80
Alert time:2025-04-08 09:33 Hrs
Incident:INC13718329
Symptom:
1)Overall Failure Pendency seen more than 1000 in last 15min
Orders Failure: 1337
Sev: S3
Alert time:2025-04-08 10:16
Incident:Tg Alert</t>
  </si>
  <si>
    <t>4/8/2025 9:33
4/8/2025 9:33
4/8/2025 10:16</t>
  </si>
  <si>
    <t>open
Open
4/8/2025 11:31</t>
  </si>
  <si>
    <t>Prepaid MNP- 1500 orders
M2M-7200 orders</t>
  </si>
  <si>
    <t>Broadband Payment Posting Journey, DTH Customer Experience Journey, Postpaid Payment Posting Journey, Prepaid Customer Experience Journey</t>
  </si>
  <si>
    <t>DCAP, DTH_OE, DTH_OM, Ecom</t>
  </si>
  <si>
    <t>INC13724193</t>
  </si>
  <si>
    <t>Payment posting was impacted in DCAP for all LOBs; change order was impacted for DTH; and Broadband and postpaid orders were stuck in "EV_Accepted" status.</t>
  </si>
  <si>
    <t>In this issue, it was identified that issue triggered as old token was used at the BSL end post OCP cluster upgrade last night instead of a new token. To resolve the issue, BSL team took a token refresh for the services, post which the issue got resolved.</t>
  </si>
  <si>
    <t>Postpaid, DTH, Digital Acquisition</t>
  </si>
  <si>
    <t>INC13722640
INC13722642,INC13722641
Alert91391300,Alert91391303</t>
  </si>
  <si>
    <t>DCAP_NCA_JOURNEY_FAILURE_ALERT|Trigger Value: 137
Alert time:2025-04-08 15:04 Hrs
Incident:INC13722640
2)Multiple Dcap OCP 4 High Failures being Observed 
--for home_fail 
--for wireline 
-- for wireless
--for jk10_fail
Alert time:2025-04-08 15:04 Hrs
Incident:INC13722642,INC13722641
3)Multiple : PostPaid_BSL_Count is High
Alert time:2025-04-07 15:13 Hrs
Incident:Alert91391300,Alert91391303</t>
  </si>
  <si>
    <t>4/8/2025 15:04
4/8/2025 15:04
4/8/2025 15:14</t>
  </si>
  <si>
    <t>4/8/2025 15:44
4/8/2025 15:38
4/8/2025 15:54</t>
  </si>
  <si>
    <t>Change orders : DTH_OM, DTH_OE- 1489 NCA orders for DTH - 336 EV_Accepted - 250 Postpaid: 4641 Broadband: 3396</t>
  </si>
  <si>
    <t>APB_CMS</t>
  </si>
  <si>
    <t>INC0448326</t>
  </si>
  <si>
    <t>High response time observed for TP connection originating from CMS.</t>
  </si>
  <si>
    <t xml:space="preserve">In this issue, High response time was observed for TP connection, leading to service degradation across the NFB-CMS applications. During troubleshooting, the application team informed that DB connection has reached the max limit set for per node which is set to 50 connection per node, Further they have taken the restart on CMS nodes (10.241.246.45/46/47). Following the actions taken, an improvement was observed, and the issue was resolved. </t>
  </si>
  <si>
    <t>For NFB-CMS- Success Transactions Dip Comparison: {D vs (D-1)}= 531-1231=700  (56.86% dip in success count)</t>
  </si>
  <si>
    <t>Broadband New Customer Acquisition Journey</t>
  </si>
  <si>
    <t>eCAF_eDSL</t>
  </si>
  <si>
    <t>INC13726407</t>
  </si>
  <si>
    <t>Commercial broadband acquisition was impacted intermittently.</t>
  </si>
  <si>
    <t>The issue was identified to be at Cleartax end. Corrective action was taken from their end, post  which the issue was successfully resolved.</t>
  </si>
  <si>
    <t>12 orders approx were impacted.</t>
  </si>
  <si>
    <t xml:space="preserve">CC advisors were facing issues in MOP scenario due to issue at NSG end. </t>
  </si>
  <si>
    <t>Issue resurfaced where CC advisors were facing slowness and inaccessibility issue in MOP scenario for Broadband. Upon investigation, ACS team did health checks at their end but no anomalies were identified.The error rate got decreased for the impacted API, post which improvement was observed. However, action taken to resolve, remains unknown.</t>
  </si>
  <si>
    <t xml:space="preserve">P2
P1
P1
</t>
  </si>
  <si>
    <t>INC13727312
INC13727448
INC13727453</t>
  </si>
  <si>
    <t>1)sp_multitenant_api_failure | High Failure in last 10M  |  Total Count : 460  
URL:https://hbatomdn-prod.novatel.example/routermanagement/getCurrentChannelValues
Alert Time : 2025-04-08 22:11 Hrs 
Incident : INC13727312
2)HB_ATOM-Broadband -Device-Nucleus_BT_/routermanagement/getConnectedDevices_OverallErrorRate is greater than 15%
Alert Time : 2025-04-08 22:25 Hrs 
Incident : INC13727448
3)HB_ATOM-Telemedia New Customer Acquisition Journey-Device-Nucleus_OverallAvgResponseTime 5000ms_Sev-1
Alert Time : 2025-04-08 22:27 Hrs 
Incident : INC13727453</t>
  </si>
  <si>
    <t>04/08/2025  22:11
04/08/2025  22:25
04/08/2025  22:27</t>
  </si>
  <si>
    <t>04/08/2025  22:32
04/08/2025  22:48
04/08/2025  22:47</t>
  </si>
  <si>
    <t>1872 Failed Hits (Out of 3900</t>
  </si>
  <si>
    <t>Issue resurfaced where CC advisors were facing slowness and inaccessibility issue in MOP scenario for Broadband. Upon investigation, ACS team took corrective actions which decreased the error rates for the impacted API and improvement was observed. However, action taken to resolve, remains unknown.</t>
  </si>
  <si>
    <t>INC13732345 
INC13732208</t>
  </si>
  <si>
    <t>sp_multitenant_api_failure
severity: High URL:https://hbatomdn-prod.novatel.example/routermanagement/getCurrentChannelValues
Alert time: 2025-04-09 07:36 Hrs
Incident: INC13732345 
2)HB_ATOM-Broadband New Customer Acquisition Journey-Device-Nucleus_BT_
/routermanagement/getConnectedDevices
_OverallErrorRate is greater than 15%_Sev-1 
Alert time:2025-04-09 07:50 Hrs (Fluctuating)
Incident:INC13732208</t>
  </si>
  <si>
    <t>4/9/2025 7:36
4/9/2025 8:21</t>
  </si>
  <si>
    <t>4/9/2025 7:49
4/9/2025 9:19</t>
  </si>
  <si>
    <t>Success Hits Dip (D vs D-4 : 3465 vs 4706: 1241) is 26%.</t>
  </si>
  <si>
    <t>Prepaid Customer Retail Acquisition Journey</t>
  </si>
  <si>
    <t>Mitra</t>
  </si>
  <si>
    <t>West Hub</t>
  </si>
  <si>
    <t>INC13737509</t>
  </si>
  <si>
    <t>Prepaid acquisition was impacted for Gujarat circle intermittently.</t>
  </si>
  <si>
    <t>During the troubleshooting, it was identified that the issue reported was due to an ongoing issue observed in transport layer at NSG side for Gujarat circle. To resolve this, MPLS_NOC team took corrective action at their end, post which services got restored.</t>
  </si>
  <si>
    <t>Success Dip ( D vs D-7): 535936 vs 570350 is 6%</t>
  </si>
  <si>
    <t>Black Acquisition Journey</t>
  </si>
  <si>
    <t>INC13740911</t>
  </si>
  <si>
    <t>Black orders acquisition was
impacted intermittently for UK circle.</t>
  </si>
  <si>
    <t>In this issue, while processing black order payment QR and link was not generating as DTH account was not created at DTH_CRM. On further investigation some issue was observed at DTH_CRM for which CRM team took some corrective action post which issue got resolved.</t>
  </si>
  <si>
    <t>P3</t>
  </si>
  <si>
    <t>INC13735229</t>
  </si>
  <si>
    <t>Symptom:
1)ECAF-CART Milestone View  PAYMENT FAILURE|PAYMENT_MODE : QR_CODE|Current Value : 213
Alert time:2025-04-09 11:37 Hrs
Incident:INC13735229</t>
  </si>
  <si>
    <t>Delay in processing.</t>
  </si>
  <si>
    <t>Broadband Customer Experience Journey, Black Customer Experience Journey, Postpaid Customer Experience Journey, Broadband Customer Experience Journey (Activation/Install), Postpaid Customer Experience Journey (Activation/Install), DTH Customer Experience Journey (Activation/Install)</t>
  </si>
  <si>
    <t>DTH_OE, DTH_OM, DCAP, BSL, BTFLY_ATOM, HB_ATOM</t>
  </si>
  <si>
    <t>INC13755225</t>
  </si>
  <si>
    <t>Order creation and payment posting were impacted for NCA journey for DTH postpaid customers and dunning orders were impacted for Broadband and Postpaid.</t>
  </si>
  <si>
    <t>During troubleshooting, it was found that OCP Worker Node 19 had a hardware issue and got rebooted because of this, the pods moved to other nodes, which caused aerospike movement to stop. After BSL team performed a refresh of the order polling service, the issue was resolved.</t>
  </si>
  <si>
    <t>Postpaid, Broadband, DTH</t>
  </si>
  <si>
    <t>P1
P3
P3
P3
P4
P2
P3</t>
  </si>
  <si>
    <t>INC13753883/INC13753720/INC13753737/INC13753724
INC13753723
INC13753113 / INC13753393
INC13753491/INC13753850 
INC13753471
INC13753879/INC13754003
INC13754087/INC13754178</t>
  </si>
  <si>
    <t xml:space="preserve">Direct
1)Hostname:N1OCP-PCLUS-01,sev-1
Trigger: Following Cluster Operator - machine-config presently in Degraded state
description: CO degraded reason ,MachineConfigDaemonFailed
Trigger Value: 1
Alert Time :2025-04-10 15:28 Hrs 
Incident :INC13753883/INC13753720/INC13753737/INC13753724
2)Hostname:N1OCP-PCLUS-01,sev-3
Following crio Service is down over n1pc-w19.n1ocp-pclus-01.india.novatel.internal node
Trigger Value: 0
Alert Time :2025-04-10 15:31 Hrs 
Incident :INC13753723
Symptom
1)Hostname:n1ocp-pclus01_billingserviceplatform,sev-3
Trigger: Pod CPU utilization is High
Trigger Value: 113.67100741999971
Alert Time :2025-04-10 14:47 Hrs 
Incident :INC13753113 / INC13753393
2)Trigger: FX High response time in last 60 min exception(): not able to call databaseService API on DB: PDK6CU10,sev-3
Trigger Value: 54  
Alert Time :2025-04-10 15:13 Hrs 
Incident :INC13753491/INC13753850 
3)Trigger: BSL_0_409_STATUS_ALERT_Trigger,sev-3
Trigger Value: 740
Alert Time :2025-04-10 15:14 Hrs 
Incident :INC13753471
3)Hostname:DCAP_NCA_JOURNEY_FAILURE_ALERT,sev-2
Trigger Value: 162
Alert Time :2025-04-10 15:44 Hrs 
Incident :INC13753879/INC13754003 
4)Hostname:BTFLY_ATOM_TASK_WISE_IN_PROGRESS_ALERT,sev-3
Trigger Value: 1472 
Alert Time :2025-04-10 16:00 Hrs 
Incident :INC13754087/INC13754178
</t>
  </si>
  <si>
    <t>10-04-2025  15:42
10-04-2025  15:31
10-04-2025  14:47
10-04-2025  15:13
10-04-2025  15:14
10-04-2025  15:44
10-04-2025  16:00</t>
  </si>
  <si>
    <t>10-04-2025  16:11
10-04-2025  15:52
Open
10-04-2025  16:03
Open
10-04-2025  16:54
10-04-2025  16:30</t>
  </si>
  <si>
    <t xml:space="preserve">
BTFLY_ATOM: 
Change-1558
Unbar-1486
New-715
P2P-512
COBP-131
Total: 4402
HB_ATOM: 
COBP-20
UNBAR-458
UNBAR-40
NEW-58
SAFECUSTODY-24
Total: 600
DTH:
FULL UNBAR-675
ACTIVATION-560
CHANGE-910
PRE-TO-POST- 14
Total: 2159
DCAP: 800 NCA Payments</t>
  </si>
  <si>
    <t>Remedy</t>
  </si>
  <si>
    <t>INC13758802</t>
  </si>
  <si>
    <t>Remedy Ticket creation was getting delayed.</t>
  </si>
  <si>
    <t>In this issue, Application team observed some performance degradation in their services due to which ticket creation was getting delayed. To restore this, Remedy team took service refresh at their end, post that issue got resolved.</t>
  </si>
  <si>
    <t>UNOC</t>
  </si>
  <si>
    <t>INC13754128</t>
  </si>
  <si>
    <t>Symptom
1)Hostname:Remedy_Total_Ticket_Trend_Alert,sev-3
YPE:unoc_tt_trend_nsgiwan
Trigger Value: 0
Alert Time :2025-04-10 16:03 Hrs 
Incident :INC13754128</t>
  </si>
  <si>
    <t>Ticket creation was delayed.</t>
  </si>
  <si>
    <t>Nova App Experience Journey, Black Acquisition Journey, Broadband New Customer Acquisition Journey, Postpaid New Customer Acquisition Journey, Prepaid New Order Sim Swap Journey</t>
  </si>
  <si>
    <t>Nova App, DPS, eCAF_eDSL, Mitra, Selfcare_B2C, Service Portal, eCAF</t>
  </si>
  <si>
    <t>INC13758105</t>
  </si>
  <si>
    <t>QR code and payment link was not generating which impacted Sim-Swap, Black, Broadband &amp; Postpaid New Customer acquisition along with digital profile impacted all LOB Recharges, Service Portal and all NovaTel Utilities payments via NovaTel app.</t>
  </si>
  <si>
    <t>In this issue, it was identified that the pods entered a Crash Loop Back state due to a permission denial issue from Selfcare_B2C end. Further, Selfcare_B2C team changed the permission from 755 to 777 for the NFS path and OCP team then proceeded to restart the pods one by one. Post taking these corrective actions improvement was observed and issue got resolved.</t>
  </si>
  <si>
    <t xml:space="preserve">Primary root cause:
Specification Leg:
Q1: Why there was an instance of service degradation in several Customer Experience, Acquisitions and recharges journey? 
Ans: Because, issue was being observed in recharges, bill payment via Nova App /Web and for Acquisitions advance payment, QR code and payment link was not getting generated. Along with that in service portal advisor were not able to fetch the customer details led impact in mention journey’s and associated applications. 
Q2: Why issue was observed in for a variety of scenarios and functionalities in multiple applications (eCAF_eDSL, eCAF, Nova App, DPS, Selfcare_B2C, Service Portal, Mitra)?
Ans: Because, above mention applications was getting error/failures downstream applications Selfcare one of the microservice digital profile being used for payment order validation and user profile for recharges. Error code 504 observed for DPS , “Unable to generate payment order while fetching QR code” for payment link and QR code in eCAF, “unable to load data” for service portal and for recharges/Bill/utility payment in Nova App” Something went wrong”.
Q3: Why Multiple upstream applications observing error/failure form downstream applications Selfcare -one the microservice digital profile?
Ans: Because, there was a Selfcare deployment went into system for both the DC’s 50% and was stable however, later on container was not getting created and in logs showing timeouts. The default timeouts for was 5 sec and to overcome OCP team change this to 30 sec and its started created however ,not stable and pods went into crash loop state. 
Q4: Why Pods were not stable in went into crash loop state? 
Ans: As per input received from OCP team, Pods User ID getting changed while its restarting resulted a change in archival file permissions for trident NFS mount point. As a result application was not able to write inside the “/app/logs/” &amp; “/app/logs/digital-profile/archive” directory. Further to mitigate Application team make changes in permission from 755 to 777 for trident NFS mount point.
Q5: Why UID inside Pods got change during crash loop state? 
Ans: OCP team tested the scenarios in test environment and as per result, issue was observed due to runAsUser value got change due to this user within the pods also got change which resulted write issue in existing files and copy into archive along with permission denied.
Note:- When the Stateful Set is configured with “restricted” SCC, we have to explicitly give “runAsUser: 1001” to make the pod user running with 1001 UID, else Openshift will assign a user from default UID range and in this case UID was “ 1001050000”. Complete test result has been attached for further references.
Observations: 
• The present log retention strategy has hindered their post-incident analysis, even though Application Tam was able to properly restore their production system after the outage. The 2-hour retention time was not enough to conclusively identify the user or team that made the unwanted changes to the OCP deployment file, even with extensive logging enabled. Since both TechOps and the OCP team have the required access, it is not yet possible to determine who is at fault based on the evidence at hand. Neither team has any requirements or requests to make such adjustments, and it's possible that one of the team members made a human error. 
• A serious weakness in our observability procedures is shown by the inability to identify the precise person who made the configuration changes. Even while thorough logging is in place, its utility for in-depth post-incident analysis is greatly diminished by the short retention window. It makes sense that service restoration would be the top priority under high-pressure outage situations. But the subsequent requirement for root cause investigation is just as important in order to stop similar incidents from happening in the future. This crucial stage is constantly not supported by the present 2-hour log retention timeframe since the required data is frequently deleted before a thorough inquiry can start.
Preventive Actions: 
• Mandatory Increase in Log Retention: We must immediately increase the retention period for relevant logs to a minimum of seven days. This duration will provide a more realistic window for post-incident analysis, allowing teams sufficient time to investigate root causes without the immediate risk of log data loss. At an absolute minimum, the retention period should be extended to two full days. Open Udaya/Biswajeet, Nikhil/Saurabh 
• Prioritize Implementation of User Activity/Audit Logs: Recognizing potential resource implications of extending the retention of all detailed logs, we must prioritize the implementation of dedicated user activity or audit logs specifically for critical systems like our OCP deployment environment. These logs should meticulously track all user-initiated changes, including timestamps, user identities, and the specifics of the modifications made. The retention policy for these user activity/audit logs should also be set to a minimum of seven days. Open Udaya/Biswajeet, Nikhil/Saurabh 
• Review and Adjust Logging Strategy: A comprehensive review of our overall logging strategy is necessary. This review should evaluate the resource consumption of our current detailed logging and explore strategies for optimizing log storage and management. The implementation of user activity/audit logs can be a key component of this optimization, allowing us to retain crucial accountability information without necessarily retaining all granular application logs for extended time -Open Udaya/Biswajeet, Nikhil/Saurabh
</t>
  </si>
  <si>
    <t>PRB0044467</t>
  </si>
  <si>
    <t>P3
P3
P4
P3
P4
P1
P3</t>
  </si>
  <si>
    <t>INC13755370/INC13755710 
INC13755470
INC13755604
INC13755717/INC13755719/INC13755722
INC13755440
Alert91478423/Alert91478562/Alert91478572/Alert91478621
Alert91478985</t>
  </si>
  <si>
    <t>Symptom
1)Hostname:channels infra metrics,sev-3
Trigger: Pods Not Running - channels-digital-profile (OCP DC2)
Trigger Value: channels-digital-profile-canary-8: &lt;b&gt;CrashLoopBackOff&lt;/b&gt;
Alert Time :2025-04-10 17:39 Hrs 
Incident :INC13755370/INC13755710 
2)Hostname:DPS_PG_Service,sev-3
High 504 Failure for INITIATE-QR-CODE-PAYMENT
Trigger Value: 69
Alert Time :2025-04-10 17:40 Hrs 
Incident :INC13755470
3)Hostname:Downstream-Channel-Backend-Alerts-Cx-Usage,sev-3
Trigger: Cx-Usage | 5xx | http://myNovaTelappdr-internal-kong.india.novatel.internal:8081/NovaTel-digital-profile/rest/customer/profile/v2/rtn/fetch Failure Perc : 8 %
Trigger Value: 8
Alert Time :2025-04-10 17:52 Hrs 
Incident :INC13755604
4)Hostname:DPS_Traffic_Monitoring,sev-3
Trigger: Traffic Dip PG/Prepaid Service 20%
Trigger Value: 109738
Alert Time :2025-04-10 17:58 Hrs 
Incident :INC13755717/INC13755719/INC13755722
5)Hostname:Downstream-Channel-Backend-Alerts-CX-billing,sev-3
Trigger: CX-billing |5xx | http://myNovaTelappdr-internal-kong.india.novatel.internal:8081/cx/plan/v1/current-plan Failure Perc : 8 %
Alert Time :2025-04-10 17:42 Hrs 
Incident :INC13755440
6)Hostname:10.241.178.XX /  10.222.204.XX sev-1
Trigger: Active connection has increase threshold is greater than 1000
Trigger Value: 1090
Alert Time :2025-04-10 18:19 Hrs (Multiple)
Incident :Alert91478423/Alert91478562/Alert91478572/Alert91478621
7)Hostname:DPS_Order_Service,sev-3
High 99th Percentile for /order-service/v1/order/validate in last 10minutes
Tags: API:/order-service/v1/order/validate,
Trigger Value: 166
Alert Time :2025-04-10 18:19 Hrs 
Incident :Alert91478985</t>
  </si>
  <si>
    <t>10-04-2025  17:39
10-04-2025  17:40
10-04-2025  17:52
10-04-2025  17:58
10-04-2025  17:42
10-04-2025  18:00
10-04-2025  18:19</t>
  </si>
  <si>
    <t>10-04-2025  17:54
10-04-2025  18:10
10-04-2025  21:02
10-04-2025  18:28
10-04-2025  19:27
10-04-2025  18:02
10-04-2025  18:29</t>
  </si>
  <si>
    <t xml:space="preserve">Success Dip Homes: 579(D:443 vs D-7: 1022) is 56% 
Success Dip for Broadband: 337 (D: 1005 VS D-7: 1342) is 25%. 
Success Dip for SimSwap: 6184 (D: 6953 vs D-7: 13137) is 47%
Prepaid Retail Recharges: 358 Txns
DPS (Impact on recharges): 1,67,626 (D vs D-7: 1,26,951 vs 2,94,577)
</t>
  </si>
  <si>
    <t>Postpaid Customer Experience Journey, Broadband Customer Experience Journey, Black Customer Experience Journey</t>
  </si>
  <si>
    <t>BTFLY_KCI</t>
  </si>
  <si>
    <t>INC13781509</t>
  </si>
  <si>
    <t>Broadband and Postpaid Pre-barring SMS delivery (Non-Instant KCI) was impacted.</t>
  </si>
  <si>
    <t>During the troubleshoot, it was suspected that URL which was being used till yesterday has got unregistered for some unknown reason due to which the issue occurred. As a workaround, Bumblebee Dev team bypassed the DLT for non-instant KCI and BTFLY_KCI team repushed the pending SMS for which successful response was observed for both FX3.0 and FX6.0 and pendency started getting cleared. Further, the actual cause of issue is still unknown.</t>
  </si>
  <si>
    <t xml:space="preserve">Root cause Summary:
• A case of service degradation occurred in BTFLY_KCI, where the pre-barring and pre-suspension SMS processes were failing to deliver to broadband and postpaid customers for both FX3.0 and FX6.0. The problem began around @21:00 Hrs (11th April) and get mitigated 14:33 (12th April).
• Based on preliminary investigations done by Application team , that they were getting failure/error for SMS delivery “ While executing transform reformat for port out0:Communication rejected by DLT. DLT_SCRUBBING_REJECTION_CODE : 701 :  Value Not Found in DLT lookup”.
• DLT team further updated that integrated URL “ https:///i.NovaTel.in/e/Billduewas” were not registered at DLT system which causing the issue. Further to mitigate the issue, Bumblebee Dev team bypassed(user which sending request) the DLT process  for non-instant KCI and BTFLY team repushed the pending SMS. DLT team also explain that URL scrubbing is started in DLT from oct’24 went into system and there is no such recent change happened from that onwards.
• They have identifier base scrubbing and there are cases were request bypass even if URLs not start with HTTP/HTTPS or WWW getting bypass from DLT scrubbing.
• Later again the issue re-triggered around 16:57 (12th April) however, this was partial and which get triggered by a job initiated in Bumblebee and to mitigate the same concern team stopped the same.
• It was also discussed that util required URL’s not get registered  at DLT end  DLT process would be bypassed over Bumblebee end. Since there is no logs available between bumblebee &amp; DLT for success and failure case it hard to drill down this issue further so actual cause of this issue remain unknown. 
Observations-
• Issue was reported to the concern team on 11th however, mitigation took longer time which increase the overall MTTR of this issue. It was also noticed that no direct alert were triggered which help to arrest the issue quickly over DLT end.
• IT was confirmed on same night the day of occurrence @22:20 11th April that there was an issue with integrated URL however, seems right escalations/SOP was not followed to registered this URL quickly at DLT end.
• DLT team also updated that need to recheck with test graph as messages were not getting fail only because of scrubbing URL but there was some messages which falling with 614&amp;615 code as well even the count was less. So reconciliation required before putting to DLT.
• It has also been noticed that there is some communication GAP while whitelisting the URL’s over DLT. 
Preventive Actions: 
• BTFLY/ DLT team jointly revalidated and ensure that all Instant/Non Instant URL’s are registered at DLT end  to avoid such reoccurrences. Open- Jhalak/Ruchin/ Parash- ETA 25th April’25
• LOG monitoring need to be enable (bumblebee not storing logs between bumblebee for request/response )to drill down the issue in case similar issue observed going forward. Open Paras ETA 30th April’25
• Threshold need to be revised (500 messages BAL) at DLT end for failure messages. Open Ruchin ETA 18th April’25
</t>
  </si>
  <si>
    <t>PRB0044472</t>
  </si>
  <si>
    <t>1 lakh 60k (Approx.) pendency.</t>
  </si>
  <si>
    <t xml:space="preserve"> INC0450449</t>
  </si>
  <si>
    <t>NFB-PAYMENTS-UPI teams are getting a timeout from NPCI, due to which UPI transactions are impacted intermittently.</t>
  </si>
  <si>
    <t>In this issue, NFB-PAYMENTS-UPI team reported intermittent UPI transaction failures due to timeouts while communicating with NPCI systems. Upon investigation, it was confirmed that the issue originated from NPCI's end. NPCI team implemented corrective measures, after which service stability was observed from approximately 16:27 Hrs. onward.</t>
  </si>
  <si>
    <t>P3
P1
P1
P1</t>
  </si>
  <si>
    <t>INC13779343
INC13779267 , INC13779265 ,INC13779379
INC13779394  ,INC13779370
INC13779371 , INC13779456 ,INC13779455</t>
  </si>
  <si>
    <t xml:space="preserve">Direct
1)DPS QuickSilver Transaction ALERT | Dip seen in SR in last 10minutes
PAYMENT MODE:UPI   | Success:18.64%
Alert Time :2025-04-12 11:52 Hrs 
Incident : INC13779343 
Symptom
1) Multiple DPS_PAYU_Service  |High 500 Failure for INITIATE-UPI-COLLECT-PAYMENT
API : INITIATE-PAYMENT-UPI-ADAPTER
API : INITIATE-UPI-COLLECT-PAYMENT
API : /payu-service/v1/upi/validate-vpa
API : INITIATE-UPI-INTENT-PAYMENT-S2S
Alert Time :2025-04-12 11:48 Hrs 
Incident : INC13779267 , INC13779265 ,INC13779379
2) Multiple DPS_PAYU_Service  
API : /payu-service/v1/upi/validate-vpa
API : /payu-service/v1/upi/initiate-payment-collect
API : /payu-service/v1/upi/validate-vpa
Alert Time :2025-04-12 11:53 Hrs 
Incident : INC13779394  ,INC13779370
3)Multiple DPS_APB_SERVICE   
API : UPI-ENQUIRY-ADAPTER
API : UPI-PAYMENT-ENQUIRY
API : NFB-UPI-PAYMENT-ENQUIRY-ADAPTER
Alert Time :2025-04-12 11:54 Hrs 
Incident : INC13779371 , INC13779456 ,INC13779455
</t>
  </si>
  <si>
    <t>4/12/2025 11:52
4/12/2025 11:48
4/12/2025 11:58
4/12/2025 11:54</t>
  </si>
  <si>
    <t>4/12/2025 12:57
4/12/2025 12:08
4/12/2025 13:09
4/12/2025 13:03</t>
  </si>
  <si>
    <t>For NFB-PAYMENTS-UPI Transactions: Total Transactions=3,574,246+106,567=3,680,813 Success Percentage: 3,574,246 (97.10%) Failure Percentage: 106,567 (2.90%)</t>
  </si>
  <si>
    <t xml:space="preserve">The issue resurfaced wherein BTFLY_KCI encountered errors, resulting in SMS partial failures for FX3.0 and FX6.0. Earlier, during the workaround, the Bumblebee Dev team bypassed DLT for non-instant KCI, and BTFLY_KCI team re-pushed the pending SMS, for which successful responses were observed for both FX3.0 and FX6.0, and the pendency had started clearing. However, partial success and partial failure were observed again, as a job was triggered in Bumblebee that started sending requests to DLT again. After Bumblebee team stopped that job, successful responses were observed for both FX3.0 and FX6.0, and the pendency started clearing.
Further, the actual cause of the issue is still unknown. </t>
  </si>
  <si>
    <t xml:space="preserve">67000K (Approx.) pendency. </t>
  </si>
  <si>
    <t>Prepaid Customer Experience Journey (Activation/Install)</t>
  </si>
  <si>
    <t>eCAF, PACS</t>
  </si>
  <si>
    <t>INC13784488</t>
  </si>
  <si>
    <t>Prepaid activation orders were delayed intermittently.</t>
  </si>
  <si>
    <t>During the troubleshooting, it was identified that there was a spike observed at ADS end due to which few cases got stuck and pendency got increased. However, eCAF team cleared the stuck cases in re-push and pendency started getting cleared.</t>
  </si>
  <si>
    <t>Digital Acquisition, Prepaid</t>
  </si>
  <si>
    <t>INC13783436
Alert91560511</t>
  </si>
  <si>
    <t>Symptom
1)ECAF_PREPAID_EKYC_MILESTONE_ORACLE | STATUS : ev_success | Current Value : 1143.0
Alert time - 2025.04.12 18:30
Event no - INC13783436
2)ECAF_PREPAID_MILESTONE_ORACLE | Current Value : 1016.0 | STATUS : ev_pending
Alert time - 2025.04.12 18:30
Event No - Alert91560511</t>
  </si>
  <si>
    <t>12-04-2025  18:30
12-04-2025  18:30</t>
  </si>
  <si>
    <t>12-04-2025  19:50
12-04-2025  18:35</t>
  </si>
  <si>
    <t>1175 Pendency</t>
  </si>
  <si>
    <t>APB_DT</t>
  </si>
  <si>
    <t>South Hub, North Hub</t>
  </si>
  <si>
    <t>INC0450883</t>
  </si>
  <si>
    <t xml:space="preserve">Majority of Baroda and Gurugram Call Centre agent were unable to access the DT URL Intermittently.
</t>
  </si>
  <si>
    <t xml:space="preserve"> In this issue, some of Baroda &amp; Gurgaon Call Centre agent were unable to access the DT URL Intermittently. During troubleshooting, NFB network team found that only 2 NovaTel Proxy IP'S were only routed to NFB Firewall, afterwards NFB network team whitelisted all the five NovaTel Proxy IP'S which were reaching the NFB Firewall. Following the actions taken, an improvement was observed, and the issue was resolved.</t>
  </si>
  <si>
    <t>50 Agent out of 500 agent were impacted in Gurgaon &amp; Baroda Call Centre.</t>
  </si>
  <si>
    <t>Internal Operations Journey</t>
  </si>
  <si>
    <t>ERP, IRN</t>
  </si>
  <si>
    <t xml:space="preserve">IRN (Invoice Reference Number) generation was impacted for ERP invoices. </t>
  </si>
  <si>
    <t>In this issue, requests from ERP to IRN was getting error due to which IRN (Invoice Reference Number) generation was impacted for ERP invoices. It is identified that error was triggered due to one change (CHG0172127) deployed yesterday night at ERP end, post which proxy got configured into the ERP system. To restore the issue, ERP team whitelisted the IRN url by taking urgent downtime post that issue got resolved and all the stuck cases got cleared.</t>
  </si>
  <si>
    <t>IntOps</t>
  </si>
  <si>
    <t xml:space="preserve">IRN generation was impacted. </t>
  </si>
  <si>
    <t>CHG0172127</t>
  </si>
  <si>
    <t xml:space="preserve">Broadband Dunning Order Journey, Postpaid Dunning Order Journey </t>
  </si>
  <si>
    <t>INC13803499</t>
  </si>
  <si>
    <t xml:space="preserve"> Processing of Dunning orders (Barring and Unbarring) were getting delayed. </t>
  </si>
  <si>
    <t>In this issue, Processing of Dunning orders (Barring and Unbarring) were getting delayed due to which postpaid order journey was impacted. During the troubleshooting team had identified an issue in a query. To mitigate the issue DBA team created the baseline for the SQL ID(fnq2y3m7u76av), post which improvement was observed and issue got resolved.</t>
  </si>
  <si>
    <t>P1
P3</t>
  </si>
  <si>
    <t>INC13800859 
INC13801535 , INC13801534 , INC13801533 , INC13801529</t>
  </si>
  <si>
    <t>Symptom
1)Transaction on act_ru_job : Reached Threshold (5K) | UDP Alert On Camunda Pending Events | Current Value : 42824.0
Alert time -  2025.04.14 06:29Hrs
Event no - INC13800859 
2)Multiple LRQ NON-SYS Exceed Duration of 30Min | SQL_ID : fnq2y3m7u76av | USERNAME : UDP_USER
Alert time -  2025.04.14 08:00 Hrs (Multiple)
Event No - INC13801535 , INC13801534 , INC13801533 , INC13801529</t>
  </si>
  <si>
    <t>14-04-2025  06:29
14-04-2025  08:00</t>
  </si>
  <si>
    <t>14-04-2025  08:27
OPEN</t>
  </si>
  <si>
    <t>No Impact</t>
  </si>
  <si>
    <t>Enterprise Customer Experience Journey</t>
  </si>
  <si>
    <t>M6</t>
  </si>
  <si>
    <t>INC13802466</t>
  </si>
  <si>
    <t xml:space="preserve">Provisioning of iB2B Legacy orders were impacted in M6 Application. </t>
  </si>
  <si>
    <t xml:space="preserve"> In this issue, three AIX servers were inaccessible due to a hardware error. However, after raising the case with the vendor, the hardware issue was fixed, but the network was not coming up at the OS level. Further, OS support couldn't be reached as the servers are EOL/EOS. LPARs on VLAN40 were not reachable from outside. Upon investigation, Unix team found that the port having this VLAN was in an error state on the switch side. Network team did a port up/down. After that, the M6 servers were up and running. Once the servers were accessible, basic sanity checks at the OS and DB levels were performed, and then the application restart was taken by application team. After that, all stuck transactions were sent to integrated applications and the issue was resolved.</t>
  </si>
  <si>
    <t>ABGB</t>
  </si>
  <si>
    <t xml:space="preserve"> INC13802361,INC13802683 , INC13802452</t>
  </si>
  <si>
    <t xml:space="preserve">Direct
1)Multiple ping response on IP 10.5.134.98/101/103 is down error message "ping timeout"
Alert tine 2025-04-14 09:47Hrs 
Event No : INC13802361,INC13802683 , INC13802452
</t>
  </si>
  <si>
    <t>14-04-2025  09:47</t>
  </si>
  <si>
    <t>OPEN</t>
  </si>
  <si>
    <t>5000(Approx.) transactions &amp; 1667 orders were impacted.</t>
  </si>
  <si>
    <t>INC13819076</t>
  </si>
  <si>
    <t>IPDR loading impacted for only TN circle which was resulting into CDR reports fetching to Nodal agencies.</t>
  </si>
  <si>
    <t>In this issue, application team was facing issue in CDR file dumping to the landing server due to which IPDR loading was impacted. Network Team has checked multiple angles and they performed MPLS failover also, and haven't found any issue.  However, latency got decreased and improvement was seen automatically.</t>
  </si>
  <si>
    <t>IPDR loading backlog: 1.5 lakh (Approx).</t>
  </si>
  <si>
    <t>NovaWorks, Device Nucleus, ACS</t>
  </si>
  <si>
    <t>INC13820676</t>
  </si>
  <si>
    <t xml:space="preserve">Field engineers were getting intermittent failures in installations due to issue at ACS. </t>
  </si>
  <si>
    <t>In this issue, Field engineers were getting intermittent failures in installations with the error—Response received from ACS—CPE provisioning not completed successfully. It was identified that issue occurred as Firmware upgrade for Zyxel devices was taking time, hence ACS team advised the Field Engineers to wait for some time before picking the next task to get it success. Upon investigation, no anomalies found at infra and network layer and later, it was identified that connections were going in sync_recv and getting delayed response. To restore, ACS team took some corrective action post which, issue got resolved.</t>
  </si>
  <si>
    <t>Digital Acquisition, NSG, Broadband</t>
  </si>
  <si>
    <t>INC13818000</t>
  </si>
  <si>
    <t>Symptom:
1)DN__RouterManagement_Access_log_Failure|Trigger Value: 11.26
Alert time:2025-04-15 12:27 Hrs
Incident:INC13818000</t>
  </si>
  <si>
    <t>500 orders</t>
  </si>
  <si>
    <t>Slowness was observed in IPDR loading for TN circle due to which CDR file uploading was impacted.</t>
  </si>
  <si>
    <t>In this issue, Firewall team deployed change CHG0171981 (IT firewall bypass activity by Techlan and NovaGroup IT team) today during lean hours. Following the change deployment, improvement has been observed, and All backlog files were cleared, post issue stands resolved.</t>
  </si>
  <si>
    <t>IPDR loading backlog: 3,54,945 Files.</t>
  </si>
  <si>
    <t>CHG0171981</t>
  </si>
  <si>
    <t>eCAF, ADS</t>
  </si>
  <si>
    <t>INC13850278</t>
  </si>
  <si>
    <t>Prepaid activation orders were getting delayed intermittently.</t>
  </si>
  <si>
    <t>During the troubleshooting, it was identified that prepaid activation orders were getting stuck at ev_success and timeout errors were observed. Although, eCAF team was manually repushing the pendency but the errors were still observed. To resolve the issue, eCAF team restarted the pods for orion mobile API post which no errors were observed and the issue got resolved.</t>
  </si>
  <si>
    <t xml:space="preserve">Primary Root Cause Summary
• Prepaid activation orders were being stuck at the EV-Success milestone, which was a problem observed in the prepaid customer experience journey.
• In accordance with ADS, a system deployment regarding an IP change occurred at 10 PM. From 11:40 PM forward, this API began to function properly, and all orders began to be cleared.
• When traffic began to increase in the morning, the eCAF team saw a rise since cases were getting stuck. They sumrised that this was because of a change that was implemented yesterday night (CHG0172931) at ADS systems, which was causing exceptions and timeouts.
• The ADS team reported that no hits were being received for certain cases, and at 07:30, a change was rolled back even though hits were not arriving there to allay any doubts. 
• The eCAF team was using cron to relaunch cases that were stalled, and they performed a dedupe service refresh at 8:00. However, the exception persisted, and Orion mobile API later resolved the problem. Additionally, Orion service refresh was performed at night.
Observation:
• The mitigation/analysis plan took longer to mitigate the issue because there was unclear guidance on what service restart (Orion/Dedupe) was necessary, which increased the higher MTTR.
• eCAF team also pointed out that continued OCP PVC issue logs were not being populated for Orion services over Kibana, which was another contributing factor. 
• 
Preventive Actions:
• Sanity process need to be more appropriate whenever such change happen and a sign of should be provided form eCAF side to avoid any hassles situations(For any future CR where no business functional change is there, Ops to perform sanity before 5:30AM) . Open Vageesha.
• Tighter oversight is required for Orion and Dedupe services, which should also be coordinated via a central monitoring platform. Open Vageesha. 
•  If such a problem recurs, a suitable SOP will be in place to resume services. Vageesha, open. 
• The eCAF team must work with OCP to resolve the PVC problem. Vageesha, open.
</t>
  </si>
  <si>
    <t xml:space="preserve">PRB0044475 </t>
  </si>
  <si>
    <t>Digital Acquisition, Postpaid</t>
  </si>
  <si>
    <t>INC13847763</t>
  </si>
  <si>
    <t>Symptom
1)ECAF PREPAID_EKYC_MILESTONE ev_success count is High,sev-3
Trigger Value: 176</t>
  </si>
  <si>
    <t>700 prepaid order pendency at EV Success</t>
  </si>
  <si>
    <t>Broadband Customer Experience Journey, Postpaid Customer Experience Journey, Black Customer Experience Journey</t>
  </si>
  <si>
    <t>INC13853014</t>
  </si>
  <si>
    <t>In this issue, BTFLY_KCI application was facing service disruptions in process. On further checking with ESB team it was identified that there was a queue pile up due messages not getting consumed by CLM. Further CLM team confirmed about the issue in message consumption and took some corrective action post which improvement was observed and SMS delivery started working fine.
All the pendency got cleared issue stands resolved now.</t>
  </si>
  <si>
    <t>Delay in process.</t>
  </si>
  <si>
    <t>Broadband New Customer Acquisition Journey, Postpaid New Customer Acquisition Journey, Prepaid Customer Retail Acquisition Journey, Prepaid New Order Sim Swap Journey, Black Acquisition Journey</t>
  </si>
  <si>
    <t>Mitra, eCAF, eCAF_eDSL, eCAF_Sim Swap</t>
  </si>
  <si>
    <t>INC13853194</t>
  </si>
  <si>
    <t xml:space="preserve"> Prepaid, Postpaid, broadband, black, simswap and Pre2Post acquisitions were impacted in eCAF and Mitra.</t>
  </si>
  <si>
    <t xml:space="preserve">Initially, eCAF and Mitra observed error from Network location API. As a workaround, Mitra and disabled flag post which improvement was observed in Mitra. However, issue still persisted for eCAF. Further, eCAF team took Commons service refresh followed by pods restart, but no improvement was observed. Later, Redis master node failover was done at eCAF followed by pods and service refresh, post which RT got normal and issue got resolved.  </t>
  </si>
  <si>
    <t xml:space="preserve">Primary root cause:
Specification Leg:
Q1: Why did several (prepaid, postpaid, black, and broadband) new customer acquisition journeys encounter service degradation?
Ans: Because FEs and retailers were receiving the error "IO error on post request for http://Common-Services read time out" when they were attempting to acquire new customers, orders were not being executed, which had an effect on the aforementioned journeys.
Q2: Why did the eCAF/Mitra application encounter an error when new acquisition requests were being submitted?
Ans: In order to obtain the customer circle based location information a microservice implemented in the eCAF commons module“http://10.5.220.22/GetCircleName/BufferService.svc/GetCircle” is being called before KYC process and there was a high response and read time out error-503 observed clogging the entire common service platform and having a cascading effect on the Redis system as well.
Q3: Why did the GetCircleName API exhibit a high response rate and read time out error 503?
Ans: Since this is the mandate compliance requirement prior to KYC process, FE’s and retailers often retries when KYC services fail increase the system load 3- 4x, Consequently the response time of the ‘getCircle’ API increases &gt;1 sec, leading to timeouts towards common platforms.
Q4 Why  this problem in the acquisition flow was repeat in nature?
Ans: A recurring issue with the Network API "GetCircle" is observed. Last occurrence before this outage was occurred on March 13th, this API has been in a disabled status for the past one month since then. However, this API was enabled back in order to prevent any compliance issues. Unfortunately , this resulted in an outage after one hour of enabling the API flag.
Preventive Actions: 
• NSG team must perform load testing with respect to 120 TPS and improve the system to cater 3,4X load in outage duration. Open Ramakrishna ETA 8th May’25
• Common service path segregation(for Mobility) to prevent acquisition flow impacts for all LOBs. Open Bhupendra. ETA 5th May’25.
• For requests to be fulfilled and retry hits to avoid reaching the Network API, the cache layer must be induced at the eCAF layer(For two to three minutes, can cache the customer's circle to prevent spiking load to downstream services). Open Bhupendra. ETA 5th May’25
• NSG systems must have AppD agents installed in order to increase monitoring capability. Open Deepesh/Ramakrishna ETA 8th May’25
• eCAF team implemented a circuit breaker to bypass the service in case of errors beyond a threshold. Closed Bhupendra
</t>
  </si>
  <si>
    <t>PRB0044473</t>
  </si>
  <si>
    <t>INC13851167
INC13851203
Alert91758000/Alert91757999
INC13851359/INC13851336</t>
  </si>
  <si>
    <t>1)ECAF-Prepaid/Postpaid New Customer Acquisition-ECAF_COMMON-RS_REDIS-Read-OverallAvgResponseTime is greater than5ms_Sev-1
Alert Time :2025-04-17 12:21 Hrs 
Incident :INC13851167
2)ECAF-Prepaid/Postpaid New Customer Acquisition-ECAF_COMMON-OverallAvgResponseTime is greater than1000ms_Sev-1
Alert Time :2025-04-17 12:23 Hrs 
Incident :INC13851203
3)ECAF_eKYC-Postpaid/Prepaid New Customer Acquisition Journey-DB_ResponseTime&gt;200ms_Sev-1.
Average Response Time (ms)'s value 435.00 was greater than the threshold 200.00 for the last 5 minutes.
Alert Time :2025-04-17 12:28 Hrs 
Incident :Alert91758000/Alert91757999
4)Mitra_Phase_1/Phase_2-Prepaid Retail Recharge-OverallAvgResponseTime&gt;700ms_Sev-1
Alert Time :2025-04-17 12:35 Hrs 
Incident :INC13851359/INC13851336</t>
  </si>
  <si>
    <t>17-04-2025  12:21
17-04-2025  12:23
17-04-2025  13:28
17-04-2025  12:35</t>
  </si>
  <si>
    <t>17-04-2025  13:42
17-04-2025  13:42
Open
17-04-2025  12:50</t>
  </si>
  <si>
    <t>Capacity Augmentation</t>
  </si>
  <si>
    <t>Success Dip : Prepaid Success Dip: 13107 (D: 18155 VS D-7: 31262) is 42%
Postpaid Success Dip: 1153 (D: 133 VS D-7: 1286) is 89%
Broadband Success Dip: 1207 (D: 1592 VS D-7: 2799) is 43%
Simswap Success Dip: 8287 (D: 2108 VS D-7: 10395) is 79% 
Pre2Post Success Dip: 254 (D: 24 VS D-7: 278) is 91%  
Homes Success Dip:  1237( D: 341 VS D-7: 1578) is 78%</t>
  </si>
  <si>
    <t>Broadband Customer Experience Journey, Broadband Payment Posting Journey, Postpaid Payment Posting Journey</t>
  </si>
  <si>
    <t>DCAP, Ecom</t>
  </si>
  <si>
    <t>INC13870619</t>
  </si>
  <si>
    <t>New customer transaction payment posting  for postpaid and broadband and orders were stuck in "EV_Accepted" status.</t>
  </si>
  <si>
    <t xml:space="preserve">Issue was observed in FXPRODCU10, leading impact on New Customer Acquisition payments posting (NCA Journey) for postpaid and broadband in DCAP due to which pendency for EV_Accepted task for broadband and postpaid activation orders was increasing. As a restoration action, BSL team took pod refresh for CU10 post which errors decreased and issue stands resolved. </t>
  </si>
  <si>
    <t>P1
P2
P3
P3</t>
  </si>
  <si>
    <t>INC13851246
INC13851583/INC13851602
INC13851701
INC13851842</t>
  </si>
  <si>
    <t>Symptom
1)Hostname:DCAP_NCA_JOURNEY_FAILURE_ALERT,sev-1
threshold &gt;100
Trigger Value: 117
Alert Time :2025-04-17 12:24 Hrs 
Incident :INC13851246
2)Downstream-Channel-Backend-Alerts-Plan,sev-2
Plan |5xx | http://myNovaTelapp-internal-kong.india.novatel.internal:8080/cx/usage/v2/ir/usage Failure Perc : 18 %
Trigger Value: 18
Alert Time :2025-04-17 12:44 Hrs 
Incident :INC13851583/INC13851602 
3)Hostname:oracle-ecom,sev-3
TELEMEDIA | High EV_ACCEPTED compared with D_7 | Count D : 98 | Count D_7: 9 | Threshold : 20%
Trigger Value: 98
Alert Time :2025-04-17 12:57 Hrs 
Incident :INC13851701
4)ECAF_BROADBAND_COM_MILESTONE EV_ACCEPTED count is High,sev-3
Trigger Value: 233
Alert Time :2025-04-17 13:10 Hrs 
Incident :INC13851842</t>
  </si>
  <si>
    <t>17-04-2025  12:24
17-04-2025  12:44
17-04-2025  12:57
17-04-2025  13:10</t>
  </si>
  <si>
    <t>17-04-2025  14:04
17-04-2025  13:37
17-04-2025  13:57
17-04-2025  14:00</t>
  </si>
  <si>
    <t>278 (Approx).</t>
  </si>
  <si>
    <t>INC13862220</t>
  </si>
  <si>
    <t xml:space="preserve">Remedy Ticket creation was getting delayed.
    </t>
  </si>
  <si>
    <t>In this issue, Remedy application was inaccessible due to which ticket creation was getting delayed. To restore this, NSG_NOC (Database team) killed the blocking sessions and then Application team took application services restart, post which the issue got resolved.</t>
  </si>
  <si>
    <t>INC13857123
Alert91772349</t>
  </si>
  <si>
    <t>Hostname:Remedy_First_Milestone_SMS_Processing_Alert
severity: High
Threshold count&gt;50 || count= 0
Alert time: 2025-04-17 20:30 Hrs
Incident: INC13857123
2)Hostname:Remedy_Dr_Db_Sync_Alert
severity: Average
Trigger: Remedy_Dr_Db_Sync_Alert | Threshold count &lt; 1
Alert time: 2025-04-17 20:58 Hrs
Incident: Alert91772349</t>
  </si>
  <si>
    <t>4/17/2025 20:30
4/17/2025 20:58</t>
  </si>
  <si>
    <t>4/17/2025 21:30
4/17/2025 21:14</t>
  </si>
  <si>
    <t xml:space="preserve"> Ticket creation was delayed.</t>
  </si>
  <si>
    <t>DARTS</t>
  </si>
  <si>
    <t>INC13857513</t>
  </si>
  <si>
    <t>FTA reports were getting wrongly delivered.</t>
  </si>
  <si>
    <t>During the troubleshoot, it was identified that  FTA reports were getting wrongly delivered since the CAF numbers were not visible in the files. To mitigate the issue, eCAF team manually added the cases where the retailer number was showing as null into the database. After that, Darts team ran the table loading job, and the issue got resolved.</t>
  </si>
  <si>
    <t xml:space="preserve">PAN India FTA reports were getting wrongly delivered.        </t>
  </si>
  <si>
    <t>INC13864805</t>
  </si>
  <si>
    <t xml:space="preserve">CC Users were unable to process the disconnect Broadband request in Service portal. </t>
  </si>
  <si>
    <t>In this issue, CC Users were unable to process the disconnect Broadband request in Service portal. Service Portal confirmed that the outage occurred due to the change deployed (CHG0173314) at their end. Service Portal team took master rolled back the change, post completion of the activity, the issue got resolved.</t>
  </si>
  <si>
    <t>59 failures.</t>
  </si>
  <si>
    <t>CHG0173314</t>
  </si>
  <si>
    <t>INC13863394</t>
  </si>
  <si>
    <t>In this issue, BTFLY_KCI encountered errors, resulting in SMS partial failures for FX3.0 and FX6.0. On further checking with ESB team it was identified that there was a queue pile up due messages not getting consumed by CLM. However, issue got auto-resolved without any technical intervention by any technical team, post which improvement was observed and SMS delivery started working fine.</t>
  </si>
  <si>
    <t>27 Lakh SMS pendency.</t>
  </si>
  <si>
    <t>BTFLY_CRM</t>
  </si>
  <si>
    <t>INC13865352</t>
  </si>
  <si>
    <t>Partner Internet URL was not accessible via public domain.</t>
  </si>
  <si>
    <t>During the troubleshoot, it was identified that the URL which was being used till yesterday has got unregistered at the TNG_NOC end during an ongoing activity due to which the issue occurred. As a resolution, TNG_NOC team rollback the delisting and re-registered the URL for securities after which successful response was observed for both LAN and public domain accessibility.</t>
  </si>
  <si>
    <t>URL not accessible via Public domain.</t>
  </si>
  <si>
    <t>INC13866271</t>
  </si>
  <si>
    <t>FTA reports were impacted for Pan India.</t>
  </si>
  <si>
    <t>During the troubleshoot, it was identified that FTA reports were getting wrongly delivered since the CAF numbers were not visible in the files. To mitigate the issue, eCAF team added the cases through Jira (ECAF-34061) where the retailer number was showing as null into the database and DARTS team ran their jobs, post which issue got resolved.</t>
  </si>
  <si>
    <t>Approx. 14k reports were impacted.</t>
  </si>
  <si>
    <t>Postpaid Customer Experience Journey</t>
  </si>
  <si>
    <t>INC13878075</t>
  </si>
  <si>
    <t xml:space="preserve">M2M Orders were stuck in BTFLY_ATOM for CU50. </t>
  </si>
  <si>
    <t>In this issue the M2M orders for postpaid were getting stuck for CU50. During the troubleshooting it was identified by DBA team that there was an inactive session which was blocking the CU50. To mitigate the issue Accenture DBA team killed the inactive session, post which improvement was observed and after repush the pendency got cleared and issue got resolved.</t>
  </si>
  <si>
    <t xml:space="preserve">
INC13868821</t>
  </si>
  <si>
    <t xml:space="preserve">
1)Host Name : BTFLY ATOM Overall Inprog Pendency
Sev : S2
Current Value : 3124.0
Alert time: 2025-04-18 17:30 Hrs
Incident: INC13868821</t>
  </si>
  <si>
    <t xml:space="preserve">
4/18/2025 17:30</t>
  </si>
  <si>
    <t xml:space="preserve">
4/18/2025 17:53</t>
  </si>
  <si>
    <t>4318 orders stuck.</t>
  </si>
  <si>
    <t>INC13882238</t>
  </si>
  <si>
    <t>Retailers were observing incorrect status of MNP orders in eCAF application.</t>
  </si>
  <si>
    <t>In this issue, retailers were not able to see correct status for MNP orders and were displayed these as NPIT failed. During the troubleshooting it was identified that status was getting success at Jupiter end but the same was not updated at eCAF end causing duplicate hits being sent from ecaf towards Jupiter. To mitigate the issue, Manual status update was performed at eCAF as per Jupiter status for the existing MNP requests. Then, eCAF team took Application Pod restart which restored the issue and new orders status were displaying as correct now.</t>
  </si>
  <si>
    <t>Approx. 1K orders were stuck.</t>
  </si>
  <si>
    <t>INC0452942</t>
  </si>
  <si>
    <t>APB_CMS app was getting the error message "Unable to acquire a JDBC connection," due to which transactions were getting failed.</t>
  </si>
  <si>
    <t>In this issue, team observed the exception “Unable to acquire JDBC connection,” which was causing transaction failures. During analysis and troubleshooting, it was identified that a change was deployed on 17th April 2025 to onboard one of the CMS services (url-shortening-service) to the new HashiCorp Vault, under change request CHG0003507. During this deployment, an issue was encountered, and the change was rolled back.However, as per the system's automated process, a new CMS user was created in the new HashiCorp Vault with a default rollover period of 48 hours. Meanwhile, the remaining 24 applications under CMS continued using the old password stored in the old HashiCorp Vault. After the 48-hour rollover period expired, the new CMS user credentials became active, which led to a mismatch with the credentials used by the existing applications. This mismatch caused the connection failures.To resolve the issue, the middleware team manually updated the new password in all 24 associated applications and use cases still referencing the old HashiCorp Vault. After restarting the affected services, database connectivity was restored, and performance improved, confirming that the issue was resolved.</t>
  </si>
  <si>
    <t xml:space="preserve"> APB_CMS Transactions Dip- {D vs (D-7)= 0-6697=0 (100% Transaction Dips in Total Transaction)</t>
  </si>
  <si>
    <t>eCAF, HB_CRM</t>
  </si>
  <si>
    <t xml:space="preserve">INC13920864
</t>
  </si>
  <si>
    <t>Existing 1099 Black plan customer eligible for 200 MBPS plan, instead order triggered with 100 Mbps speed plan.</t>
  </si>
  <si>
    <t xml:space="preserve"> In this issue, with the same denomination of 399 two plans were there for broadband with 100 and 200 MBPS speed; customers were receiving 100 Mbps instead of 200 Mbps in the existing 1099 black bundle plan. Because of the same denominations at eCAF both the package IDs were fetched leading to deviation in speeds. 
To mitigate the issue, old 1099 plan was disabled at EPC last night followed by cache refresh at eCAF, post which no impact on new orders was observed.</t>
  </si>
  <si>
    <t>Digital Acquisition, Broadband</t>
  </si>
  <si>
    <t xml:space="preserve">Approx. 1K users were impacted. </t>
  </si>
  <si>
    <t>SM Team</t>
  </si>
  <si>
    <t>INC13921212</t>
  </si>
  <si>
    <t>NCA Payment posting for broadband was impacted and orders were stuck in "EV accepted" status.</t>
  </si>
  <si>
    <t>During the troubleshooting, it was identified that against 1 order multiple CAF request has been processed for B2B, which caused blockage for DB. Some configuration changes has been done to stop the retrial and clear the pendency but no improvement observed. To resolve the issue, DCAP dev team decreased the thread count to minimum for providing breather to the system. Post doing this, Pendency started getting cleared. After clearing the pendency, configuration changes was rolled back to their previous state.</t>
  </si>
  <si>
    <t>Postpaid, Digital Acquisition</t>
  </si>
  <si>
    <t>INC13915578</t>
  </si>
  <si>
    <t>Symptom:
1)DCAP_NCA_JOURNEY_FAILURE_ALERT|Trigger Value: 109
Alert time:2025-04-22 12:24 Hrs
Incident:INC13915578</t>
  </si>
  <si>
    <t>DCAP: 298 pendency 
eCOM: 56</t>
  </si>
  <si>
    <t>Postpaid Customer Experience Journey, Prepaid Customer Experience Journey</t>
  </si>
  <si>
    <t>INC13918204</t>
  </si>
  <si>
    <t xml:space="preserve">Pre To Post and MNP orders were impacted. </t>
  </si>
  <si>
    <t>In this issue, after partial deployment (5%) of changes at eCAF end (CHG0174102), activation fees (Rs 300) was made mandatory for all types of Pre To Post and MNP orders in eCAF. The change was supposed to be deploy for only Datacard but instead got deployed for all types of orders. So, to resolve, eCAF team rolled back the change, post which issue got resolved.</t>
  </si>
  <si>
    <t>15 users</t>
  </si>
  <si>
    <t>CHG0174102</t>
  </si>
  <si>
    <t>APB_SBA, APB_CKYC, APB_Wallet, APB_Payment_DMT, APB_Payment_UPI, APB_AEPS, APB_MicroATM, APB_Retailer App, APB_Tez Portal, APB_My Nova App, APB_Snorkel, APB_AuthHub, APB_NCMC, APB_CRM</t>
  </si>
  <si>
    <t>INC0455327</t>
  </si>
  <si>
    <t>Multiple NFB applications observed issue due to some distruption at phase2 DC.</t>
  </si>
  <si>
    <t>In this issue, multiple NFB applications were impacted due an issue at network end in Phase2 DC. To resolve the issue, the Firewall Team re-enabled the firewall policy, and as a result, application services were restored at 18:01 Hrs. Following this action, application performance stabilized, and normal operations resumed.</t>
  </si>
  <si>
    <t>Alert92001579</t>
  </si>
  <si>
    <t>1)High 500 Failure for CREATE-BBPS-ORDER|Trigger Value: 33
Alert time:2025-04-23 18:04 Hrs
Incident:Alert92001579</t>
  </si>
  <si>
    <t>For NFB-CKYC Account Creation Comparison- {D vs (D-7)}= 33-73=40 (54.79 % drop in account creation)
For NFB-SBA Account Creation Comparison-{D vs (D-7)}= 0-428=428 (100% drop in account creation)
For NFB-Wallet Creation Comparison- {D vs (D-7)}= 92-112=20 (17.85% drop in wallet creation)
For NFB-Payments-DMT Partner Transactions Dip - {D vs (D-7)}= 1871-6939=5068(73% Transaction Dips in success count)
For NFB-PAYMENTS-UPI Total Transactions Comparison- {D vs (D-7)}= 394514-548951=154437(28.13 % drop in success count)
For NFB-AePS Transactions Dip- {D vs (D-7)}= 168862-441022 = 272160 (NFB-AePS transactions have dipped by 61.7% compared to the previous week)
For NFB-NCMC Transactions Dip- {D vs (D-7)}= 7,479-13,504=6,025 (percentage dip is 44.61%)
For NFB-Micro-ATM Hits Comparison- {D vs (D-7)}= 40,163-149,532=109,369 (73.14% decrease in NFB-Micro-ATM hits)
For NFB-Retailer App Hits Comparison- {D vs (D-7)}= 0-13802= 13802 (percentage increase is 100%)
For NFB-Tez Portal Hits Comparison- {D vs (D-7)}= 0-8000= 8000 (increase in NFB-Tez succes hits compared to the previous week is 100%)
For NFB-My Nova App failure Comparison- {D vs (D-7)}= 40628-1814= 38814 (95% increase in failure count)
For NFB-AuthHub Success Comparison- {D vs (D-7)}= 25248- 520025=-494777(95.14% dip in success count)
For NFB-SNORKEL success Comparison- {D vs (D-7)}= 418324-587584=169260 (28.8% dip in success count)
For NFB-CRM Account Hit Comparison- {D vs (D-7)}= 3110-30900=27790 (89.9% dip in total hit)</t>
  </si>
  <si>
    <t>Nova App Experience Journey, Nova IQ SMS Journey, Nova IQ Voice Journey, DTH Customer Experience Journey, Broadband Customer Experience Journey, Prepaid Customer Experience Journey, Postpaid Customer Experience Journey, Broadband New Customer Acquisition Journey, Postpaid New Customer Acquisition Journey, Prepaid Customer Retail Acquisition Journey, Prepaid New Order Sim Swap Journey, Prepaid Online Recharge Journey, Prepaid Retail Recharge Journey</t>
  </si>
  <si>
    <t>eCAF, NovaWorks, LAPU_MT, LAPU_GT, Mitra, Nova App, DPS, Service Portal, Nova IQ_SMS, Nova IQ_Voice, EV Portal, Feasibility, eCAF_eDSL, eCAF_Simswap</t>
  </si>
  <si>
    <t>INC13935049</t>
  </si>
  <si>
    <t>Multiple applications hosted in Phase2 DC observed service disruption.</t>
  </si>
  <si>
    <t xml:space="preserve">In this issue, multiple applications hosted in Phase 2 DC observed service disruptions. There was some network issue, so to fix this, policy was re-enabled on firewall, post which improvement was observed and most of the applications were restored @18:01 Hrs. But high RT was still observed for eCAF services, for which eCAF team took service refresh for multiple services and once the RT got normal, issue stands resolved. </t>
  </si>
  <si>
    <t>Primary root cause:
Specification Leg-01
Q1: Why there was an instance of service degradation in several applications led impact to multiple journey’s?
Ans: Because, Due to the unavailability of services for a variety of scenarios and functionalities across different applications hosted and operating from Phase-II DC, the impact was most apparent in the Recharges, Acquisitions, and Customer Experience flows. This affects the aforementioned journeys. Significant effects were observed in the Nova App &amp; Service Portal, eCAF, Mitra, and LAPU GT&amp;MT.
Detection Leg- 02 
Q2: Why was a cascading effect observed in several NFB applications as well?
Ans: When talking about the NFB issue, it becomes clear that applications that depend on or integrate with the Nova App and Mitra apps was affected because they were already affected by the outage. The team also reported some CRM issues, but in this case, here no such issues were reported, and it was suggested that the OCP proxy setting be revalidated and left as standard.
Q3: Why did a number of apps hosted or operating from Phase-II DC encounter service degradations?
Ans:  Because, several applications exhibiting abrupt failure, service unavailability due to issue on network layer in Noida Phase-II DC as active firewall started discarding the traffic (Intercommunications issue in all the FW zone- Management, Test, DMZ, Productions) led to this outage.
Q4: Why was a service disruption observed on network layer in Noida Phase-II DC active firewall?
Ans: Further discussion with the network team revealed that, as per usual trend firewall CPU utilization stays around 75 to 80% however, firewall utilisation spiked from ~80% to above 92% which caused the disruptions.
Systemic leg-03
Q5:Why did firewall utilisation spiked from ~80% to above 92% in Noida Phase-II DC?
Ans: Further discussion with network team explores that, As a BAU activity, while troubleshooting access issue for a specific source/destination, the logging level policy (syslog configure) from informational to debugging got changed around 17:45Hrs. As a result, firewall utilisation spiked and to mitigate the impact @18:01 hrs restored the original logging level policy, post which most of the applications observed improvement.
Q6: Why eCAF application took longer time to be recovered wherever, most of them get settle approx. 18:03 Hrs?
Ans: Because,  eCAF continues to observe timeouts for several services even after the majority of applications have stabilized.. Team took service refresh majorly commons/KYC at its being used for multiple microservices. Since there was a traffic surge up to 150% to 200% existing pods CPU were already at higher end reach to HPA (Horizontal Pod Autoscaler). Hence, Pods scaleup was required horizontally and vertically(7 to 14 pods and 1 core to 2 CPU)  which consume time  ,There was no such issue for Pods auto scaling. Team also added that, there is complier induce in JAVA 17~21 “Just-In-Time (JIT)” run in initial time while container start, its increase the CPU performances.
Observations:
• Network team updated that such BAU activity happened on regular basis wrt to capture, information, dump creation/generation debugging. It is advised to team to please be more proactive while doing such activity in production hour to avoid such outage.
• It was also confirmed by network team that FW was already running 75 to 80% CPU and upgrade was already planned tonight for same. Team has already migrated DMZ zone and for Prod, test &amp;management was part of this activity.
• LAPU team again reported the similar kind of behaviour@18:11 hrs and to mitigate the issue they shifted the traffic to Noida 62 DC. Network team debug the same however, they have not find out any other abnormalities beyond previous, Network team must relook the same.
• Post eCAF migration from VM to container environment, eCAF recovery TAT took longer time to restore their services. Team must relook that how quickly they can up their services without/ minimal service refresh, PODs restart/ scaleup to reduce MTTR
• It was also noticed that there was surge in traffic for eCAF up to 1.5, 2X however, application does not sustain that much traffic and existing setup need to be scaleup.
• OCP team has also suggested some way to reduce resource saturations~ CPU where, eCAF team to explore the feasibility ie, HPA to VPA, KEDA, Startup Prob(delay to avoid throttling), rate limiting, connections bench marking round robin or TPS base scaling of Pods in test environment.
Preventive Actions: 
• Existing firewall need to be migrated on higher capacity (The impacted firewall was already running above 75-80% of its capacity. Traffic migration to higher capacity firewalls is already planned for execution). Closed Joginder
• eCAF team must scaleup the system to carter the 5,6X traffic to reduce the recovery time in such outage proactively. (Team already did horizontally and vertically scaleup- (7 to 14 pods and 1 core to 2 CPU) Closed Vageesha.
• eCAF team have to explore the feasibility to reduce the resource saturations(~ CPU in initial container startup/traffic surge). Open Rakesh 
• eCAF resiliency is also a concern wherever, PA is already open and team has to expedite the same. Rohit/Bhupender</t>
  </si>
  <si>
    <t>PRB0044476</t>
  </si>
  <si>
    <t>Nova IQ, Digital Acquisition, Digital Experience B2C, Prepaid</t>
  </si>
  <si>
    <t>P1
P1
P1
P1
P1
P1
P1</t>
  </si>
  <si>
    <t>INC13933329
INC13933260 / INC13933272
Alert91999939
Alert91999990 / Alert91999994 / Alert91999998
INC13933328 / INC13933327 / INC13933620
INC13933337
TG Alert</t>
  </si>
  <si>
    <t xml:space="preserve">Symptom:
1)Multiple Active connection has increase threshold is greater than 1000
Host Name : 10.241.178.60
Host Name : 10.241.178.62
Host Name : 10.241.178.61
Alert time : 2025-04-23 17:44
Event No : INC13933329
2) Multiple Appd Alert Mitra:
A) Mitra-Prepaid Retail Recharge Journey-BT_/mitra/fiscal
B) Mitra-Prepaid Retail Recharge Journey
C) Mitra_Phase_2-Prepaid Retail Recharge
D) Mitra_Phase_1-Prepaid Retail Recharge-OverallAvgResponseTime
E) Mitra2_Phase_2-Prepaid Retail Recharge Journey-Overall Avg Response Time
Alert Time : 2025-04-23 17:47
Event No : INC13933260 / INC13933272
3)Hostname:DPS_PREPAID_Service
Trigger: High 400 Failure for PREPAID-LAPU1-ENQUIRY-ADAPTER
API:PREPAID-LAPU1-ENQUIRY-ADAPTER
Alert time:2025-04-23 17:48
Event No : Alert91999939
4) Multiple high rates of 504 in service ECAF NGINX
service_endpoint : /ecaf-commons/api/v2/image/upload-image
service_endpoint : /orion-prepaid-mnp/operatorInfo/v1
service_endpoint : /cms/api/v1/getRetailerToken/v2
Alert time:2025-04-23 17:49
Event No : Alert91999990 / Alert91999994 / Alert91999998
5) Multiple Appd Alert Ecaf:
A) ECAF_POSTPAID-Postpaid New Customer Acquisition-RS_/esbmob.novaworld.in:8015
B) ECAF_eKYC-Postpaid/Prepaid New Customer Acquisition Journey-BT_/ekyc-app/ekyc_OverallErrorRate
C) ECAF-Prepaid/Postpaid New Customer Acquisition-ECAF_COMMON-OverallAvgResponse
D) ECAF-Prepaid/Postpaid New Customer Acquisition-ECAF_COMMON-RS_REDIS
Alert time : 2025-04-23 17:51
Event No.: INC13933328 / INC13933327 / INC13933620
6)Hostname:DPS_Anomaly
Trigger: Surge in Prepaid Posting Delay
Alert time:2025-04-23 17:51
Event No : INC13933337
7)Multiple LAPU MT circlewise failure
Lapu MT Transaction Failure for Circle BIHAR / UPW / RAJ / ORISSA / AP / kk / DEL /   UPE / MAH /PUN /HP
Alert time :2025-04-23 18:05
Event No : TG Alet
</t>
  </si>
  <si>
    <t>4/23/2025 17:44
4/23/2025 17:47
4/23/2025 17:48
4/23/2025 17:49
4/23/2025 17:51
4/23/2025 17:51
4/23/2025 18:05</t>
  </si>
  <si>
    <t>4/23/2025 18:00
4/23/2025 18:01
4/23/2025 17:58
4/23/2025 17:54
4/23/2025 18:03
4/23/2025 18:00
4/23/2025 18:12</t>
  </si>
  <si>
    <t>Human Miss</t>
  </si>
  <si>
    <t>Prepaid Success Dip: (D vs D-7: 27009 vs 37468: 10459) is 27%.
  Broadband Success Dip : (D vs D-7 : 1364 vs 1506: 142) is 9.4 %.
  Postpaid Success Dip (D vs D-7:308 vs 669 : 361) 53%.
  SimSwap Success Dip: (D vs D-7: 2486 vs 10430:7944) is 76%."
  Success Dip in Mitra : 35475(D: 48991 VS D-7: 84466) is 41%.
 NovaWorks: Error Rate: (4077 vs 847)  3230 hits is 79%. No Order impact.
  Service Portal: Total Hits: (D v/s D-1: 1442120 v/s 1535248: 93128) is 6%.
  LAPU(GT&amp; MT):Overall 30K txns Dip.
Nova App: 24,000 failure was observed.
DPS(Impact on transactions): 10,509(D vs D-7: 20,128 vs 30,637)
Nova IQ_SMS: C2C outbound was impacted.
Nova IQ_Voice: Some customers like Bank of Maharashtra, Cedge , etc were impacted.</t>
  </si>
  <si>
    <t>IPTV</t>
  </si>
  <si>
    <t>INC14027375</t>
  </si>
  <si>
    <t>Users were unable to view channels in IPTV.</t>
  </si>
  <si>
    <t>During the troubleshoot, it was identified that there was high traffic seen on the firewall. Network team checked that the traffic was being blocked at Palo Alto firewall. To restore, Firewall team removed the buffer protection from interface, post which the issue got resolved.</t>
  </si>
  <si>
    <t>DTH</t>
  </si>
  <si>
    <t>3lakh users were impacted</t>
  </si>
  <si>
    <t>APB_Payments Hub, APB_IMPS</t>
  </si>
  <si>
    <t>INC0455654</t>
  </si>
  <si>
    <t>An issue was observed in NFB-IMPS, where intermittent transactions were failing.</t>
  </si>
  <si>
    <t>On investigation of transaction failures reported by the NFB-IMPS Team, it was identified that the PaymentHub system was encountering errors originating from the CBS (Core Banking System) end. Further analysis by the CBS Team revealed that the issues began post-deployment of change CHG0003700, after which database-related errors increased significantly. To mitigate the impact and restore service functionality, the CBS Team performed a controlled restart of JVMs on the servers. This action successfully resolved the issue and restored normal transaction processing.</t>
  </si>
  <si>
    <t>For NFB-IMPS Transactions Dip: Total Transactions: 25173, Success Transactions: 4370 (17.36%), Failed Transactions: 20803 (82.64%) For NFB-Payments Hub : 228,807 transactions was impacted during the impacted window for all use case.</t>
  </si>
  <si>
    <t>CHG0003700</t>
  </si>
  <si>
    <t>XSafe Customer Experience Journey</t>
  </si>
  <si>
    <t>XSafe_B2C</t>
  </si>
  <si>
    <t>INC13948222</t>
  </si>
  <si>
    <t>Users were unable to login in XSafe_B2C application.</t>
  </si>
  <si>
    <t xml:space="preserve"> In this issue, it was observed that servers (10.13.52.105, 10.13.52.81) were up, on console but reachability issue was observed through gateway. To mitigate the issue, VM team shifted the NIC card on one of the server (10.13.52.105), post which VM got accessible and gateway started getting pinged. Similar actions were replicated for other server (10.13.52.81), to fix the issue.</t>
  </si>
  <si>
    <t>iOT</t>
  </si>
  <si>
    <t>P3
P1
P1
P3
P3</t>
  </si>
  <si>
    <t>INC13942264 /INC13942266
INC13941863
INC13941996
INC13941991</t>
  </si>
  <si>
    <t>Direct
1) check_service is null| ezviz XSAFE_B2C_XSAFE_INFRA, test
IP :10.13.52.105/81
Alert time: 2025-04-24 10:13 Hrs
Incident: INC13942264 /INC13942266
Symptons
1)AppDynamics has detected a problem with Backend *appproxy.novatel.example:4145*. *XSafe_B2C-XSafe Customer Experience Journey-RS_appproxy.novatel.example:4145_Overall Response Time&amp;gt;1000ms_Sev-1
Alert time: 2025-04-24 09:36 Hrs
Incident: INC13941863
2)XSafe_B2C ALERT |API:/api/v1.0/ezviz|Source IP:10.5.135.11|Failure:864|Total:992|Failure %:87.10|Threshold Msg:Min 150 hits and 30 % Failure|
Alert time: 2025-04-24 09:50 Hrs
Incident: INC13941996
3)IOT B2C ISSUE STARTED|API:/api/v1.0/auth/login|P3|Failure Percentage: 34.38% in last 10m||Total:64|Failure Count:22|Threshold:30
Alert time: 2025-04-24 09:50 Hrs
Incident: INC13941995
4)IOT B2C ISSUE STARTED|API:/api/v1.0/auth/ezviz/refresh-token|P3|Failure Percentage: 37.18% in last 10m||Total:4546|Failure Count:1690|Threshold:30%
Alert time: 2025-04-24 09:50 Hrs
Incident: INC13941991</t>
  </si>
  <si>
    <t xml:space="preserve">4/24/2025  9:50
4/24/2025  10:13
4/24/2025  09:36
4/24/2025  9:50
4/24/2025  9:50
</t>
  </si>
  <si>
    <t xml:space="preserve">
2025-04-24 15:20
2025-04-24 11:00
2025-04-24 14:38
2025-04-24 09:53
2025-04-24 09:36
</t>
  </si>
  <si>
    <t>171 users</t>
  </si>
  <si>
    <t>APB_AEPS</t>
  </si>
  <si>
    <t>INC0456177</t>
  </si>
  <si>
    <t>AEPS transactions were getting declined with Rc AE099.</t>
  </si>
  <si>
    <t>In this issue, AEPS transactions being declined with the error code RC AE099, which indicates a technical issue. Upon investigation, it was found that the Hibernate Spring Boot integer sequence had reached its maximum value (2147483647), which caused the transactions to fail. To resolve the issue, the AEPS development team has disabled Hibernate Auditing by setting in the application configuration, as part of the change request CHG0003791 and restart the AEPS Nodes. This action successfully resolved the issue and restored normal transaction processing.</t>
  </si>
  <si>
    <t>D:- Partner Channel: Total Transactions – 22053, Success Transactions -  1253 (success percentage is 5.68%)
D:- Own Channel Total Transactions- 59,218, Success Transactions - 2444 (success percentage is 4.13%)
D-7: -Partner Channel: Total Transactions - 76712, Success Transactions – 52826 (success percentage is 68.86%)
D-7: - Own Channel Total Transactions- 97,291, Success Transactions - 68,489 (success percentage is 70.39%)
PM Condition: Yes, (AEPS transactions are not working is 100% failure).</t>
  </si>
  <si>
    <t>CHG0003791</t>
  </si>
  <si>
    <t>Broadband Customer Experience Journey, DTH Customer Experience Journey</t>
  </si>
  <si>
    <t>UCM, Ecom, DTH_OM</t>
  </si>
  <si>
    <t>INC13945806</t>
  </si>
  <si>
    <t>Account creation for broadband and update account for DTH and Broadband were impacted intermittently.</t>
  </si>
  <si>
    <t>In this issue, it was identified that after completion of daily firmware upgrade activity (CHG0172833) on one node, the connectivity between pods and aerospike cluster got impacted. it was getting timeout which further impacted the update account for both broadband and DTH and also create account for broadband intermittently. Although re-trial mechanism was working fine due to which the orders were cleared in re-trial. During the investigation, everything seems fine at unix and network end. However, issue got resolved without any technical intervention.</t>
  </si>
  <si>
    <t>Analytics, Digital Acquisition, DTH</t>
  </si>
  <si>
    <t>P3
P3
P3
P3</t>
  </si>
  <si>
    <t>INC13944121/INC13944114/INC13944123
INC13944136</t>
  </si>
  <si>
    <t>1)Failure Count Increased for 500 For LOB :DTH/Moblity/Telemedia ||Failure Count Increased for time&amp;gt;1000ms_Sev-1
UCM_status_code_failure_lob_wise
Current Value : 6.0
Alert time:2025.04.24 12:37 Hrs
Incident: INC13944121/INC13944114/INC13944123
2)UCM_5XX_ERROR_CODE in last 10 min || POST/ucm/v1/profiles/customer|
Current Value : 80.0
Alert time: 2025.04.24 12:40 Hrs
Incident: INC13944136</t>
  </si>
  <si>
    <t>2025.04.24 12:37
2025.04.24 12:40
2025.04.24 12:41
2025.04.24 12:41</t>
  </si>
  <si>
    <t xml:space="preserve">4/24/2025 14:02
4/24/2025 14:00
4/24/2025 14:00
4/24/2025 14:00
</t>
  </si>
  <si>
    <t>No major impact observed in terms of order creation. DTH: UCM Update Account: 8202 (it was cleared in retrial) Broadband: UCM Account Update: 946 (it was cleared in retrial) Broadband orders Impact : 50 orders (cleared in retrial)</t>
  </si>
  <si>
    <t>CHG0172833</t>
  </si>
  <si>
    <t>IPTV, NovaWorks</t>
  </si>
  <si>
    <t>INC13948979</t>
  </si>
  <si>
    <t>IPTV installation/activation orders were impacted.</t>
  </si>
  <si>
    <t>In this issue, New order creation was impacted for IPTV due to which it further impacted installation journey in NovaWorks. During the troubleshooting, application team confirmed that they were getting error from CAS DRM. To restore it, DTH_CAS team took OMI Application restart post which pendency started getting clear and issue got resolved.</t>
  </si>
  <si>
    <t>DTH, Digital Acquisition</t>
  </si>
  <si>
    <t>Alert92050967
INC13947287</t>
  </si>
  <si>
    <t>Symptons
1)Hostname: sp_multitenant_api_failure
URL:https://icx-server.streamnovaota.com/dmpserver/v1/devices
Alert time: 2025-04-24 17:14
Incident:  Alert92050967
2)Hostname:MilestoneWisePendencyAlert
Trigger: Pendency observed on milestone ERR_CAS_PROVISIONING
Alert time: 2025-04-24 17:18
Incident: INC13947287</t>
  </si>
  <si>
    <t>4/24/2025 17:14
4/24/2025  17:18</t>
  </si>
  <si>
    <t>2025-04-24 17:19
2025-04-24 19:33</t>
  </si>
  <si>
    <t>IPTV: 700+ new orders were impacted. NovaWorks : 608 + install orders are impacted.</t>
  </si>
  <si>
    <t>INC13949102</t>
  </si>
  <si>
    <t>Autofill functionality was impacted in Mitra.</t>
  </si>
  <si>
    <t>In this issue, Mitra was getting 503 error response from ESB for autofill functionality as the active no. of connections breached from application end. To resolve this issue, threshold for no. of active connections for MitraVPN was increased from 25 to 40 by ESB team, post which errors decreased and issue got resolved.</t>
  </si>
  <si>
    <t>Alert92054027</t>
  </si>
  <si>
    <t>Direct
1)Hostname:SOLACE_VPN_CONNECTION_EXCEEDED_ALERTS,
sev-3
EVENT:VPN_CLIENT_USERNAME_CONNECTIONS_EXCEEDED, NODE:soldr25, PAYLOAD:Maximum connections exceeded : 25 Service (Combined),USERNAME:mitracuser, VPN_NAME:mitraVPN
Trigger Value: VPN
Alert time:2025-04-24 18:40 Hrs
Incident:Alert92054027</t>
  </si>
  <si>
    <t>1996 (D: 44442 vs D-7: 46438) is 4%</t>
  </si>
  <si>
    <t>Arcos</t>
  </si>
  <si>
    <t>INC13950666</t>
  </si>
  <si>
    <t>Arcos was inaccessible.</t>
  </si>
  <si>
    <t>The issue was triggered during the deployment of change CHG0174290, which caused Arcos to become inaccessible. While the deployment was still in progress, it was identified that the GTID got corrupted. As a result, it could neither be deleted nor skipped. As a workaround, DBA team removed the GTID from cluster configuration and performed Arcos failover to the DR. Normal functionality was restored following the failover.</t>
  </si>
  <si>
    <t>DC Infra</t>
  </si>
  <si>
    <t>INC13949912
Alert92059054
Alert92059055</t>
  </si>
  <si>
    <t>Direct :
1)MySQL: The slave I/O thread is not connected to a replication master
Host Name : 10.96.57.20
Alert time : 2025-04-24 21:38
Event No : INC13949912
Symtoms:
1)Hostname:Arcos_url_monitoring
Trigger: Arcos_URL_DOWN
Alert time:2025-04-24 21:10
Event No : Alert92059054
2)Hostname:Arcos_url_monitoring
Trigger: ARCOS_URL_RESPONSE_CODE  !=200
Alert time:2025-04-24 21:10
Event No : Alert92059055</t>
  </si>
  <si>
    <t>4/24/2025 21:38
4/24/2025 21:10
4/24/2025 21:10</t>
  </si>
  <si>
    <t>4/24/2025 21:53
4/24/2025 21:11
4/24/2025 21:11</t>
  </si>
  <si>
    <t xml:space="preserve"> Users were unable to access Arcos application.  </t>
  </si>
  <si>
    <t>CHG0174290</t>
  </si>
  <si>
    <t>APB_Servicenow, APB_Jira, APB_Confluence</t>
  </si>
  <si>
    <t>INC0457119</t>
  </si>
  <si>
    <t>APB_ServiceNow , APB_Jira and APB_Confluence were non-accessible for bank users</t>
  </si>
  <si>
    <t>In this issue, it was identified that, the ADSSO traffic was disabled due to firewall activity(CHG0173015) in phase 2 DC, which triggered the issue last night. To resolve the issue, network team enabled the traffic for ADSSO in Phase 2DC, post which issue got resolved.</t>
  </si>
  <si>
    <t>Impacted apps were inaccessible</t>
  </si>
  <si>
    <t>CHG0173015</t>
  </si>
  <si>
    <t>INC13959852</t>
  </si>
  <si>
    <t>ROP Jobs were impacted in DARTS Application which was degrading the business KPIs.</t>
  </si>
  <si>
    <t>In this issue, It was confirmed by the application team that ROP jobs were in a failed state, which has impacted the prepaid recharge data and postpaid billing data for PDK6CU21DR of FX6.0. As this is a known network issue, due to which multiple DR was out of sync, Now all DRs are stable and sync. To restore, Oracle DBA team have restored the archive from Prod to DR and manually DR is synced, post which issue stands resolved.</t>
  </si>
  <si>
    <t>ROP Jobs were impacted.</t>
  </si>
  <si>
    <t>Black Acquisition Journey, Broadband New Customer Acquisition Journey</t>
  </si>
  <si>
    <t>NovaWorks, eCAF, OneNova, IPTV</t>
  </si>
  <si>
    <t>INC13970904</t>
  </si>
  <si>
    <t>Black, Broadband and IPTV acquisition orders were impacted.</t>
  </si>
  <si>
    <t>In this issue, FEs were unable to fetch eCAF_Cart details and create new orders for impacted products in eCAF, due to a token validation failure issue. eCAF team confirmed that, there was a change deployed (ECAF-34017) leading to impact. To fix the issue, eCAF team rolled back the change followed by restart of Cart orchestrater services (OCP pods), post which issue got resolved.</t>
  </si>
  <si>
    <t xml:space="preserve">Primary Root Cause:
Q1) Why FEs were unable to fetch eCAF cart details and create new orders for Black, Broadband, and IPTV services in eCAF application ?
Ans. Because, FE’s were  getting CartException (code=50001 message=your request could not be served by the sytem) error from eCAF while trying to create new orders, fetching eCAF cart details and for slot booking through NovaWorks.
Q2) Why there was error at eCAF application?
Ans. Because, A token validation issue occurred within the eCAF application. FE’s access eCAF through the CMS portal, and the NovaWorks application also calls CMS to retrieve local agent details for slot booking. However, an error was encountered at the CMS API level during its attempt to fetch information from eCAF.
Q3) Why token validation error occurred at CMS API?
Ans. Upon investigation, eCAF team identified issue occurred due to some DB config level changes team made on previous day 25th April at 15:00 Hrs thru Jira ticket ECAF-34017 .
Q4) Why issue occurred due to DB config changes?
Ans. Upon further analysis, the team discovered that the configuration changes made to the database the previous day were not replicated on the Cache API. This discrepancy led to failures, as token generation occurs at the CMS every 24 hours at 07:30 AM, followed by a cache-clear job to validate the token. Since the cache did not reflect the updated configuration changes, it caused a mismatch between the Cache API and the database. To restore the service functionality, the team reverted the configuration changes and restarted the Cart Orchestrator services, which restored the database to a state where the configuration aligned with the cache.
Observations:
• eCAF team should establish a standard practice of executing a cache-clear job immediately after any configuration changes to ensure cache consistency and prevent discrepancies between the cache and the database.
• eCAF team should maintain proper documentation of all changes implemented on their end, as the lack of recorded details contributed to delays in correlating recent changes with the ongoing outage.
• eCAF was not aware of the change they performed on 25th April previous day; which took long to co-relate the issue with change also team restarted the multiple services to restore the issue. Most importantly , there was a delay of 1.5 hrs of logs generation at Kibana which took long for them to identify the issue. 
Preventive Measures:     
• eCAF and Monitoring team had taken the action to fix the logs delay issue in Kibana; kept under monitoring-Closed Vageesha/Deepesh
• eCAF team should establish a standardized process to perform cache clearing following any configuration changes.-Open Vageesha
• eCAF Dev team will implement the custom alerting on API to map-related outages, focusing on specific errors. Open  Ravinder/Vageesha
</t>
  </si>
  <si>
    <t>PRB0044478</t>
  </si>
  <si>
    <t xml:space="preserve"> 4/30/2025 4:00 PM</t>
  </si>
  <si>
    <t>Digital Acquisition, Xstream</t>
  </si>
  <si>
    <t>Alert92142663,
Alert92142984</t>
  </si>
  <si>
    <t>1)AppDynamics has detected a problem with Application NovaTelWork. OverallAvgResponseTime greater than 300ms_Sev-1* 
Alert time:2025-04-26 07:35Hrs( Fluctuating)
Incident:Alert92142663,Alert92142984</t>
  </si>
  <si>
    <t xml:space="preserve">4/26/2025 07:35 AM
4/26/2025 07:47 AM
</t>
  </si>
  <si>
    <t xml:space="preserve">4/26/2025 07:40 AM
4/26/2025 07:52 AM
</t>
  </si>
  <si>
    <t>Broadband Success Dip: (D vs D-7 : 166 vs 531: 365) is 68.7%.
Homes Success Dip: (D vs D-7 : 270 vs 794 : 524) is 65.9%.</t>
  </si>
  <si>
    <t>APB_SBA</t>
  </si>
  <si>
    <t>INC0458133</t>
  </si>
  <si>
    <t>SBA onboarding is impacted for Nova Payments Bank customers.</t>
  </si>
  <si>
    <t xml:space="preserve"> In this issue, Onboarding of new customers for SBA accounts in Payments Bank was impacted. During the investigation, the issue was traced to Kong Node 10.241.247.93. To resolve the issue team has isolated the affected node, post that service improvements were observed, and the issue was resolved. Currently, the application is operating with the remaining two Kong nodes, 10.241.247.94 and 10.241.247.95.
</t>
  </si>
  <si>
    <t>SBA success : 12 account created
D-7 : SBA success : 1383 account created.</t>
  </si>
  <si>
    <t>Broadband Customer Experience Journey, Broadband New Customer Acquisition Journey, Nova App Experience Journey, Analytics Customer Experience Journey, Postpaid Payment Posting Journey</t>
  </si>
  <si>
    <t>HB_CRM, eCAF, Ecom, NovaWorks, HB_ATOM, Service Portal</t>
  </si>
  <si>
    <t xml:space="preserve">INC13984489 </t>
  </si>
  <si>
    <t>CC Advisors were unable to process waiver as bills not visible in HB.</t>
  </si>
  <si>
    <t>In this issue, CC Advisors were not able to process waiver as the Get Invoice service was unable to fetch bill details for further process. It was identified that issue triggered due to a change (CHG0174514) deployed yesterday which resulted in the get Invoice service failing during the Invoice fetching in waiver process. To resolve the issue, HB_CRM and ESB teams proceeded with the rollback post which the services got normal.</t>
  </si>
  <si>
    <t>Broadband, Digital Acquisition, Digital Experience B2C</t>
  </si>
  <si>
    <t>P1/P1
P1/P1</t>
  </si>
  <si>
    <t>INC13981615,Alert92203203
INC13981747,Alert92202544</t>
  </si>
  <si>
    <t>1)Hostname:ESB_Failure_Percent_Process_wise
severity: Average
Trigger: Process Failure is greater than 15%
Alert time: 2025-04-27 07:42 Hrs
Incident:INC13981615,Alert92203203 
2)Host Name : Channel-Backend-Alerts for NovaTel-billing
Sev : S4
API : /billing/v1/bill/home/benefits/fetch
API : /bills
Alert time: 2025.04.27 08:00 Hrs
Incident: INC13981747,Alert92202544</t>
  </si>
  <si>
    <t>4/27/2025 7:42
2025-04-27 08:00:28</t>
  </si>
  <si>
    <t>4/27/2025 17:02
4/27/2025 8:30</t>
  </si>
  <si>
    <t>Testing Failure</t>
  </si>
  <si>
    <t>HB_CRM : 795 waiver requests impacted eCAF : 90 impact count NovaWorks : 161 impact count HB_ATOM : 1200 impact count Service Portal success Dip ( D vs D-7 ) : (13,248 vs 13,061) is no dip</t>
  </si>
  <si>
    <t>CHG0174514</t>
  </si>
  <si>
    <t>INC13991885</t>
  </si>
  <si>
    <t xml:space="preserve">Postpaid Pre-barring SMS delivery (Non-Instant KCI) was stuck in BTFLY_KCI application. </t>
  </si>
  <si>
    <t>During troubleshooting, it was identified that one of the CLM servers was in a hung state, resulting in BTFLY_KCI not receiving a response from the CLM end, due to which postpaid pre-barring SMS messages were getting stuck at BTFLY_KCI. To resolve the issue, Unix team rebooted the server, after which connectivity was restored. CLM team then restarted the affected job, following which the issue was resolved.</t>
  </si>
  <si>
    <t>Non-Instant KCI Pendency: 1,17,296</t>
  </si>
  <si>
    <t>iB2B</t>
  </si>
  <si>
    <t>INC13992880</t>
  </si>
  <si>
    <t xml:space="preserve">Legacy orders are impacted for iB2B application. </t>
  </si>
  <si>
    <t>In this issue, application team was unable to connect multiple iB2B (EOL/EOS) servers due to which order management for iB2B legacy orders was impacted. Servers were bought up with the help of Network team by Unix team post which sanity checks were performed by the app team and issue got resolved.</t>
  </si>
  <si>
    <t>Legacy orders were impacted for iB2B application.</t>
  </si>
  <si>
    <t>APB_CKYC, APB_Load Cash</t>
  </si>
  <si>
    <t>INC0459612</t>
  </si>
  <si>
    <t>All payment transactions via the Razorpay gateway are consistently encountering a 100% DIP (Declined in Progress) state.</t>
  </si>
  <si>
    <t>In this issue, complete (100%) transaction dip was observed from the Razorpay payment gateway, critically impacting multiple services including Loadcash, CKYC, DMRC, and DigiGold transactions. The disruption originated from Razorpay end, indicating an external third-party failure rather than an internal system issue. Post identification, the Razorpay technical team implemented corrective actions, leading to service restoration and normalization of transaction flows.</t>
  </si>
  <si>
    <t>P4</t>
  </si>
  <si>
    <t>INC13994042
INC13994040</t>
  </si>
  <si>
    <t>1)DPS_RAZORPAY_Service || {HOST.IP}
Current Value : 157
API : INITIATE-UPI-PAYMENT-ADAPTER
Alert time:2025-04-28 10:22 Hrs
Incident:INC13994042/INC13994040</t>
  </si>
  <si>
    <t xml:space="preserve">4/28/2025 10:20 AM
</t>
  </si>
  <si>
    <t xml:space="preserve">4/28/2025 11:30 AM
</t>
  </si>
  <si>
    <t xml:space="preserve">For NFB-Load Cash Transactions Dip Comparison: {D vs (D-7)}= 0-2959= 2959 (100% impact during the impacted window) NFB-CKYC Transactions Dip Comparison: {D vs (D-7)}= 0-492= 492 (100% impact during the impacted window) </t>
  </si>
  <si>
    <t>NovaWorks, ACS</t>
  </si>
  <si>
    <t>INC13999567</t>
  </si>
  <si>
    <t xml:space="preserve">Broadband installations were impacted intermittently as issue observed from ACS end. </t>
  </si>
  <si>
    <t>In this issue, FE's were getting error "ACS-CPE provisioning not completed" intermittently while doing broadband installations. ACS team checked the logs for sample cases but nothing conclusive was identified. However, during the course of troubleshooting, failure rate decreased but action taken to resolve, remains unknown.</t>
  </si>
  <si>
    <t>Digital Acquisition, NSG</t>
  </si>
  <si>
    <t>INC13994462</t>
  </si>
  <si>
    <t>)DN__RouterManagement_Access_log_Failure
5xx Failure in last 30minutes||/routermanagement/updateFirmware
Current Value : 14.29
Alert time:2025-04-28 10:57 Hrs
Incident:INC13994462</t>
  </si>
  <si>
    <t xml:space="preserve">4/28/2025 10:57 AM
</t>
  </si>
  <si>
    <t xml:space="preserve">4/28/2025 11:10 AM
</t>
  </si>
  <si>
    <t>211 CPE Config. Failure</t>
  </si>
  <si>
    <t>APB_IBS, APB_Transitcards , APB_FASTag, APB_Payments_DMT, APB_AePS, APB_Payment_UPI</t>
  </si>
  <si>
    <t>INC0459710</t>
  </si>
  <si>
    <t>Traffic dips were observed in multiple NFB applications.</t>
  </si>
  <si>
    <t>In this issue, multiple NFB applications were impacted due to a traffic dip. During the troubleshooting, the issue was automatically resolved without any technical intervention by any domain team, and it's been working since 14:10 hrs. The network team has logged the case with the ISP for further investigation.</t>
  </si>
  <si>
    <t>1)High 402 Failure for UPI-PAYMENT-ENQUIRY
Host Name : DPS_APB_SERVICE
Current Value : 3533
API : UPI-ENQUIRY-ADAPTER
API : UPI-PAYMENT-ENQUIRY
Alert time: 2025-04-28 12:39 Hrs
Incident:INC13996075</t>
  </si>
  <si>
    <t xml:space="preserve">4/28/2025 12:39 PM
</t>
  </si>
  <si>
    <t xml:space="preserve">4/28/2025 12:59 PM
</t>
  </si>
  <si>
    <t>For NFB-IBS Traffic Dip Comparison: {D vs (D-7)}=247,820-667,259= 419,439 (Traffic dipped by approximately 62.85%.) For NFB-PAYMENTS-UPI (For DMRC Use case) Transaction failed Comparisons: {D vs (D-7)}= 3488-0= 3488 (100% impact for DMRC Use Case) For NFB-Transitcards Transaction Dip Comparisons: {D vs (D-7)}= 28860-36751= 7891 (21.47% dip in Transitcards transactions compared to the same day last week) For NFB-FASTag/NETC Transaction Dip Comparisons: {D vs (D-7)}= 2711203-2507494= 203,709 (8.13% increase in FASTag/NETC transactions compared to D-7.) For NFB-Payments-DMT Transaction Dip Comparisons: {D vs (D-7)}= 19084-24595= 5,511 (DMT transaction dip is approximately 22.41%.) For NFB-AePS Transaction Dip Comparisons: {D vs (D-7)}= 22,729-46,697= 23,968 (transaction dip is approximately 51.32%.) For NFB-CMS (OBCMS Use Case) Success Transaction Dip Comparisons: {D vs (D-7)}= 310-751= 441 (success transactions dipped by approximately 58.72%.)</t>
  </si>
  <si>
    <t>INC13999427</t>
  </si>
  <si>
    <t>Change Bill plan of M2M Orders were impacted in BTFLY_ATOM.</t>
  </si>
  <si>
    <t>In this issue, M2M change of bill plan
orders were impacted in BTFLY_ATOM. App DBA team observed inactive session which was creating blocking so, CAP process was stopped. Once the session got normal then, order pendency started getting cleared. Post checking the health check CAP process was re-initiated and order processing was working at optimal state.</t>
  </si>
  <si>
    <t>P1
P1</t>
  </si>
  <si>
    <t>INC13998098
INC13998096</t>
  </si>
  <si>
    <t>BTFLY_ATOM Task Wise In-Progress seen more than 2000 | Current Value : 2385.0
Alert time: 2025-04-28 15:45 Hrs
Incident:INC13998098 
2)BTFLY_ATOM Overall In-Progress Pendency seen more than 1000 and less than 2500 | Current Value : 2489.0
Alert time: 2025-04-28 15:46 Hrs
Incident:INC13998096</t>
  </si>
  <si>
    <t>4/28/2025 15:45
4/28/2025 15:46</t>
  </si>
  <si>
    <t>4/28/2025 16:31
4/28/2025 16:30</t>
  </si>
  <si>
    <t>2k orders were impacted.</t>
  </si>
  <si>
    <t>Prepaid Customer Retail Acquisition Journey, Nova IQ Customer Experience Journey, Broadband Customer Experience Journey, DTH Customer Experience Journey, Prepaid Customer Experience Journey, Postpaid New Customer Acquisition Journey, Black Acquisition Journey, Prepaid New Order Sim Swap Journey</t>
  </si>
  <si>
    <t>Mitra, Nova IQ_SMS, Nova IQ_Voice, DTH_OM, LAPU_GT, Service Portal, eCOM, eCAF</t>
  </si>
  <si>
    <t>INC14009393</t>
  </si>
  <si>
    <t xml:space="preserve">Multiple applications hosted in Phase1 and Phase 2 DC observed service disruptions.
</t>
  </si>
  <si>
    <t>In this issue, multiple device down alerts were observed at network due to BGP flap at network end leading to impact on multiple applications hosted in Phase1 and Phase 2 DC . However, most of the applications got restored around 22:10 Hrs and the issue got resolved without any technical intervention. Except for LAPU Hub 5 connectivity got hampered for which DB team established the connectivity and it got restored.</t>
  </si>
  <si>
    <t>Nova IQ, Digital Acquisition, Digital Experience B2C, DTH, Prepaid</t>
  </si>
  <si>
    <t>P1
P1/P1/P1/P1/P1/P1</t>
  </si>
  <si>
    <t xml:space="preserve">INC14002158
Alert92297158,Alert92294755,Alert92294905,INC14002391,INC14002105,Alert92296252,Alert92302642,INC14002102,Alert92296816,INC14002135,Alert92295512,Alert92295510
</t>
  </si>
  <si>
    <t>Multiple Device Cisco  (IP: 10.5.xx.xx , 10.241.xx.xx , 10.222.xx.xx) has gone down 
Alert time :2025-04-28 22:03
Event NO : INC14002158
2)Multple Application performance  Alerts
Alert time: 2025-04-28 21:59 Hrs
Incident:Alert92297158,Alert92294755,Alert92294905,INC14002391,INC14002105,Alert92296252,Alert92302642,INC14002102,Alert92296816,INC14002135,Alert92295512,Alert92295510</t>
  </si>
  <si>
    <t>4/28/2025 22:03
4/28/2025 22:02</t>
  </si>
  <si>
    <t>Open
4/28/2025 22:12</t>
  </si>
  <si>
    <t>LAPU_GT success dip: 3438 (D:33036 vs D-7:36474) is 9% (Same for Mitra)
LAPU_MT success dip: 26127 (D:308082 vs D-7:334209) is 8%
Service Portal success Hits: 2475 (D:1283 vs D-4:3758)
Nova IQ_SMS: 100% dip
Nova IQ_Voice: 100% dip
IPtV 20order
DTH Resumption 563
DTH Change order 193
eCOM: No dip
Prepaid Success Dip: 254 orders (D: 633 VS D-7: 887)
Postpaid Success Dip: 4 orders (D: 2 VS D-7: 6)
Broadband Success Dip: 26 orders (D: 6 VS D-7: 32) 
Simswap Success Dip: 104 orders (D: 68 VS D-7: 172)  
Homes Success Dip:  24 orders (D: 3 VS D-7: 27)</t>
  </si>
  <si>
    <t>INC14006815</t>
  </si>
  <si>
    <t>ROP Jobs were impacted in Darts</t>
  </si>
  <si>
    <t>In this issue, FXDRCU49, FXDRCU50, FXDRCU51, FXDRCU52, FXDRCU53, FXDRCU54 were facing connectivity issue with DB due to which ROP jobs are impacted. Storage team confirmed that there was some issue in BCV for these CUs. To resolve the issue, BCV was synced from storage end followed by server reboot Linux team post which connectivity got established and the issue got resolved.</t>
  </si>
  <si>
    <t>INC14007102,INC14007103</t>
  </si>
  <si>
    <t>1)Multiple bdrpl-pd-btfcu51/53/49 10.92.12.187/188/186 database status is UNKNOWN
Alert time:2025-04-29 04:30 Hrs
Incident:INC14007102,INC14007103</t>
  </si>
  <si>
    <t>HB_ATOM</t>
  </si>
  <si>
    <t>INC14009025</t>
  </si>
  <si>
    <t xml:space="preserve"> Broadband orders for South circle are getting connection timeout at PCRF task in HB_ATOM</t>
  </si>
  <si>
    <t xml:space="preserve"> During the troubleshooting it was identified that PCR routing (RITM12139948) was done at an IP (10.113.149.29) at network end yesterday due to which the issue triggered. To mitigate the issue network team removed the routing, post which the source and destination IPs were able to telnet and issue got resolved.</t>
  </si>
  <si>
    <t>P2
P2</t>
  </si>
  <si>
    <t>Alert92313930
,Alert92313944 
Alert92326504
Alert92326577</t>
  </si>
  <si>
    <t>1)Hostname:port_monitoring_10.222.185.202|Port alert on 10.113.149.2
Alert time:2025-04-29 01:06 Hrs
Incident:Alert92313930,Alert92313944 
Symptom:
1)hb_atom_taskwise_PCRF_Inprogress|Current Value : 319
Alert time:2025-04-29 05:26 Hrs
Incident:Alert92326504
2)hb_atom_without_huawei_nokia_failure_overall_order_type|Current Value : 553
Alert time:2025-04-29 05:30 Hrs
Incident:Alert92326577</t>
  </si>
  <si>
    <t xml:space="preserve">4/29/2025 05:26 AM
4/29/2025 01:06 AM
4/29/2025 05:30 AM
</t>
  </si>
  <si>
    <t xml:space="preserve">4/29/2025 05:43 AM
4/29/2025 04:29 AM
4/29/2025 12:00 PM
</t>
  </si>
  <si>
    <t>497 orders (COBP-59, Modify-6, New-101, Resume- 45, Shifting-6, Unbar-280)</t>
  </si>
  <si>
    <t>DTH_CRM, Service Portal</t>
  </si>
  <si>
    <t>INC14008819</t>
  </si>
  <si>
    <t>DTH_CRM was inaccessible along with Barring orders and SR creation in Service Portal was impacted</t>
  </si>
  <si>
    <t>In this issue, DTH_CRM was inaccessible along with the CC advisors were unable to create SR and there DTH barring orders processing was impacted. During troubleshoot it was identified that the issue occurred due to a known bug in DTH_CRM gateways. Further to resolve the issue, the DTH_CRM team performed Apache restart followed by cache refresh post which the the issue got resolved.</t>
  </si>
  <si>
    <t>DTH, Digital Experience B2C</t>
  </si>
  <si>
    <t>INC14008342</t>
  </si>
  <si>
    <t>1)MilestoneWisePendencyAlert
VECTOR_UPDATED_ORDER_COMPLETED (750.0)||Pendency observed on milestone
Current Value : 314.0
Alert time:2025-04-29 07:48 Hrs
Incident:INC14008342</t>
  </si>
  <si>
    <t xml:space="preserve">4/28/2025 07:48 AM
</t>
  </si>
  <si>
    <t xml:space="preserve">4/28/2025 07:57 AM
</t>
  </si>
  <si>
    <t>1026 Unbarring Orders Failed.</t>
  </si>
  <si>
    <t>Prepaid New Order Sim Swap Journey</t>
  </si>
  <si>
    <t>eCAF_Sim Swap</t>
  </si>
  <si>
    <t>INC14028922</t>
  </si>
  <si>
    <t xml:space="preserve">SimSwap acquisition was impacted intermittently.
  </t>
  </si>
  <si>
    <t xml:space="preserve"> In this issue, SimSwap orders were impacted where  performa error being observed from POS end. During the investigation, it was identified that issue got triggered as 'delete from inventory' query was running on POS which was creating blocking session. To restore, DB team killed the query followed by POS team performing a service restart for their both clusters, post which issue got resolved.</t>
  </si>
  <si>
    <t>INC14026474</t>
  </si>
  <si>
    <t>Alert Name:High Disk IO for ecaf-simswap-service-canary-6677798f45-xzjw5 is greater than 1.5 MB
Host Name : ECAF n2ocp-pclus-02 Namespace Wise || 127.0.0.1
NAME : disk_io_mb_podwise
POD : ecaf-simswap-service-canary-6677798f45-xzjw5
Current Value : 6900.4856888888889
Alert time: 2025-04-30 12:11
Incident: INC14026474</t>
  </si>
  <si>
    <t>Open</t>
  </si>
  <si>
    <t xml:space="preserve"> Simswap orders: 1643(D vs D-7: 9422 vs 11065) orders is 15%</t>
  </si>
  <si>
    <t>APB_Payment_UPI, APB_SBA</t>
  </si>
  <si>
    <t>INC0463593</t>
  </si>
  <si>
    <t>Intermittent traffic dips were observed for several use cases for multiple NFB applications.</t>
  </si>
  <si>
    <t>In this issue, the APB_UPI application experienced approximately a 0.7% impact due to a traffic dip. During the troubleshooting process, the network team was engaged and confirmed that an F5 firmware upgrade activity (covering load balancers and WAF) was performed under change request CHG0003777. To resolve the issue, the NFB Network team executed a Load Balancer (LB) failover and degraded the LB firmware from version 17.5.0 to 17.1.1.4. However, this did not resolve the issue. Subsequently, the application team bypassed the Load Balancer on 12 out of 17 UPI nodes. Following this bypass, performance improvement was observed on the affected nodes. Further, the Network team downgraded the LB chassis firmware from version 1.8.0 to 1.7.9. Following the action, an improvement was observed, and the issue got resolved.</t>
  </si>
  <si>
    <t>For NFB-SBA Account Creation: D vs. (D-7) = 15520-15822 = 302 (1.91% drop in account creation) For NFB-PAYMENTS-UPI approximately 0.7% of transactions were observed as compared previous day.</t>
  </si>
  <si>
    <t>NovaWorks, IPTV</t>
  </si>
  <si>
    <t>INC14063400</t>
  </si>
  <si>
    <t>IPTV activation/installation was impacted intermittently due to EDT task failure.</t>
  </si>
  <si>
    <t>In this issue, errors were observed in SI creation for IPTV orders from DTH_OM to Billing. BSL team took service refresh, post which impact on new orders got mitigated. For old stuck cases, DTH_OM team reconciled the old orders and repushed the pendency. Later, EDT issue was observed again at 14:19Hrs. To mitigate the impact NovaWorks team bypassed the EDT tasks at NovaWorks post which issue got mitigated.</t>
  </si>
  <si>
    <t xml:space="preserve">Root Cause Analysis Summary - 
• The incident involved intermittent failures in IPTV activation, affecting new customer installations. 
• Field engineers were unable to complete provisioning due to Service Instance (SI) creation errors, which blocked order processing from DTH_OM. 
• The EDT API, a key service in the activation workflow, failed to respond during the incident. 
• EDT relies on a data flow from OE – OM – SI creation – Network (DRM) – FX (BSL) – Vector – Siebel – OE for creating customer accounts. 
• The investigation revealed that BSL was not responding to DTH OM, causing the EDT process to fail. 
• Initially, To fix the issue, BSL team increased the number of processing threads and restarted the BSL services. After, this restored IPTV activation temporarily, and order flows resumed. 
• However, the EDT failures issue was again seen in some time. 
• NovaWorks team bypassed the EDT service temporarily to mitigate the issue. As the failures were seen on the URL : https://icx-server.streamnovaota.com/dmpserver/v1/devices towards DRM systems (NSG). 
• Herein, 403 Gateway Errors began to appear, leading to complete API failures. 
• Interestingly, these errors resolved automatically after some time, without any manual intervention. 
• Post conducting a thorough investigation of overall outage, the underlying cause of the disruption was thread exhaustion at BSL layer, which caused EDT process to fail and led to cascading service interruptions across the activation workflow. 
Key Observations - 
• Following to the reoccurrence, logs reviewed by DRM Network Team suggest the 403 errors were due to unexpected traffic failures, potentially within the NovaTel network path. 
• However, Palo Alto firewall logs were not available due to retention limitations. 
• The Network Security Team confirmed that no policy or firewall rule changes occurred during the incident. 
• Riverbed traffic analysis could not be performed since the impacted traffic passed through a proxy rather than a load balancer, which is required for that monitoring tool. 
 Note: Regarding to the thread modules at BSL operational level, following are the finalized preventive approach: 
Preventive Actions -
• Database Segmentation: 
Provision dedicated databases for each Line of Business (LOB), especially for IPTV and DTH services, to reduce resource contention and isolate faults. – Saurabh Sharma/ Siddhartha Naithani (BSL) – Open 
• API Architecture Redesign: 
Redesign API integrations to avoid direct coupling between high-load services and shared components. – Saurabh Sharma/ Siddhartha Naithani (BSL) – Open 
• BSL Resource Enhancement: 
Review and upscale the BSL infrastructure — currently running eight pods (4+4 across CU15 and CU16) — to handle peak loads more efficiently. – Saurabh Sharma/ Siddhartha Naithani (BSL) – Closed
</t>
  </si>
  <si>
    <t>PRB0044482</t>
  </si>
  <si>
    <t>Alert92516631</t>
  </si>
  <si>
    <t>Symptom:
1)sp_multitenant_api_failure|Current Value : 434
URL : https://icx-server.streamnovaota.com/dmpserver/v1/devices
Alert time:2025-05-02 10:24 Hrs
Incident:Alert92516631</t>
  </si>
  <si>
    <t>800 Order Pendency</t>
  </si>
  <si>
    <t>East Hub, South Hub</t>
  </si>
  <si>
    <t>INC14062157</t>
  </si>
  <si>
    <t>Prepaid activation orders were getting delayed intermittently for East and South Hub.</t>
  </si>
  <si>
    <t>During the troubleshoot, it was identified that there were blocking sessions observed at database. To restore, DB team killed those inactive blocking sessions, post which the pendency got cleared and the issue got resolved.</t>
  </si>
  <si>
    <t>INC14059463
INC14059463</t>
  </si>
  <si>
    <t>) Milestone_pendency_prepaid_ecaf
Prepaid milestone pendency for dedupe_success is more than 100 in last 15 min
Current Value : 287.0
Alert time:2025-05-02 14:03 Hrs
Incident:INC14059463/INC14059478</t>
  </si>
  <si>
    <t>5/1/2025  14:03:00 PM
5/1/2025  14:05:00 PM</t>
  </si>
  <si>
    <t>5/1/2025  14:35:00 AM
5/1/2025  14:36:00 PM</t>
  </si>
  <si>
    <t xml:space="preserve">901 pendency </t>
  </si>
  <si>
    <t>DARTS 2.0</t>
  </si>
  <si>
    <t>INC14077966</t>
  </si>
  <si>
    <t>Financial service reports and other jobs were impacted for B2B and B2C for multiple analytics application.</t>
  </si>
  <si>
    <t>In this issue, KYUUBI IP service was establishing the connectivity with Worker 6 on which high disk utilization was observed. Due to high utilization that particular speaker pods was getting restarted and impacting the jobs. As a workaround, OCP team took reboot of that IP and the impacted service IP is linked to another healthy speaker worker node 172, post that issue got mitigated and As of now, Jobs are running fine.</t>
  </si>
  <si>
    <t>DBT jobs, Aggregate reporting and other Business used case is impacted in Darts2.0.</t>
  </si>
  <si>
    <t>Broadband Customer Experience Journey, Postpaid Customer Experience Journey</t>
  </si>
  <si>
    <t>MIS_Reporting</t>
  </si>
  <si>
    <t>INC14072200</t>
  </si>
  <si>
    <t>Broadband and Postpaid Business reports delivery to Business was impacted.</t>
  </si>
  <si>
    <t>In this issue, the delivery of business reports related to Postpaid and Broadband were stuck at a server 393 of DQM. However, the reports started getting successful on the server without any technical intervention, post which issue got resolved.</t>
  </si>
  <si>
    <t>(Approx.) 50 reports were impacted.</t>
  </si>
  <si>
    <t>Financial service reports and multiple jobs were impacted for B2B and B2C for multiple analytics application.</t>
  </si>
  <si>
    <t>The incident got resurfaced where "Session switch issue" was observed for MetalLB operator on DARTS 2.0 cluster. As a break-fix, OCP team implemented the MetalLB operator upgrade (from 4.10 to 4.14), post which no session switch issue was observed for now and application jobs are running fine. However, OCP team has kept the system under close monitoring and hypercare.
RedHat Analysis is still awaited and teams will reconnect tomorrow for the same.</t>
  </si>
  <si>
    <t>DBT Jobs (Data Build Jobs) KYUUBI Jobs , Aggregate reporting and other Business used case were impacted in Darts2.0.</t>
  </si>
  <si>
    <t>The incident resurfaced where "Session switch issue" was observed for MetalLB operator on DARTS 2.0 cluster. Upon investigation, team confirmed that Worker node 29 got auto-rebooted twice since morning and all the 181 speaker nodes got rebooted which retriggered the issue. For worker node 29, hardware issue was identified and case was logged for the same with HP. Once pod came up Application jobs started running fine. As of now application is stable.
System is under hyper care and RedHat is analysing the logs and their recommendations are awaited.</t>
  </si>
  <si>
    <t>APB_UPI</t>
  </si>
  <si>
    <t>INC0466257</t>
  </si>
  <si>
    <t>APB_UPI are getting bot attack on "/api/v1/upi/vpa/all" from Domain upi.novabank.com, and app.novabank.com.</t>
  </si>
  <si>
    <t>In this issue, the APB_UPI application was experiencing a bot attack targeting the endpoint "/api/v1/upi/vpa/all" from the domains upi.novabank.com and app.novabank.com. During the troubleshooting process, the Network team was engaged and subsequently blocked all 64 identified URIs on the WAF. Following this action, a noticeable improvement was observed, and the issue was resolved.</t>
  </si>
  <si>
    <t xml:space="preserve">Total Hits on WAF(D vs D-7): (614580 vs 2567) </t>
  </si>
  <si>
    <t xml:space="preserve">INC14100934 </t>
  </si>
  <si>
    <t>During the troubleshooting, it was identified that FTA reports were getting stuck in eCAF database and they were getting ORA 600 internal error. To resolve this issue, DBA team performed DB bounce on both the nodes(10.14.175.199/208), post which issue got resolved.</t>
  </si>
  <si>
    <t xml:space="preserve">Approx. 25 reports were impacted. </t>
  </si>
  <si>
    <t>Prepaid Customer Experience Journey, DTH Customer Experience Journey, Broadband Customer Experience Journey, Postpaid Customer Experience Journey</t>
  </si>
  <si>
    <t xml:space="preserve"> INC14119884</t>
  </si>
  <si>
    <t>CC advisors were unable to raise SRs via Service Portal for all LOBs</t>
  </si>
  <si>
    <t>During the troubleshooting, it was identified that there was a app redeployment (INP-8291_1 ) performed by Case team last night which created issues in the case integration framework. To fix this issue, Case dev team took rollback of the App redeployment activity post which this issue got resolved.</t>
  </si>
  <si>
    <t xml:space="preserve">Root Cause Summary: 
• A deployment  INP-8291_1 to the production environment of the Case and Interaction Platform led to widespread failures for call center advisors attempting to raise Service Requests (SR) across all Lines of Business (LOBs) via Service Portal.
• The team were encountering error 'Account doesn't exist on Optimus,' which prevented them from logging SRs leading impact towards all lob Customer Experience Journey’s.
• The Open Shift platform was approaching end-of-support on May 09, 2025. To address this, the DevOps team initiated a migration of the existing codebase to a new production setup, which was the intended objective of the deployment.
• During the deployment, the redeployment of codebase to the new production environment was corrupted and did not function as expected. This caused a high failure rate in SR request processing from upstream channels (Service Portal).
• The monitoring systems (Old Kibana and Digital Kibana) found to have significant data lags—approximately 5 hours on Old Kibana and 2 hours on Digital Kibana. This delay caused late alerting and ineffective monitoring during the incident.
• The development team assumed no testing was required since the deployment involved the same codebase, and no UAT testing performed. Additionally, the change management protocols not followed, and no formal communication made about the deployment to relevant stakeholders.
• The root cause of the outage identified as incompatibility of the integration framework codebase with the new production infrastructure, resulting in a service-wide failure.
Observations: 
• Alerts triggered during initial failures, but the operations team dismissed them as regular noise and did not investigate further.
• Restoration efforts significantly delayed because neither TechOps team nor other stakeholders informed of the recent changes in production. Until development support had to be brought in troubleshooting call when the issue was escalated which increased the overall MTTR of the outage.
Preventive Actions: 
• All future deployments must strictly adhere to standardized change management practices, including testing, validation, and stakeholder communication. – Amit Aggarwal/ Ravinder
• Operations involving development support must include thorough assessment and testing of codebase compatibility in the UAT environment before performing the migration to the new production setup. – Amit Aggarwal 
• To investigate and resolve data lag in both Digital and Old Kibana environments. – Deepesh 
• Alerting logic must be migrated from Old Kibana and properly configured in the new Kibana dashboard to ensure timely and accurate incident detection. – Deepesh 
</t>
  </si>
  <si>
    <t>PRB0044483</t>
  </si>
  <si>
    <t>P3
P3
P1</t>
  </si>
  <si>
    <t>TG Alert
TG Alert
INC14117547</t>
  </si>
  <si>
    <t>Symptom:
1)ISSUE: High Failures in last 15 Minutes 
APP: B2B-MNTN
API:ADAPTER_CASE_MANAGEMENT_CREATE_SR_API
Alert Time - 2025.05.06 00:15
Event No - TG Alert
2)Status Code[404] Count Greater than [1000] in Last 10 Minutes
Host Name : StatusCode_Gloo_API_Informational_Alert
AUTHORITY : casemgmt.india.novatel.internal
CLUSTER_NAME : NonDMZ-Prod-Gloo-n1ocp-pclus-04
Alert Time - 2025.05.06 05:59
Event No - TG Alert
3)Create Case v2 Failure for PREPAID is giving One Or More Backend Services are not available at the moment, please try later | Current Value : 31.0
Alert Time - 2025.05.06 06:25
Event No - INC14117547</t>
  </si>
  <si>
    <t>5/6/2025 00:15
5/6/2025 05:59
5/6/2025 06:25</t>
  </si>
  <si>
    <t>Open
Open
5/6/2025 08:53</t>
  </si>
  <si>
    <t>D vs D-5: 273 vs 2242= 1969 (87%)</t>
  </si>
  <si>
    <t>INP-8291_1</t>
  </si>
  <si>
    <t>APB_AEPS, APB_MicroATM, APB_SBA, APB_CKYC, APB_REKYC, APB_CMS, APB_Payments Hub, APB_Payment_UPI, APB_Current Account(CA)</t>
  </si>
  <si>
    <t>INC0468360</t>
  </si>
  <si>
    <t xml:space="preserve"> Multiple NFB applications were impacted post the DR drill activity.</t>
  </si>
  <si>
    <t>In this issue, multiple NFB applications were 100% impacted following the DR drill. During troubleshooting, it was identified that the issue lies with Aerospike, causing transactions to enter a pending state for both own and partner channels. Specifically, the transactions were stuck in the pending state due to data inconsistency in Aerospike. A support case (ID: 00041035) has been logged with Aerospike, detailing the data inconsistency issues across Aerospike clusters between DC and DR. As a resolution step, Aerospike OEM suggests corrective steps post that issue being resolved.</t>
  </si>
  <si>
    <t>For NFB-AePS:
Cash Withdrawal  - Total Transaction Count Comparison: D vs (D-7) :85,878-294,697= 208,819 (~70.86% decrease in total transaction count compared to D-7)
Cash Withdrawal (Partner) - Total Count Comparison: D vs (D-7) : 5,127-236,377= 231,250 (Cash Withdrawal - Partner Total Count dropped by 97.84% compared to the previous week (D-7).
For NFB-Micro-ATM: TBC
For NFB-CMS: TBC
For NFB-SBA Account Creation: D vs (D-7) : 5968-8814= 2846 (There is a 32.29% decrease in NFB-SBA Account Creation compared to D-7.)
For NFB-CKYC Account Creation: D vs (D-7) : 24-1566= 1542 (98.47%)
For NFB-CA Account Creation: D vs (D-7) : 5-45= 40 (88.89%)
For NFB-PAYMENTS-UPI Approx. 1% of impact overall transactions during the impacted window.</t>
  </si>
  <si>
    <t>INC14138090</t>
  </si>
  <si>
    <t xml:space="preserve">Users were not able to fetch utilities bill details from Nova App. </t>
  </si>
  <si>
    <t>This issue was triggered due to an error at NPCI end, To mitigate the issue NFB team  took restart of 7 servers post which some improvement was observed but issue was still not recovered fully.NPCI team fixed the issue at their end post which issue resolved.</t>
  </si>
  <si>
    <t>P1
P1
P2
P1</t>
  </si>
  <si>
    <t>INC14119142
INC14119142
INC14120271
INC14121616</t>
  </si>
  <si>
    <t>Symptom:
1)Hostname:DPS_BBPS_BAGGINS_Service
Trigger: High 99th Percentile for /bbps-baggins-service/web/v1/recent-details//EDUCATION in last 10minutes
Alert Time - 2025-05-06 08:57
Event No - INC14119142
2)Hostname:DPS_APB_SERVICE
Trigger: High 500 Failure for BBPS-FULFILMENT-ENQUIRY
Alert time :2025-05-06 08:59 
Event No :INC14119142
3)Hostname:DPS_Traffic_Monitoring
Trigger: Traffic Surge Posting Service 30%
Alert time :2025-05-06 10:38
Event No : INC14120271
4)Hostname:sp_multitenant_api_failure
URL:http://internal-kong.india.novatel.internal/cx/billing/bills/insights/v2
Alert time :2025-05-06 11:52
Event No : INC14121616</t>
  </si>
  <si>
    <t>5/6/2025 8:57
5/6/2025 8:59
5/6/2025 10:38
5/6/2025 11:52</t>
  </si>
  <si>
    <t>5/6/2025 9:17
5/6/2025 9:17
5/6/2025 12:05
5/6/2025 12:19</t>
  </si>
  <si>
    <t>Error Count D vs D-7: 31668 vs 144= 31,524.</t>
  </si>
  <si>
    <t>DTH Recharge Journey, Postpaid Payment Posting Journey, Broadband Payment Posting Journey</t>
  </si>
  <si>
    <t>LAPU_MT, DTH Vector, DPS</t>
  </si>
  <si>
    <t>INC14126978</t>
  </si>
  <si>
    <t xml:space="preserve">All payment posting journeys and DTH recharges via Third Party was impacted. </t>
  </si>
  <si>
    <t>During the investigation, it was identified that NFB-BBPS-BOU was getting error while attempting to connect to the deprecated database service BBPSDBES. NFB-BBPS-BOU team performed manual service restart node by node and the consumer got up, and team enabled traffic on the nodes one by one, post which the issue got resolved.</t>
  </si>
  <si>
    <t xml:space="preserve">Primary Root Cause: 
Specification Leg – 01
Q1: Why there was a service degradation experience in payment posting journeys and DTH recharges?
Ans: Because, LAPU Team was observing transaction failures for DTH recharges and payment posting journeys via BBPS flow; Lapu was not getting traffic for third party transactions which had wider impact on multiple applications LAPU_MT, DTH_Vector, DPS.
Q2: Why  there was failures seen for NovaTel biller-connected payments and DTH recharges via LAPU?
Ans: As per inputs received from BANK- BBPS team, transaction failures issue triggered due to database connectivity errors. Application team was encountering an ORA-12514 error ("TNS: listener does not currently know of service requested in connect descriptor") while attempting to connect to the deprecated database service BBPSDBES.
Detection Leg 02
Q3: Why there was database connectivity errors at database service BBPSDBES?
Ans: Further discussion with BANK Team revealed, they were preforming the DR Dill activity for BANK wherein they routed the BBPS application traffic to Pune DR location. However after invoking  DR; application encountered an Oracle error as Database went to a hung state resulted BBPS application was impacted.
Q4: Why DR Drill activity resulted Database connectivity issue ?
Ans: Subsequent analysis revealed, FRA space ((Flash Recovery Area) in DB was 100% utilized which resulted database went into hung state as there was no space left on FRA and the connectivity between application and DB got broken. However, there was no alert triggered for FRA as it was showing only 6% occupied in logs.
Systemic leg-03
Q5: Why FRA was showing 6% while in reality it was 100% Utilized?
Ans: As per Oracle investigation, since FRA space was over occupied and consumed due to  generation of archive logs during DR Drill. Apparently, since FRA has a concept of reclaimable space which shows there was  is a space  available that could be reclaimed due to which oracle showed FRA utilization bytes is 5.43% used, and has 4061802790912 remaining bytes available. However, this issue could have eradicated if there were alerts configured for reclaimable space in FRA. 
Observations: 
• Since there is a dedicated DB for BBPS; no other applications got impacted except BBPS.
• DB team should increase the frequency of archive deletion to clear space and ensure good housekeeping in order to avoid archiver hung issue.
Preventive Actions:
• DB team should stringent the alert mechanism to set alerts for reclaimable space in FRA. Open Debashish Panda
• DB Team should increase the frequency of archive deletion to avoid archiver hung issue. Open Debashish Panda
</t>
  </si>
  <si>
    <t>PRB0044484</t>
  </si>
  <si>
    <t>Prepaid, Digital Experience B2C, DTH</t>
  </si>
  <si>
    <t>P1
P2
P1
P1</t>
  </si>
  <si>
    <t>INC14118700
 INC14119080 / INC14118964 / INC14118963
INC14119208
Alert92748281</t>
  </si>
  <si>
    <t>Symptom:
1)Alert Name:5XXFailurin10Minute|selfcareV1
Host Name : Channel-Backend-Alerts-NovaTel_selfcareV1
API : /services/common/recharge/order-details/BBPS_V2/RECHARGE
Alert time : 2025-05-06 08:17
Event No : INC14118700
2)Multple Appd Alert
A)APBIT App-DTH Recharge Journey-BBPBOU_PRODUCER-Overall Error
B)APBIT App-Digital Transaction Journey-OverallResponsetime
C)APBIT App-DTH Recharge Journey-BBPBOU_PRODUCER-OverallResponsetime
Alert time - 2025-05-06 08:40
Event no - INC14119080 / INC14118964 / INC14118963
3)Low Partner wise count in BBPS
Host Name : LAPU_Partner_wise_BBPS_connector_alert
Alert time - 2025-05-06 09:01
Event No - INC14119208
4)Alert Name:High 500 Failure for BBPS-ENQUIRY-ADAPTER
Host Name : DPS_Order_Service || {HOST.IP}
API : BBPS-ENQUIRY-ADAPTER
Alert time - 2025-05-06 09:03
Event No - Alert92748281</t>
  </si>
  <si>
    <t>5/6/2025 8:17
5/6/2025 8:40
5/6/2025 9:01
5/6/2025 9:03</t>
  </si>
  <si>
    <t>5/6/2025 8:51
5/6/2025 9:37
Open
5/6/2025 9:13</t>
  </si>
  <si>
    <t>(Dvs D-1:27102vs 39994)= 12,892 DTH Online Recharges were impacted via BBPS.
Bill Payments: Postpaid: (D vs D-1: 7907 vs 812)= 7095
Broadband: (D vs D-1: 1871vs 153)= 1718
Error count: 36,876</t>
  </si>
  <si>
    <t>CHG0004083</t>
  </si>
  <si>
    <t>APB_BBPS_BOU_Inhouse</t>
  </si>
  <si>
    <t>INC0468508</t>
  </si>
  <si>
    <t xml:space="preserve">An issue was being observed in NFB-BBPS-BOU-Inhouse, where NovaTel biller-connected transactions via LAPU were impacted. </t>
  </si>
  <si>
    <t xml:space="preserve">In this issue, NFB-BBPS-BOU-Inhouse team, informed that transaction failures for NovaTel biller-connected payments via LAPU, triggered by database connectivity errors. Specifically, the application was encountering an ORA-12514 error ("TNS: listener does not currently know of service requested in connect descriptor") while attempting to connect to the deprecated database service BBPSDBES. During troubleshooting, the NFB-DBA team identified that the service endpoint was outdated and recommended switching to the updated DB service BBPSDREN. The team proceeded to restart the BBPS services node by node across the 8-node cluster. Once all consumer applications successfully reattached to the new DB service, traffic was re-enabled, and the issue was resolved. </t>
  </si>
  <si>
    <t xml:space="preserve">"Symptom:
1)Hostname:DPS_BBPS_BAGGINS_Service
Trigger: High 99th Percentile for /bbps-baggins-service/web/v1/recent-details//EDUCATION in last 10minutes
Alert Time - 2025-05-06 08:57
Event No - INC14119142
2)Hostname:DPS_APB_SERVICE
Trigger: High 500 Failure for BBPS-FULFILMENT-ENQUIRY
Alert time :2025-05-06 08:59 
Event No :INC14119142
3)Hostname:DPS_Traffic_Monitoring
Trigger: Traffic Surge Posting Service 30%
Alert time :2025-05-06 10:38
Event No : INC14120271
4)Hostname:sp_multitenant_api_failure
URL:http://internal-kong.india.novatel.internal/cx/billing/bills/insights/v2
Alert time :2025-05-06 11:52
Event No : INC14121616"
</t>
  </si>
  <si>
    <t>or NFB-BBPS-BOU-Inhouse Approx. 31K Transactions impacted during the impacted window</t>
  </si>
  <si>
    <t>Black Customer Experience Journey, Broadband Customer Experience Journey</t>
  </si>
  <si>
    <t>INC14125314</t>
  </si>
  <si>
    <t>CC Advisors were unable to fetch bill details from Service Portal for Broadband and Black.</t>
  </si>
  <si>
    <t xml:space="preserve"> In this issue, In this issue, Service Portal was getting failure on an API from Selfcare_B2C and Selfcare_ B2C was getting failures from Inform which later got settled automatically and the issue got resolved.</t>
  </si>
  <si>
    <t>INC14121616
INC14121818</t>
  </si>
  <si>
    <t>Symptom:
1)Alert Name:sp_multitenant_api_failure_percent
URL : http://internal-kong.india.novatel.internal/cx/billing/bills/insights/v2
Alert time :2025-05-06 11:52
Event No : INC14121616
2)Hostname:Channel-Backend-Alerts for NovaTel-billing
Trigger: 5XX | /billing/v1/bill/home/benefits/fetch | Failure Perc : 77.497333807323145 % || Failure count : 2180
Alert time :2025-05-06 12:00
Event No : INC14121818</t>
  </si>
  <si>
    <t>2025-05-06 11:52
2025-05-06 12:00</t>
  </si>
  <si>
    <t>2025-05-06 12:19
2025-05-06 12:15</t>
  </si>
  <si>
    <t xml:space="preserve"> Success hits: (D vs D-4: 728 vs 1804= 1076 is 59.6%)</t>
  </si>
  <si>
    <t>eCAF_Sim Swap, Mitra</t>
  </si>
  <si>
    <t>East Hub</t>
  </si>
  <si>
    <t>INC14126412</t>
  </si>
  <si>
    <t>SimSwap acqiuistion was impacted for Assam Circle.</t>
  </si>
  <si>
    <t>In this issue, eCAF team was getting error from Network Location API for Assam circle as API was enabled for Assam circle earlier. Upon investigation, NSG_NOC team confirmed one deployment at their end for PAN India. To mitigate the issue, Mitra and eCAF team disabled the flag and issue got resolved.</t>
  </si>
  <si>
    <t>Communication Miss</t>
  </si>
  <si>
    <t>SimSwap Success Dip: ( D v/s D-7: 2255 v/s 3674: 1419) is 1419 is 38%.</t>
  </si>
  <si>
    <t>APB_AEPS, APB_DMT, APB_IMPS, APB_Fast Tag, APB_NETC, APB_UPI</t>
  </si>
  <si>
    <t>INC0469910</t>
  </si>
  <si>
    <t>All Transactions are going into Timeout error.</t>
  </si>
  <si>
    <t>In this issue, multiple NFB application were impacted where the where customer were getting timeout error while doing transaction. During the troubleshooting, the NFB-Network team informed that the rate limit has been applied as 180 user/minute under this change number (CHG0004137), which was causing the issue. Hence, to resolve the issue, the change has been rolled back completely. Following the corrective action, an improvement was observed, and the issue was resolved.</t>
  </si>
  <si>
    <t>INC14127353 , INC14127351 , Alert92775573
INC14127406 ,INC14127413</t>
  </si>
  <si>
    <t>1)Multiple DPS_APB_SERVICE
High 402 Failure for CREATE-BBPS-ORDER | Trigger Value: 119
High 402 Failure for CREATE-BBPS-ORDER-ADAPTER | Trigger Value: 119 
High 500 Failure for PAYMENT-REQ-ID | Trigger Value: 75
Alert Time : 2025-05-06 19:43 Hrs 
Incident :  INC14127353 , INC14127351 , Alert92775573
2) High 99th Percentile for /apb-service/v1/payments/initiate-refund in last 10minutes | Trigger Value: 625
Alert Time : 2025-05-06 19: 49 Hrs 
Incident : INC14127406 ,INC14127413</t>
  </si>
  <si>
    <t>05/06/2025  19:43
05/06/2025  19:43</t>
  </si>
  <si>
    <t>05/06/2025  19:53
05/06/2025  19:59</t>
  </si>
  <si>
    <t>For NFB-AEPS Transactions Dip- {D vs (D-7)}= 2962-31101 = 28139 (90% dip in Success Count) For NFB-DMT Partner Transactions Dip- {D vs (D-7)}= 208-780=572 (73% dip in Success Count) For NFB-DMT Retailer Transactions Dip- {D vs (D-7)}= 34-244=210 (86% dip in Success Count) For NFB-IMPS outward Transactions Dip- {D vs (D-7)}= 268-1384=1116 (81% dip in Success Count) For NFB-IMPS inward Transactions Dip- {D vs (D-7)}= 570-3680=3110 (85% dip in Success Count) For NFB-Merchant UPI Transactions Dip- {D vs (D-7)}= 38525-450369=411844 (91% dip in transaction Count) For NFB-FASTag Transactions Dip- {D vs (D-7)}= 54626-160867=106241 (66% dip in Success Count)</t>
  </si>
  <si>
    <t>CHG0004137</t>
  </si>
  <si>
    <t>Black Customer Experience Journey, Broadband Change Order Journey, Broadband Customer Experience Journey (Activation/Install), DTH Change Order Journey, DTH Customer Experience Journey, Postpaid Change Order Journey, Postpaid Customer Experience Journey (Activation/Install)</t>
  </si>
  <si>
    <t>DTH_OE</t>
  </si>
  <si>
    <t>INC14130827</t>
  </si>
  <si>
    <t>Black/Postpaid/Broadband change orders and Lead creation of Black/Postpaid/Broadband were impacted.</t>
  </si>
  <si>
    <t>In this, it was identified that the change orders of Black, Postpaid were impacted as the EPC team confirmed that in a cluster of 2 nodes(10.14.114.94 and 10.14.114.93), one was down since the day and the healthy node ( 10.14.114.93) also faced impact triggering the issue. To resolve the issue, EPC team performed a bounce for the cluster services in node 1 post which issue got resolved.</t>
  </si>
  <si>
    <t>P3
P3
P2</t>
  </si>
  <si>
    <t>INC14130280  , INC14130375,INC14130398
INC14130048, INC14130102 ,INC14130097
INC14130266</t>
  </si>
  <si>
    <t>Symptom:   
1)Multiple PORT Down  Port 8893 for EPC    
10.242.144.19
10.223.150.21
10.223.150.22
10.242.144.18
Alert Time : 2025.05.06 23:43
Incident : INC14130280  , INC14130375,INC14130398
2)Multiple EPC_URL_RESP_DOWN_ALERT_fp | Trigger Value: 3
Alert time - 2025-05-06 23:21Hrs
Event no - INC14130048, INC14130102 ,INC14130097
3)API - FETCH_EPC_PLAN  High Failure in last 10M | Total Count : 52 |  Failure Count : 53 | FailurePercentage %: 100 | Threshold: 25%
Alert time - 2025.05.06 23:41Hrs
Event no - INC14130266</t>
  </si>
  <si>
    <t>2025-05-06 23:43
2025-05-06 23;21
2025-05-06 23;41</t>
  </si>
  <si>
    <t>2025-05-07 01:43
open
2025-05-06 23:57</t>
  </si>
  <si>
    <t>Approx. 100 to 500 Change Orders impacted</t>
  </si>
  <si>
    <t>Postpaid Customer Experience Journey, Postpaid Payment Posting Journey</t>
  </si>
  <si>
    <t>BTFLY_BILLING, DCAP</t>
  </si>
  <si>
    <t>INC14132846</t>
  </si>
  <si>
    <t>CU14 not coming up after failover activity.</t>
  </si>
  <si>
    <t>In this issue, it was identified that the 428 file header became corrupted during the failover activity of PDK6CU14 to switch from 203 node (Active) to 202 (Passive) and the POD was unable to telnet post activity window (02:00 Hrs to 04:00 Hrs). To resolve this issue, Accenture DB and Backup team Copied the faulty data file from the DR directory and updated it on the server followed by a DB bounce for node 203 after which the services restored. Note: SR 3-40677958441 : Database Startup Error: ORA-01113: file 428 needs media recovery</t>
  </si>
  <si>
    <t>P1
P1
P2</t>
  </si>
  <si>
    <t>INC14132029
 INC14132057
INC14132827</t>
  </si>
  <si>
    <t>Direct
1)The database status is UNKNOWN
Node:N1PLPDPOSFX63 10.223.142.202 
Alert Time : 2025-05-07 02:41Hrs
Event No - INC14132029
Symptom
1)OneNova-Digital Customer Experience Journey-Homes-RS_bsl-prod.india.novatel.internal_Overall Error rate is greater than 5%
Alert Time : 2025-05-07 02:46 Hrs
Event No -  INC14132057
2)DCAP-OCP-4-SourceWise_LowHitsAlert | TYPE:Wireline_EasyCharge
Trigger Value: 0
Alert Time : 2025-05-07 04:16 Hrs
Event No - INC14132827</t>
  </si>
  <si>
    <t>5/7/2025 02:41
5/7/2025 02:46
5/7/2025 04:16</t>
  </si>
  <si>
    <t>5/7/2025 04:16
5/7/2025 06:33
5/7/2025 05:01</t>
  </si>
  <si>
    <t>50 transactions impacted; 200 + Disconnect order impacted; Approx. 80 Payment postings impacted</t>
  </si>
  <si>
    <t>RITM12209974</t>
  </si>
  <si>
    <t>Users are not able to fetch Utility bills details on Nova App.</t>
  </si>
  <si>
    <t>Same issue was resurfaced, DPS was getting error 504 and 402. DPS team confirmed that they were getting failure from multiple APIs. NPCI team fixed the issue at their end post which issue resolved</t>
  </si>
  <si>
    <t>INC14135546</t>
  </si>
  <si>
    <t>Symptom
1)High 402 Failure for CREATE-BBPS-ORDER-ADAPTER
Host Name : DPS_APB_SERVICE
API : CREATE-BBPS-ORDER-ADAPTER
API : CREATE-BBPS-ORDER
Alert Time : 2025.05.07 10:23 Hrs
Event No - INC14135546</t>
  </si>
  <si>
    <t>Error count D vs D-7: 12974 vs 2976 = 9998.</t>
  </si>
  <si>
    <t>eCAF, eCAF_CART, eCAF_eDSL</t>
  </si>
  <si>
    <t>INC14141672</t>
  </si>
  <si>
    <t xml:space="preserve"> Postpaid, Broadband and Black acquisition was impacted.</t>
  </si>
  <si>
    <t>During the investigation, it was identified that load average and CPU utilization was high on both the DB nodes(10.241.66.71/70). Multiple sessions were observed on DB nodes due to long running query. To restore, DBA team killed the session on   both the DB nodes, post which the DB response got normal and issue got resolved.</t>
  </si>
  <si>
    <t>P3
P3
P1
P1
P1</t>
  </si>
  <si>
    <t>INC14139618/Alert92827592
INC14139615
INC14139505
Alert92827611
INC14139670</t>
  </si>
  <si>
    <t>Direct:
1)High CPU utilization on 10.241.66.70/71
Alert time:2025-05-07 16:01 Hrs
Incident:Alert92827548/Alert92827592
2)Load average is too high 10.241.66.70/71
Alert time:2025-05-07 16:01 Hrs
Incident:Alert92827547 
Symptom:
1)AppDynamics_Appd-Saas_Database Monitoring_ECAF_CART-High Number of Active Connections_Sev-1 For  ECAF CART: 10.241.66.70/71
Alert time:2025-05-07 15:53 Hrs
Incident:INC14139505
2)ECAF_CART-Postpaid New Customer Acquisition / Broadband New Customer Acquisition-BT_ecaf/Cart_AvgResponseTime is greater than 1000ms_Sev-1
Alert time:2025-05-07 16:02 Hrs
Incident:Alert92827611 
3)ECAF_CART-Postpaid New Customer Acquisition / Broadband New Customer Acquisition-DB_Reponsetime_100ms_Sev-1
Alert time:2025-05-07 16:04 Hrs
Incident:INC14139670</t>
  </si>
  <si>
    <t>07-05-2025  16:01
07-05-2025  16:01
07-05-2025  15:53
07-05-2025  16:02
07-05-2025  16:04</t>
  </si>
  <si>
    <t>07-05-2025  16:51
07-05-2025  16:31
07-05-2025  16:17
07-05-2025  16:07
07-05-2025  16:18</t>
  </si>
  <si>
    <t>Broadband Success Dip : (D vs D-7 : 127 vs 219: 92) is 42 %.
Postpaid Success Dip (D vs D-7: 136 vs 283 : 147) is 51%.
Black acquisition: Data unavailable in dashboard.</t>
  </si>
  <si>
    <t>eCAF_EKYC</t>
  </si>
  <si>
    <t>INC14167356</t>
  </si>
  <si>
    <t>Prepaid acquisition was impacted.</t>
  </si>
  <si>
    <t>Issue was identified at UIDAI end due to which eKYC (only Face Auth) was impacted in eCAF, leading impact on prepaid acquisition. Concern regarding this was raised to UIDAI. To restore this, corrective action was taken at UIDAI end post which issue got resolved.</t>
  </si>
  <si>
    <t>INC14141282
INC14141296</t>
  </si>
  <si>
    <t>Direct:
1)INTEGRATION_UIDAI_TOMCAT_ACCESS_API_5XXFAILURES|Trigger Value: 39
Alert time:2025-05-07 18:01 Hrs
Incident:INC14141282
2)INTEGRATION_UIDAI_TOMCAT_EXT_API_HIGH_RESPONSE|Trigger Value: 2
Alert time:2025-05-07 18:02 Hrs
Incident:INC14141296'</t>
  </si>
  <si>
    <t>2025-05-07 18:01
2025-05-07 18:02</t>
  </si>
  <si>
    <t>2025-05-07 18:11
2025-05-07 18:14</t>
  </si>
  <si>
    <t xml:space="preserve"> Data unavailable in dashboard.</t>
  </si>
  <si>
    <t>INC14170805</t>
  </si>
  <si>
    <t xml:space="preserve">ROP process was impacted as CU31 was not synced, which lead to degradation of Business KPIs.   </t>
  </si>
  <si>
    <t xml:space="preserve"> In this issue, application team confirmed that the DB-DR sync was impacted for CU 31, which affected the ROP process. To restore functionality, Oracle DBA team performed an archive recovery process, after which the DR was back in sync. Application team then initiated the process on their end, and their services were successfully restored, resolving the issue.</t>
  </si>
  <si>
    <t>INC14163334</t>
  </si>
  <si>
    <t>Symptom:
1)Host Name : io_wait_cu31||Current Value : 9.43
IP : 10.13.63.111
Alert time : 2025.05.09 08:40
Event no - INC14163334</t>
  </si>
  <si>
    <t xml:space="preserve"> Approx. 972 ROP jobs impacted.</t>
  </si>
  <si>
    <t>Broadband Customer Experience Journey (Activation/Install), Broadband Customer Experience Journey, Broadband Customer Experience Journey (Activation/Install)</t>
  </si>
  <si>
    <t>NovaWorks, HB_ATOM, Service Portal, Selfcare_B2C, PCRF</t>
  </si>
  <si>
    <t>North Hub, East Hub</t>
  </si>
  <si>
    <t xml:space="preserve">INC14156587 </t>
  </si>
  <si>
    <t xml:space="preserve">Network device details were not visible in Service Portal along with Broadband orders were impacted in NovaWorks and HB_ATOM for North and East Circle. </t>
  </si>
  <si>
    <t>During the troubleshooting, it was identified that one router was down at Noida Location at NSG end due to which multiple broadband services were facing disruptions. To resolve the issue, NSG_NOC team replaced that faulty hardware, post which improvement observed for all the impacted services.</t>
  </si>
  <si>
    <t>Broadband, Digital Acquisition, NSG, Digital Experience B2C</t>
  </si>
  <si>
    <t>P2
P2
P3
P3
P1
P3
P1</t>
  </si>
  <si>
    <t>INC14156316,INC14156353,INC14156351
INC14156421,INC14156357
Alert92867689
INC14156443
INC14156377,INC14156356
INC14156492
INC14156633,INC14156627,INC14156625</t>
  </si>
  <si>
    <t>Direct:
1)Multiple Port alert on 10.2.23.61|Trigger Value: 0
Alert time:2025-05-08 19:22 Hrs
Incident:INC14156316,INC14156353,INC14156351
Symptom:
1)sp_multitenant_api_failure|
 a)URL:https://hbatomdn-prod.novatel.example/routermanagement/getCpeStatus
b)URL:https://hbatomdn-prod.novatel.example/routermanagement/getConnectionDetails
Alert time:2025-05-08 19:30 Hrs
Incident:INC14156421,INC14156357
2)Downstream-Channel-Backend-Alerts-cx-network|Trigger Value: 3
https://hbatomdn-prod.novatel.example/routermanagement/getCpeStatus Failure Perc : 3 %
Alert time:2025-05-08 19:39 Hrs
Incident:Alert92867689
3)hb_atom_taskwise_PCRF_Failed|Trigger Value: 441
Alert time:2025-05-08 19:34 Hrs
Incident:INC14156443
4) API:/routermanagement/getCpeStatus
a)HB_ATOM-Broadband New Customer Acquisition Journey-Device-Nucleus_BT_/routermanagement/getConnectedDevices_OverallErrorRate is greater than 15%_Sev-1
b)DN__RouterManagement_Access_log_Failure|Trigger Value: 21.99
Alert time:2025-05-08 19:27 Hrs
Incident:INC14156377,INC14156356
5)NovaTel_Works alerts for Broad Band Journey|Task 2 not received Pendency alert for component MDU_Task_2|Trigger Value: 56
Alert time:2025-05-08 19:41 Hrs
Incident:INC14156492
6)Multiple Services Journey - Thanks App|dnd list thanks -- Update Status CTA Error ----
Alert time:2025-05-08 19:51 Hrs
Incident:INC14156633,INC14156627,INC14156625</t>
  </si>
  <si>
    <t>5/8/2025  19:22
5/8/2025  19:30
5/8/2025  19:39
5/8/2025  19:34
5/8/2025  19:27
5/8/2025  19:41
5/8/2025  19:51</t>
  </si>
  <si>
    <t>5/8/2025  20:34
5/8/2025  19:54
Open
5/8/2025  20:27
5/8/2025  21:03
5/8/2025  20:41
5/8/2025  20:10</t>
  </si>
  <si>
    <t>NovaWorks -MDU task Pendency- 183, Service Portal- Network device details is not showing(TBC) HB_ATOM- All impacted orders - 1568 (Unbarring- 737, NCA- 494)</t>
  </si>
  <si>
    <t>Black Customer Experience Journey, Broadband Customer Experience Journey, Postpaid Customer Experience Journey</t>
  </si>
  <si>
    <t>Inform</t>
  </si>
  <si>
    <t>INC14162626</t>
  </si>
  <si>
    <t>E-bill delivery was impacted intermittently for Postpaid and Broadband users.</t>
  </si>
  <si>
    <t>In this issue, Intermittent failures was observed in e-bills delivery for Postpaid and broadband users. To resolve this issue, Application team repushed the E-bills, post which all E-bill dispatch pendency got cleared. Further, Firewall team has shared the logs with CISCO TAC team and they are currently working to analyze the logs.</t>
  </si>
  <si>
    <t>Broadband Pendency: 10951
Black Pendency: 1100 (approx.)
Postpaid Pendency: 9773</t>
  </si>
  <si>
    <t>Broadband New Customer Acquisition Journey, Prepaid Customer Experience Journey, Nova App Experience Journey</t>
  </si>
  <si>
    <t>Service Portal, eCAF, Nova App, Feasibility</t>
  </si>
  <si>
    <t>INC14170848</t>
  </si>
  <si>
    <t>Issue observed at Feasibility due to which FWA Acquisition was impacted along with 5G network related information was impacted in Nova App and Service Portal.</t>
  </si>
  <si>
    <t>uring the troubleshooting, it was identified that one password change activity was done at NSG_NOC end due to which Feasibility related issue got triggered which further impacted FWA acquisition and 5G network related information in Nova App and Service Portal . To restore this, NSG_NOC team fixed that password post that issue got resolved.</t>
  </si>
  <si>
    <t>P3,P3,P3,P3
P1
P1
P1,P1
P1
P1,P1</t>
  </si>
  <si>
    <t>INC14165295,INC14165333,INC14165068,INC14165208
INC14165078
INC14165183
INC14165199,INC14165426
INC14165190,INC14165307
INC14165190,INC14165307
Alert92930502</t>
  </si>
  <si>
    <t>Direct :
1)Multiple NSG Mobility
a)/gisserver/rest/services/Coverage5G/GH_Coverage_KK/MapServer/0/query
b)/gisserver/rest/services/Coverage5G/GH_Coverage_UE/MapServer/0/query
c)/fwa_feas_b2b/Service1.svc/GetFWA5GFeasible
d)/gisserver/rest/services/Coverage5G/GH_Coverage_AP/MapServer/0/query
Alert time : 2025.05.09 12:09
Event no : INC14165295,INC14165333,INC14165068,INC14165208
Symptom:
1)Host Name : Growth Feasibility Alert
API : FWA_FEASIBILITY
Current Value : 107.0
Alert time : 2025.05.09 11:49
Event no - INC14165078
2)Host Name : Channel-Backend-Experience-API-Alerts
API : /v1/network/feasibility
Current Value : 98.394808743169392
Alert time : 2025.05.09 11:58
Event no - INC14165183
3)Host Name : SAFO_OMNIWIDGET_4XX_API_FAILURE_ALERT
Current Value : 2804.0
Alert time : 2025.05.09 11:59
Event No - INC14165199,INC14165426
4)Hostname:SP_MT_RULE_FAILURE
Threshold:: 40% and min 50 hits
Trigger Value: 98.37
Alert time : 2025.05.09 12:09
Event no -INC14165324
5)Host Name : FEASIBILITY_COMPASS_STATUS_API_ALERT
api_obj : ADDRESS
Current Value : 6248.0
Alert time : 2025.05.09 12:10
Event No - INC14165190,INC14165307
6)Hostname: CUSTOMDOWNSTREAMAPI_omniwidget_service
Trigger: Total Count : 12 |  Failure Count : 2 | Failure %:  16.67 | Threshold: 15%
Alert time : 2025.05.09 12:33
Event no - Alert92930502</t>
  </si>
  <si>
    <t>Start Time
2025-05-09 12:08,2025-05-09 12:09,2025-05-09 11:49,2025-05-09 11:59
2025-05-09 11:50
2025-05-09 11:58
2025-05-09 12:00,2025-05-09 12:20
2025.05.09 12:09
2025.05.09 12:10,2025-05-09 13:00
2025.05.09 12:33</t>
  </si>
  <si>
    <t>2025-05-09 13:08,2025-05-09 13:09,2025-05-09 13:09,2025-05-09 13:09
2025-05-09 12:06
2025-05-09 13:03
2025-05-09 12:20,2025-05-09 12:50
2025-05-09 12:42
2025-05-09 12:20,2025-05-09 13:00
2025-05-09 12:42</t>
  </si>
  <si>
    <t>Service Portal and Nova App: 5G network related information was impacted.
Feasibility and eCAF: No major impact observed in FWA.</t>
  </si>
  <si>
    <t>INC14166308</t>
  </si>
  <si>
    <t xml:space="preserve"> IPTV live streaming was intermittently impacted for some channels.</t>
  </si>
  <si>
    <t>The issue arose from a change made to the IPv6 configuration that unintentionally affected the primary and secondary switches' current IPv4 configuration. IPTV team resolved the issue by fixing the ipv4 configuration.</t>
  </si>
  <si>
    <t>Xstream</t>
  </si>
  <si>
    <t>INC14165267</t>
  </si>
  <si>
    <t>Symptom:
1)IPTV_EDT_journey_alerting|Current Value : 19
INSTANCE : 10.248.40.65:9070
Alert time:2025-05-09 12:05 Hrs
Incident:INC14165267</t>
  </si>
  <si>
    <t>Impacted Device-57121(18.24%)</t>
  </si>
  <si>
    <t>eCAF, OneNova</t>
  </si>
  <si>
    <t xml:space="preserve">INC14170822 </t>
  </si>
  <si>
    <t>399 black plan was not visible for some users in West Bengal circle.</t>
  </si>
  <si>
    <t>In this issue, 399 black plan was to be discontinued for Kolkata circle but got disabled for West Bengal. Though while checking the logs it was observed that some users were able to fetch plans for both the locations. To resolve this, OneNova team took cache refresh at their end post which the issue got resolved.</t>
  </si>
  <si>
    <t>100 Acquisition orders Approx</t>
  </si>
  <si>
    <t>IPTV live streaming was intermittently impacted for some channels.</t>
  </si>
  <si>
    <t>INC14178221</t>
  </si>
  <si>
    <t>FTA (Pull and Push) reports were impacted for Pan India.</t>
  </si>
  <si>
    <t>During the troubleshooting, it was identified  eCAF was receiving "null string" parameter from source at L2 timestamp for 2 CAF numbers due to which issue triggered. To resolve this issue, eCAF team changed the "Null String" parameter to "Null value" , post which issue got resolved.
Regards, MIM Team</t>
  </si>
  <si>
    <t>Alert92966230
Alert92966169</t>
  </si>
  <si>
    <t>Symptom:
1)LongRunningQuery_The value of last_call_et is 13,343 on N1PL-PD-ECAFDB02 &amp; n1pl-pd-ecafdb01
Alert time : 2025.05.10 04:42
Event no -Alert92966169,Alert92966230</t>
  </si>
  <si>
    <t>5/10/2025  4:42:00 AM
5/10/2025  4:45:00 AM</t>
  </si>
  <si>
    <t>approx. 1058 reports were  impacted every fifteen minutes</t>
  </si>
  <si>
    <t>INC14231755</t>
  </si>
  <si>
    <t>ROP process impacted due to connectivity issue in 3 servers.</t>
  </si>
  <si>
    <t xml:space="preserve"> In this issue, critical jobs were impacted due to inaccessibility of (10.5.232.67) Server which was facing hardware error. Case for the same was raised with vendor and Hardware Engineer conformed that the motherboard is faulty and the replacement was arranged. Post replacement of the faulty motherboard, the server became up and accessible and the application team performed basic sanity checks and issue got resolved. </t>
  </si>
  <si>
    <t>P2
P4</t>
  </si>
  <si>
    <t xml:space="preserve">INC14190666
INC14190394
</t>
  </si>
  <si>
    <t>Direct:
1)ping response on IP 10.5.232.67 is down error message "ping timeout"_10.5.232.67
Alert time:2025-05-11 06:49 Hrs
Incident:INC14190666
2)VCS state of DARTS-CDA12node is not running_HA Failover Alert_event.alert.vom.vcs.cluster.system.down_HostName : n2pl-pac-abc160/161
Alert time:2025-05-11 06:40 Hrs
Incident:INC14190394</t>
  </si>
  <si>
    <t xml:space="preserve">5/11/2025 06:49
5/11/2025 06:40
</t>
  </si>
  <si>
    <t>5/11/2025 Open
5/11/2025 13:50</t>
  </si>
  <si>
    <t xml:space="preserve">Gross Add, AIO, Tablueau and critical business KPIs were impacted. </t>
  </si>
  <si>
    <t>Nova App Experience Journey, Analytics Customer Experience Journey, Black Acquisition Journey, Broadband New Customer Acquisition Journey, Postpaid New Customer Acquisition Journey, Prepaid Customer Retail Acquisition Journey, Broadband Customer Experience Journey, Postpaid Payment Posting Journey, Broadband Payment Posting Journey, Prepaid Online Recharge Journey, Postpaid Customer Experience Journey (Activation/Install), XSafe Customer Experience Journey, Nova IQ SMS Journey, Black Customer Experience Journey, DTH Customer Experience Journey, DTH Recharge Journey, DTH Dunning Order journey, B2B SMS Journey, Prepaid Customer Experience Journey, iOT Customer Experience Journey, Internal Operations Journey, Postpaid Dunning Order Journey, Black Dunning Journey, Broadband Dunning Order Journey, Enterprise Customer Experience Journey</t>
  </si>
  <si>
    <t>Nova IQ_SMS, Nova IQ_Voice, LAPU_MT, LAPU_GT, eCAF, Service Portal, Mitra, Active Directory, BTFLY_ATOM, CDWH, HB_CRM, DLT, ADSSO, BTFLY_BILLING, HB_Billing, DCAP, Optimus, Zscaler, Financial Services, DARTS, CGNAT, Careshark, Case &amp; Interaction, IMS, BTFLY_KCI, Care Manager, DARTS 2.0, Number Management System (NMS), Partner Portal, iComm, Botree, NovaWorks, SkyVault, Selfcare_B2C, Arcos, XSafe_B2C, M2M, DTH_OE, DTH_OM, ECHO, Leo_CRM, BTFLY_CRM, DTH_CRM, Mediation_EL, Mediation_IL, DTH_IMS, OIM, UDP_Dunning, DPS, VDI, ServiceNow, Ferry</t>
  </si>
  <si>
    <t>INC14228669</t>
  </si>
  <si>
    <t>Multiple Applications hosted in 62 DC were impacted.</t>
  </si>
  <si>
    <t xml:space="preserve"> In this issue, multiple device down alerts were observed due to UPS power supply issue from Nxtra, which impacted multiple applications hosted in 62DC. While checking, facility team identified that primary UPS went down and the traffic got failed over to secondary UPS, which could not cater load and resulted into complete power failure for DC equipments. To fix this issue, DCO team restarted the UPS and replaced one faulty UPS Card, post which UPS power supply got resumed. Engineering Infra and application team worked together to bring all services up for major applications.
Further for impacted app it is tracked on LW.</t>
  </si>
  <si>
    <t xml:space="preserve">Root Cause Summary: 
• Multiple applications services operating at Noida-62 DC experienced disruptions due to an unanticipated power supply failure, which had an effect on all of the crucial journeys.
• Traffic from resilience-based applications (Lapu, Mitra, Optimus, SKV, and NovaTel-IQ) was moved either manually or automatically to their resilient data center (Noida Phase-II DC/BLR); however, applications based or operating from Noida Phase-II DC were unable to continue providing their services because their downstream applications remained unavailable due to the Noida-62 DC power outage.
• DPS traffic was not completely moved because to the PCIDSS servers' reliance/some hardcoded services to Phase-II DC.
• Additionally, it was observed that although LAPU service traffic automatically switched from GTM to Noida Phase-II DC, recharge failures also occurred after Akamai moved Digi-Api traffic from Noida-62 DC to Phase-II DC. Since external traffic was not reaching the primary firewall to LB, the firewall team moved traffic from the primary to the secondary firewall in order to address the problem.
• DTH team highlighted that the vector database has a total size of 35 TB, with only 7-8 TB being used, which complicates migration and cutover processes.
• The Infra/Network team began fixing the backend Infra, Network &amp; Foundation services as a concurrent action when the UPS supply had stabilized since 19:05 PM.
• Impact was seen for acquisition and experience w.r.t. Call Center used applications, as multiple downstream applications server were still not on the next day as well.
• A power loss caused 2000+ physical servers, 500+ network devices, and 45+ (storage + San devices) that served 100+ apps across three DC halls to go down.
Chronology of the events form Nxtra/ OEM- Vertiv Services: 
According to information from the Nxtra team, a problem with one of the ATS 5 device (automatic transfer switch) caused the problem to arise, Enclose the detail chronology of the event-
• Wing A, ATS 5.17:27Hr. ATS 5 fault caused input power loss to UPS 1 &amp; 2 at wing A. UPS 1 &amp; 2 shifted to battery mode, and batteries started to discharge.
• Wing A, UPS 1 &amp; 2 18:16 Hr. Batteries of UPS 1 &amp; 2 exhausted, inverters tripped with EOD. The load was more than the one-unit capacity, which resulted in tripping of the parallelly connected UPS 3 too. Load transferred to the static bypass, which was available via ATS 6.
• Wing A, UPSs 18:30 Hr. The main failure/ Manual input power changeover caused the loss of the bypass line to all UPSs. As the Wing A UPSs were already in static bypass mode, Source A power to the equipment was interrupted. Equipment with dual source has been entirely shifted to wing B UPSs.
• Wing B, UPSs 18:30 Hr. With the sudden rise of load UPS 2 (Wing B) observed rectifier overcurrent and transferred to battery mode. Whereas UPS 1 &amp; 3 continued in rectifier mode. Load was secured with inverters of Wing B UPSs.
• Wing B, UPSs 18:38 Hr. Input &amp; bypass power to UPSs failed, possibly due to manual changeover of input power source. All Wing B UPSs supported the load in battery mode.
• Wing B, UPSs 18:43 Hr. The UPS 2 (Wing B) alarm was unattended, after approximately 15 min. on battery with an elevated load condition (as Wing A UPS failed) inverter of UPS 2 tripped due to battery end of discharge. The load was more than the two-unit capacity (UPS 1&amp;3), which resulted in transferring the entire load to the static bypass, which was available via ATS 3.
• Wing B, UPSs 18:44 Hr. The main failure/ manual input power changeover caused the loss of the bypass line to all UPSs. As the Wing B UPSs were already in static bypass mode, Source B power to the equipment was also interrupted at this time.
• Wing-A &amp; B. UPSs.19:00 Hr. On-site Nxtra operation team switched OFF the input &amp; output of all UPSs and enabled the maintenance bypass to restore power to the load with genset power.
Note: Details RCA from Nxtra is attached for reference.
Observations: 
• The power supply's resilience was not maintained as 2 UPS out of 3 on Source B were not enough capable to handle the workload and fluctuations were observed 2 times. 
• The UPS power supply is a persistent problem; it has occurred several times before, on 20th Jun’24 , 11th Nov’24. However, this occurrence of power supply breakdown resulted in a total  complete black out in 62 DC. 
• Even though the power supply had stabilized since 19:05 PM, there were multiple commons factors which increased the overall MTTR of outage as follows-Arcos, SSO, VDI, Zscaler accessibility due to MFA authentications , Internet firewall hung issue, Cell registry accessibility, service leaf and darts compute leaf failures were some major contributors.
• MFA issue were coming because of app proxy configuration,(communication between NPS servers &amp;Azure break) as all the request from GTM were being served from Noida-62 DC only(resiliency available on Phase-II,BLR DC as well) as few of the applications have whitelisted only Noida-62 DC proxy hence, auto movement not enable which became single point of failure in this outage.
• MFA bypass required additional Security approval to bypass the MFA settings.
• Cell registry issue which was caused by the primary site going down  and was not recovered timely as incorrect SOP was followed by DCMS team.
• There were many NSX-T VMs for which Environment tagging (Test/Prod) got removed due to default power policy 30 min of V centre host unavailability. 
•  It was also noticeable that some of the Gen7 switch-Storage newly deployed in the system going into hung state. However, it was not observed with lower versions switches.
• During the power failure, Internet Firewall went into hung state. Firewall team hard rebooted the firewall, along with one card in F5 Velos LB become unresponsive which get fixed post took hard reboot of the card.
• DNS split brain situations observed as resiliency of DDI manager not work properly.
• Monitoring and Observability was also compromised during outage, due to dependency on 62DC.
• Overall it is recommended all the teams to look Break-the-Glass Access for such occurrences to reduce the downtime and minimize the impact.
Preventive Actions:
• Firewall team have to remove the APP Proxy dependency(Automate the proxy traffic movement for all resilient sites) form Noida-62 DC. Open Joginder
• Application Whitelisting: Send a notification to all application owners to get the new Proxy IP addresses whitelisted to ensure smooth traffic movement. Open Joginder
• Arcos team must enable the local/jump server access without relying on VPN or Vcenter? Open Pankaj/ Dikhsha
• Database team have to explore possibility of moving to an active-active setup to avoid downtime and ensure continuous availability of the Vector database. Gaurav/Bhavana
• Update the SOP for cell registry to include the missing step identified during the recent issue. Open Rahul/Vikas
• Evaluate the possibility of making the Postgres database for cell registry active-active and plan the migration if feasible.  Bhavna/Sourabh/Vikas
• Network team have to explore and put a restrictions for NSX-T VMs environment tagging (Test/Prod). Open Neeraj/Avaneesh 
• PCIDSS Resiliency need to be place in phase II DC- Open Sachin
Along with that, There were some actions w.r.t resiliency/quick recovery plan agreed in leadership connect as follows requesting support from all owners to expediate—
• Need full journey observability interlock for critical journeys including increased use of Dynatrace, Elk: Open  ETA 15 Aug – Pritesh
• Ensure ServiceNow Mid-server resiliency: Open ETA 15 June – Pritesh
• Enable proxy solution to work in auto-switchover mode. ETA 30 May -Manish
• Create the ideal SoPs with Key Decisions during disaster recovery hardcoded . Open ETA 30 June – Manish
• Full-service Path DR drills to be done on quarterly basis: Open-TBD – Varun S.
• All application in acquisition and recharge journeys to be made site resilient. Open ETA 15 Nov – Anant
• Service portal availability need to be ensure and team must work with downstream applications to make resiliency and reduce overall call center experience on Engg applications- Open -TBD Anish 
Actions for Nxtra Site
• DG Sets Overhauling : Completed
• Chiller Condenser coils replacement: Completed
• PDU Replacement – Open /Under Progress Puru ETA Oct, 2025
• UPS Replacement with new Technology &amp; added redundancy: Open Puru ETA June, 2025
• Raised Floor Replacement: Open Puru ETA ETA Oct, 2025
• Electrical breakers with panels customization: Open Puru ETA ETA Sept, 2025
• Automatic Transfer Switches upgrade: Open Puru ETA Sept, 2025
• Monitoring &amp; response to the UPS alarm by the on-site operation team needs to be improved Open Puru
• Added cleaning and Re-greasing of Mechanical CAM assembly in quarterly preventive maintenance schedule. Completed
• Replacement of complete UPS system with added resiliency at unit level by introducing modular UPS in place of existing monolithic UPS  Open ETA June 2025
</t>
  </si>
  <si>
    <t>PRB0044486</t>
  </si>
  <si>
    <t xml:space="preserve"> 5/19/2025 18:09 </t>
  </si>
  <si>
    <t>ABGB, Nova IQ, Broadband, Analytics, CCT, Cloud Ops, DC Infra, Digital Experience B2B, Digital Experience B2C, DTH, Postpaid, iOT, Prepaid, Digital Acquisition, COM, Integration, iFactory</t>
  </si>
  <si>
    <t>P4
P1
P1
P3
P4</t>
  </si>
  <si>
    <t xml:space="preserve">INC14195670,INC14195835
INC14195266,INC14195334,INC14195326
INC14195345,INC14195363,INC14195380,INC14195332,INC14195343
INC14195897,INC14195368,INC14195668,INC14195661,INC14195649,INC14195642
INC14196281,INC14196238,INC14196234,INC14196280
</t>
  </si>
  <si>
    <t>Direct:
1)Power module (Controller Enclosure CTE0, power module PSU 1, item 02311DEP, SN 2102311DEPHVJB002487) is faulty. Error code
Alert tine 2025-05-11 06:30Hrs
Event No:INC14195670,INC14195835
Symptoms:
1)Multiple Network Alert on 10.222.xx.xx,10.13.xx.xx,10.14.xx.xx
Alert tine 2025-05-11 06:29Hrs
Event No :INC14195266,INC14195334,INC14195326
2)Mutiple Cage cage3 (0x500143804111B980) Power Supply 0 is Critical Alert
Alert tine 2025-05-11 06:29Hrs 
Event No :INC14195345,INC14195363,INC14195380,INC14195332,INC14195343
3)Multiple Application performance Alert
Alert tine 2025-05-11 06:30Hrs 
Event No :INC14195897,INC14195368,INC14195668,INC14195661,INC14195649,INC14195642
4)Multiple NovaTel ServiceNow Mid Server Down Prod 
Host : N1VPCOLCSTW0001.INDIA.novatel.internal
IP: 10.14.15.220 Mid Server Name : NovaTel-NOIDA62-DC-PROD-CON-DIS-1
Alert tine 2025-05-11 06:54Hrs 
Event No:INC14196281,INC14196238,INC14196234,INC14196280</t>
  </si>
  <si>
    <t>05/11/2025  18:30
05/11/2025  18:30
05/11/2025  18:29
05/11/2025  18:30
05/11/2025  18:54</t>
  </si>
  <si>
    <t>Open
Open
Open
Open
Open</t>
  </si>
  <si>
    <t>DTH_OE: change orders- 43099(D vs D-7:111-43210) is 99% dip.
DTH_OE: Resumption- 78134(D vs D-7:10-78134) is 99% dip.
DTH_VECTOR- 85313(D vs D-7:976-86289) is 98% dip.
SR : 4109(D vs D-7: 0-4109) is 100% dip.
FTR: 16937(D vs D-7: 0-16937) is 100% dip.
Activation(Prepaid/IPTV/Black): 5210(D vs D-7:0-5210) is 100% dip.
eCAF: Prepaid Success Dip : (D vs D-7 : 10483 vs 46244 : 35761) is 77%. 
SimSwap Success Dip : (D vs D-7 : 1903 vs 9307 : 7404) is 79 %.
Broadband Success Dip : (D vs D-7 : 72 vs 992: 920) is 92 %.
Postpaid Success Dip : (D vs D-7: 88 vs 1244 : 1156) is 92 %.
NovaTel_IQ_SMS: ICICI bank and HDFC Bank were completely impacted Thereafter the traffic was  removed by the customer. 
NovaTel_IQ_Voice: Downtime started at 18.44Hrs . At 21:00Hrs team did 50% recovery, thereafter, complete  restoration was done at 21.50hrs.
Nova App: Failure count: 230601
OTP failure % : 22%
NovaWorks: 1.5k Installation impacted.
Mediation_EL: Source teams (network) were unable to dump CDR files resulting into delay response to downstreams.
Service Portal: Success Hits: 598708( D vs D-3: 9:598717 is 99%)
PACS: Success dip: 263( D vs D-7:29520 :29783 is 0.88%).
IMS: Success dip: 3807( D vs D-7: 55024:58831 is 6.4%)
Selfcare_B2C: Billing -17.9%fail
Count -17,456,377 hits
Usage-3.3%
Count - 7,989,124 hits
AES_CWS: Users were unable to download invoices for B2B.
AES_FX: 1000 B2B orders.
CareManager: Login was impacted.
i360 Application was inaccessible.
Leo_CRM: 300 B2B orders.
BTFLY_Billing &amp; HB_Billing: Billing was delayed by 10 hrs.
DCAP: 100% payment posting was impacted.
HB_ATOM: 520093 orders
DPS (Bill &amp; Recharges impact): 633417(D vs D-7: 30045 vs 663462)
LAPU_GT, LAPU_MT- 2 Lacs transactions were impacted.
VDI, Service Now, ARCOS, Ferry, ZScaler: Application was inaccessible.
Skyvault: 4.3 Crore messages were impacted.
M2M: IOT HUB Portal( M2M Portal) login was impacted. 
Activation Orders deviated to 82% from D-7
BTFLY_CRM: 100% inaccessible
BTFLY ATOM PENDENCY-41502
XSafe_B2C: 278 User were impacted.
Learning platform was impacted.
MAMO_North: Success dip : (D Vs D-7: 77242:4686482 is 4609240 is 98%)</t>
  </si>
  <si>
    <t>APB_CKYC, APB_CMS, APB_AEPS, APB_Fast Tag, APB_NETC, APB_SBA, APB_Payment_DMT, APB_Retailer App, APB_SFMS, APB_Tez Portal, APB_ServiceNow, APB_Arcos</t>
  </si>
  <si>
    <t>INC0475833</t>
  </si>
  <si>
    <t>Multiple NFB Applications use case was impacted due to disruption in Sector-62 DC.</t>
  </si>
  <si>
    <t>In this issue, Multiple NFB applications experienced service disruption due to an outage at the Sector-62 Data Center (DC). This disruption impacted the delivery of OTPs and related SMS services. As an interim mitigation, the NFB-Growth team rerouted SMS traffic from the North Hub to the South Hub, which is managed by Skyvault. This change was implemented at 20:22 Hrs. and successfully restored OTP functionality. The NovaTel team is currently engaged in resolving the underlying issues at the Sector-62 DC to prevent further disruptions.</t>
  </si>
  <si>
    <t>INC14195670,INC14195835</t>
  </si>
  <si>
    <t>Power module (Controller Enclosure CTE0, power module PSU 1, item 02311DEP, SN 2102311DEPHVJB002487) is faulty. Error code
Alert tine 2025-05-11 06:30Hrs
Event No:INC14195670,INC14195835</t>
  </si>
  <si>
    <t>open</t>
  </si>
  <si>
    <t>For NFB-SFMS was completely down from 18:31 to 19:34. For NFB-ServiceNow and NFB-Arcos, it was not accessible during the impacted window. For NFB-Retailer App and NFB-Tez Portal intermittent Logging issue For NFB-Payments-DMT Transaction Dips :- (Impact window: 18:47 Hrs. to 20:11 Hrs.) Partner: {D vs (D-7)}= 1-53418= 53417 (Approx. 100% impact) Retailer: {D vs (D-7)}= 438-11610= 11172 (96.23%) For NFB-AePS Transaction Dips :- (Impact window: 18:45 Hrs. to 21:07 Hrs.) CW - Total Txn Count Comparison: {D vs (D-7)}= 172-80450= 80278 (99.79%) CW - Partner Total Count Comparison: {D vs (D-7)}= 67,805-74,376= 6,571 (8.83%) For NFB-CMS Transaction Dips :- (Impact window: 18:47 Hrs. to 20:11 Hrs.) Through Retailer App: {D vs (D-7)}=0-2373= 2373 (100%) Through Retailer Portal: {D vs (D-7)}= 0-1377= 1377 (100%) For NFB-FASTag/NETC Transaction Dips for NETC Issuance: - {D vs (D-7)}= 5-174= 169 (97.13%) (Impact window: 18:45 Hrs. to 21:07 Hrs.) For NFB-SBA Account Creation Dips: {D vs (D-7)}= 638-1936= 1298 (NFB-SBA Account Creation dipped by approximately 67.03% compared to D-7.) (Impact window: 18:45 Hrs. to 21:07 Hrs.) For NFB-CKYC Account Creation Dips: {D vs (D-7)}= 33-431= 92.36% (92.36% dip in account creation) (Impact window: 18:45 Hrs. to 21:07 Hrs.)</t>
  </si>
  <si>
    <t>Nova App Experience Journey, Nova IQ Customer Experience Journey, Analytics Customer Experience Journey, Black Acquisition Journey, Broadband Customer Experience Journey, Broadband New Customer Acquisition Journey, DTH New Customer Acquisition Journey, Postpaid Payment Posting Journey, Prepaid Retail Recharge Journey, Prepaid Online Recharge Journey, Broadband Payment Posting Journey, Postpaid New Customer Acquisition Journey, Postpaid Customer Experience Journey (Activation/Install), XSafe Customer Experience Journey</t>
  </si>
  <si>
    <t>Post the power outage recovery, Unix and Vm teams worked and recovered majority of the application servers.</t>
  </si>
  <si>
    <t>Postpaid New Customer Acquisition Journey, Postpaid Customer Experience Journey, Broadband Customer Experience Journey</t>
  </si>
  <si>
    <t>eCAF, BSL, NovaWorks, Selfcare_B2C, HB_ATOM, BTFLY_ATOM, Careshark, DPS, Ecom, HB_NMS, i360, iB2B</t>
  </si>
  <si>
    <t xml:space="preserve"> Due to the power outage at Nxtra on the night of May 11, several integrated applications remained affected. This includes disruptions to Call Centre functionalities, Billing and BSL services, and acquisition processes for Broadband, Postpaid, and Black services. 
Additionally, an outage in TUX services impacted NMS functionality further affecting acquisition flows.
To restore services, TUX servers were brought back online enabling recovery of Postpaid, Broadband, and Black acquisition operations.
Issues related to BSL and Billing services continue to affect Call Centre functionalities, continue to be tracked and monitored via Livewire.
</t>
  </si>
  <si>
    <t>Digital Experience B2C, Analytics, Postpaid, Broadband, Digital Acquisition, ABGB</t>
  </si>
  <si>
    <t>P4
P2
P1
P2
P3
P2
P3
P1
P4
P2</t>
  </si>
  <si>
    <t>INC14195670,INC14195835
INC14216879/INC14216879/Alert93150375
Alert93161964
INC14219555
INC14220562
INC14220836/INC14221569/INC14222282/INC14224671
TG Alert
INC14221333
INC14222224/INC14222279
INC14223557/INC14224298/Alert93163893</t>
  </si>
  <si>
    <t>1)Power module (Controller Enclosure CTE0, power module PSU 1, item 02311DEP, SN 2102311DEPHVJB002487) is faulty. Error code
Alert time:2025-05-11 06:30 Hrs
Incident:INC14195670,INC14195835 
Symptom
1)Multiple Ping response Alert for 10.13.xx.xx,10.14.xx.xx
Alert time:2025-05-12 05:49 Hrs 
Incident:INC14216879/INC14216879/Alert93150375
2)OneNova-Digital Customer Experience Journey-Homes-RS_bsl-prod.india.novatel.internal_Overall Error rate is greater than 5%_Sev-1
Alert time:2025-05-12 06:40 Hrs (Fluctuating)
Incident:Alert93161964
3)Hostname:DCAP_NCA_JOURNEY_FAILURE_ALERT,sev-2
Trigger Name : High ADVANCE_PAYMENT_FAILURE in last 30 min
Trigger Value: 113
Alert time:2025-05-12 07:54 Hrs
Incident:INC14219555
4)Hostname:Lapu StatusCode wise alert in cap Gateway,sev-3
Trigger: Lapu BSL getBillingAccountDetails Error message count &gt; 10
Trigger Value: 18
Alert time:2025-05-12 08:35 Hrs
Incident:INC14220562
5)Hostname:Milestone_pendency_broadband_ecaf,sev-2
Trigger: Broadband milestone pendency alert in last 10 min || NMS_FAULT
Trigger Value: 1518
Alert time:2025-05-12 08:52 Hrs
Incident:INC14220836/INC14221569/INC14222282/INC14224671
6)Host Name : careshark_v2_entity_error_alert
Business Group : CARESHARK, DIGITAL EXPERIENCE, PROXY_GROUP_1,P3
Current Value : 6.0
Component : careshark v2 entity error
Alert time:2025-05-12 08:55 Hrs
Incident:TG Alert
7)Hostname:Recharges Journey - Thanks App,sev-1
Trigger: Recharge Pack Listing Page  Packs API&gt;10
Trigger Value: 11.52
Alert time:2025-05-12 09:11 Hrs
Incident:INC14221333
8)Hostname:Channel-Backend-Alerts-NovaTel_selfcareV1,sev-3
Trigger: 4xx , /services/common/recharge/order-details | Failure Perc : 43.33% || Failure count : 28810
Trigger Value: 28810
Alert time:2025-05-12 09:52 Hrs
Incident:INC14222224/INC14222279
9)Hostname:sp_kong_view_bill_via_cx_latency_failure,sev-2
Trigger: High Latency in last 10M , 95th Percentile : 10  Second 
URL:/cx/billing/bills/pdf
Trigger Value: 10
Alert time:2025-05-12 10:32 Hrs
Incident:INC14223557/INC14224298/Alert93163893</t>
  </si>
  <si>
    <t>11-05-2025  18:30
12-05-2025  05:49
12-05-2025  06:40
12-05-2025  07:54
12-05-2025  08:35
12-05-2025  08:52
12-05-2025  08:55
12-05-2025  09:11
12-05-2025  09:52
12-05-2025  10:32</t>
  </si>
  <si>
    <t>Open
12-05-2025  08:05
12-05-2025  10:15
12-05-2025  08:43
12-05-2025  09:30
12-05-2025  09:12
Open
12-05-2025  11:12
12-05-2025  10:02
12-05-2025  11:42</t>
  </si>
  <si>
    <t xml:space="preserve">Service Portal: Success Hits( D vs D-3: 9:598717 is 99%)
eCAF: Prepaid Success Dip : (D vs D-7 : 14805 vs 13899 : 906) is 6%. 
SimSwap Success Dip : (D vs D-7 : 2745 vs 2342 : 403) is 17 %.
Broadband Success Dip : (D vs D-7 : 847 vs 919: 72) is 7 %.
Postpaid Success Dip : (D vs D-7: 8 vs 94 : 86) is 91 %.
</t>
  </si>
  <si>
    <t>Prepaid Customer Retail Acquisition Journey, Broadband Customer Experience Journey, DTH Customer Experience Journey, Postpaid Customer Experience Journey</t>
  </si>
  <si>
    <t>eCAF, BSL, NovaWorks, Selfcare_B2C, HB_ATOM, BTFLY_ATOM, Careshark, DPS, Ecom, HB_NMS, i360, iB2B, NovaTel.in, Inform</t>
  </si>
  <si>
    <t xml:space="preserve">Livewire monitoring continued and the Service Portal issue was traced to a BSL-related problem and uneven traffic distribution causing canary pods to crash. On Selfcare_B2C, 50-50 DC-DR traffic split was implemented by Network team and Kong team restarted the pods, resolving the issue by 12:12 PM.
For the Inform service issue, OCP connectivity was the root cause. OCP team restarted two pods and Network team disabled a tag on port 7304, restoring services.
Payment/QR issues were also resolved, and the Dedupe issue for Broadband B2B was fixed by bypassing the call at eCAF and disabling a related flag, with resolution confirmed at 12:38 PM.
All remaining affected applications are now functioning normally.
</t>
  </si>
  <si>
    <t>Service Portal: Success Hits( D vs D-3: 9:598717 is 99%)eCAF: Prepaid Success Dip : (D vs D-7 : 14805 vs 13899 : 906) is 6%. 
SimSwap Success Dip : (D vs D-7 : 2745 vs 2342 : 403) is 17 %.
Broadband Success Dip : (D vs D-7 : 847 vs 919: 72) is 7 %.
Postpaid Success Dip : (D vs D-7: 8 vs 94 : 86) is 91 %.
NovaTel_IQ_SMS: ICICI bank and HDFC Bank were completely impacted Thereafter the traffic was  removed by the customer. 
NovaTel_IQ_Voice: Downtime started at 18.44Hrs . At 21:00Hrs team did 50% recovery, thereafter, complete  restoration was done at 21.50hrs.
Nova App: Failure count: 230601
OTP failure % 22%
NovaWorks: 1.5k Installation impacted.
Mediation_EL: Source teams (network) were unable to dump CDR files resulting into delay response to downstreams.
Service Portal: Success Hits( D vs D-3: 9:598717 is 99%)
PACS: Success dip( D vs D-7:29520 :29783 is 0.88%).
IMS: Success dip( D vs D-7: 55024:58831 is 6.4%)
Selfcare_B2C: Billing -17.9%fail
Count -17,456,377 hits
Usage-3.3%
Count - 7,989,124 hits
AES_CWS: Users were unable to download invoices for B2B.
AES_FX: 1000 B2B orders.
CareManager: Login was impacted.
i360 Application was inaccessible.
Leo_CRM: 300 B2B orders.
BTFLY_Billing &amp; HB_Billing: Billing was delayed by 10 hrs.
DCAP: 100% payment posting was impacted.
HB_ATOM: 520093 orders
DTH(Payment/ Resumption/ Change Order /New Acquisition (Prepaid/IPTV/Black)): Success dip( D Vs D-7: 1097: 233889 is   232792) is 99%.
DPS (Bill &amp; Recharges impact): 633417(D vs D-7: 30045 vs 663462)
LAPU_GT, LAPU_MT- 2 Lacs transactions were impacted.
VDI, Service Now, ARCOS, Ferry, ZScaler: Application was inaccessible.
Skyvault: 4.3 Crore messages were impacted.
M2M: IOT HUB Portal( M2M Portal) login was impacted. 
Activation Orders deviated to 82% from D-7
BTFLY_CRM: 100% inaccessible
BTFLY ATOM PENDENCY-41502
XSafe_B2C: 278 User were impacted.
Learning platform was impacted.
MAMO_North: Success dip : (D Vs D-7- 77242:4686482 is 4609240 is 98%)</t>
  </si>
  <si>
    <t>Digital UPI Journey, DTH Recharge Journey</t>
  </si>
  <si>
    <t>DPS</t>
  </si>
  <si>
    <t>INC14237972</t>
  </si>
  <si>
    <t>DTH Recharges via QR code were impacted</t>
  </si>
  <si>
    <t xml:space="preserve"> In this issue, Dip was observed in QR scan (UPI recharges) for DTH . It was seen that payments via UPI gateway were facing a global outage. To resolve this issue, NPCI team implemented some corrective measures post which issue stands resolved. </t>
  </si>
  <si>
    <t>P1
P1
P3</t>
  </si>
  <si>
    <t>Alert93187078,INC14235476
INC14235406</t>
  </si>
  <si>
    <t>1)dip see in SR DPS_UPI_COLLECT_FLOW__SR
Alert time:2025-05-12 18:31 Hrs
Incident:Alert93187078,INC14235476
Symptom:
1)Dip in Prepaid SR &gt; 5%|Trigger Value: 76.14
Alert time:2025-05-12 18:20 Hrs
Incident:INC14235325
2)Dip in Fixed Line SR &gt; 5%|Trigger Value: 84.66
Alert time:2025-05-12 18:29 Hrs
Incident:INC14235406</t>
  </si>
  <si>
    <t>2025-05-12 18:31:55
2025-05-12 18:32:55
2025-05-12 18:29:00</t>
  </si>
  <si>
    <t>2025-05-12 19:21:30
2025-05-12 19:25:24
2025-05-12 18:32:00</t>
  </si>
  <si>
    <t>Success Dip of DTH Recharges (D vs D-7) : (33586 vs 49110: 15524) is 31.6%</t>
  </si>
  <si>
    <t xml:space="preserve">Postpaid Dunning Order Journey </t>
  </si>
  <si>
    <t>BTFLY_Rating, DNC</t>
  </si>
  <si>
    <t xml:space="preserve">INC14238175 </t>
  </si>
  <si>
    <t>CAP &amp; LTP Process in billing is impacted.</t>
  </si>
  <si>
    <t>In this, it was identified that servers were FXPDCU47 (10.13.61.249) and FXPDCU48 (10.13.61.250) were in hung state. To resolve the issue, Unix team made the services up, post which the application team performed sanity. Unix team confirmed that log shows an error related to motherboard. A case has been raised with OEM for the same to identify.</t>
  </si>
  <si>
    <t>INC14002204
INC14223625
INC14223630</t>
  </si>
  <si>
    <t>1)Agent is unable to communicate with the OMS. (REASON = Agent is Unreachable (REASON : Agent to OMS Communication is broken. Failure connecting to https://NovaTel-oem.novatel.example:1159/empbs/upload , err connect timed out 
Alert time :2025-04-28 22:01 Hrs
Event NO : INC14002204
2)CAP_process_status_10.13.61.249
Host Name : CAP Status CU 47 FX3
Current Value : 0.0
Alert time :2025-05-12 10:30 Hrs
Event NO : INC14223625
3)CAP_process_status_10.13.61.250
Host Name : CAP Status CU 48 FX3
Current Value : 0.0
Alert time :2025-05-12 10:30 Hrs
Event NO : INC14223630</t>
  </si>
  <si>
    <t>4/28/2025 22:01
5/12/2025 10:30
5/12/2025 10:30</t>
  </si>
  <si>
    <t>4/28/2025 22:11
5/12/2025 13:41
5/12/2025 13:41</t>
  </si>
  <si>
    <t>Order impact count: 62</t>
  </si>
  <si>
    <t>APB_IBS, APB_My Nova App, APB_Payments Hub, APB_Payment_UPI, APB_Retailer App, APB_FS-Investment</t>
  </si>
  <si>
    <t>INC0477234</t>
  </si>
  <si>
    <t>An issue was observed in multiple applications where 5xx errors were increased.</t>
  </si>
  <si>
    <t>In this issue, multiple NFB applications experienced service degradation, as 5xx errors increased. During the troubleshooting, it was identified that NFB-network team performed unauthorized changed "remove unused certificates/ removed unused permit IPs" under this changed no:chg0004289, due to outage had happened. Hence to restore the issue, NFB-network team bypassed the certificate checked , post that issue got resolved.</t>
  </si>
  <si>
    <t>Unauthorized Change</t>
  </si>
  <si>
    <t xml:space="preserve">For NFB-Payments Hub (Use case: LIMIT &amp; SIMBINDING_VALIDATION) Error Comparison: {D vs (D-7)}= 444,482-0=444,482 (100%) For NFB-IBS Failure Count Comparison= {D vs (D-1)}= 1,940-86= 1854 (95.57%) For NFB-My Nova App Failure Count Comparison= {D vs (D-1)}= 14,51,079-4,021=1447058 (99.72%) For NFB-FS-Investment: Digi gold Use case Hits: {D vs (D-1)}= 365-2745= 2380 (652% dramatic decrease) Fixed Deposit Use case Hits: {D vs (D-1)}= 321-1638= 1317 (410% dramatic decrease) For NFB-PAYMENTS-UPI Transaction Dip Comparison (D): Success Count: 793174 (88.89%) Failure Count: 98968 (11.09%) For NFB-Retailer App Failure Count Dip Comparison: {D vs (D-1)}=26,969-0= (100%) For NFB-SBA Account Creation Dip: {D vs (D-7)}= 0-177= 177 (100%) For NFB-CKYC Account Creation Dip: {D vs (D-7)}= 0-326= 326 (100%) </t>
  </si>
  <si>
    <t>CHG0004289</t>
  </si>
  <si>
    <t xml:space="preserve">INC14242526 </t>
  </si>
  <si>
    <t>Postpaid and HMBD Siebel Reports delivery impacted to Business.</t>
  </si>
  <si>
    <t>In this issue, Application Team reported that they are unable to deliver Postpaid and HMBD reports to business as their DR is out of sync. Upon alignment, Amdocs DBA team confirmed that the DR sync process has been completed at 22:48 Hrs earlier , but they are unable to provide an ETA for bringing HMBD/GG Database's faulty Exadata disk back online but they are actively working on it with Oracle. Further Application team confirmed that they can then start the process at their end and the reports should be delivered to business by the accepted TAT not degrading the business KPIs any further however, there may be discrepancy in HMBD reports as it's DB issue is still being worked upon with Oracle team</t>
  </si>
  <si>
    <t>BTFLY_BILLING</t>
  </si>
  <si>
    <t>INC14243265</t>
  </si>
  <si>
    <t>Rating, Billing and DNC processes impacted for BTFLY_BILLING application.</t>
  </si>
  <si>
    <t>In this issue, it is identified that the servers FXPDCU64 to FXPDCU69 are Broadband FX3 servers containing PRI Customers. VMware team identified high CPU utilization for the mentioned servers and proceeded with moving the servers to a healthy ESXI host and Unix, DBA and Application Team performed sanity, post which the services restored and issue got resolved.</t>
  </si>
  <si>
    <t>P1/P1/P1</t>
  </si>
  <si>
    <t>INC14242558,INC14242560,INC14242577,INC14242496,INC14241605</t>
  </si>
  <si>
    <t>1)N1VL-PD-BTFCU64 | Connection for monitoring user sys failed with error ORA-12505: TNS:listener does not currently know of SID given in connect descriptor (DBD ERROR: OCIServerAttach)
Alert time: 2025-05-13 05:26 Hrs
Incident:INC14242495
2)Multiple DB Down Alert 
IPs: n1vl-pd-btfcu67 10.13.57.11 
n1vl-pd-btfcu68 10.13.57.12 
n1vl-pd-btfcu69 10.13.57.13 
n1vl-pd-btfcu64 10.14.59.87 
n1vl-pd-btfcu65 10.14.59.88
Alert time:2025-05-13 05:34 Hrs
Incident:INC14242558,INC14242560,INC14242577,INC14242496,INC14241605</t>
  </si>
  <si>
    <t>2025-05-13 05:26:55
2025-05-13 05:34:18</t>
  </si>
  <si>
    <t>Open
Open</t>
  </si>
  <si>
    <t>Rating delayed for PRI Customers.</t>
  </si>
  <si>
    <t>APB_Load Cash</t>
  </si>
  <si>
    <t>INC0477605</t>
  </si>
  <si>
    <t>FasTag BBPS recharge via Load Cash failed for Partner Account 1072721876 due to transaction amount exceeding the limit, causing an account overline.</t>
  </si>
  <si>
    <t>In this issue, FasTag BBPS recharge transaction for Partner Account 1072721876 failed due to the transaction amount exceeding the configured Overdraft (OD) limit of 250 Crores, resulting in an account overline. Upon investigation with the CBS team, it was confirmed that the BBPS BOU Inhouse Solution NFB Internal Account (1072721876) had breached its OD limit. To resolve the issue, the NFB-BBPS-BOU-Inhouse team, in coordination with the Banking Operations Team, funded an additional 50 Crores to the account. Post-funding, all impacted use cases resumed normal transaction processing successfully.</t>
  </si>
  <si>
    <t>INC14245340</t>
  </si>
  <si>
    <t>Symptom:
1)5XXFailurin10Minute|selfcareV1|/services/common/recharge/order-details/BBPS_V2/RECHARGE|Current Value : 112.37
Alert time:2025-05-13 10:17 Hrs
Incident:INC14245340</t>
  </si>
  <si>
    <t>NFB-Load Cash: (FASTAG-BBPS Use Case) Approx. 9012 transactions was impacted during the impacted window.</t>
  </si>
  <si>
    <t>INC14265996</t>
  </si>
  <si>
    <t>Broadband acquisition was impacted intermittently.</t>
  </si>
  <si>
    <t>In this issue, Broadband order pendency was increasing at eCAF , as service time out from the HB_CRM end was being observed. Although it was getting cleared in retry. HB_CRM team was getting JDBC related error. To restore, HB_CRM  team took service restart,  post which issue got resolved.</t>
  </si>
  <si>
    <t>INC14245670
INC14245781</t>
  </si>
  <si>
    <t>Symptom:
1)Milestone_pendency_broadband_ecaf
a)|ORDER_STATUS : ACCOUNT_SIEBEL_FAILED
b)ORDER_STATUS : ORDER_SIEBEL_FAILED
Alert time:2025-05-13 10:52 Hrs
Incident:INC14245670,INC14245781</t>
  </si>
  <si>
    <t>83 out of 1200 deliveries were stuck.</t>
  </si>
  <si>
    <t>DTH New Customer Acquisition Journey, DTH Recharge Journey</t>
  </si>
  <si>
    <t>INC14249771</t>
  </si>
  <si>
    <t xml:space="preserve">DTH acquisition and retail DTH recharges were impacted in Mitra. </t>
  </si>
  <si>
    <t>In this issue, Retailers were unable to login into the Mitra application. During the troubleshoot, it was identified that the circle code value was showing as null in Mitra application. To restore this, Mitra team did d-2 hierarchy files syncing, post which the issue got resolved.</t>
  </si>
  <si>
    <t>Digital Acquisition, DTH</t>
  </si>
  <si>
    <t>DTH Acquisition Success Dip : (Today vs D-1 : 448 vs 442 : 6) is 1.33%%.
On recharge around 900 recharge dip was Observed.</t>
  </si>
  <si>
    <t>Black Acquisition Journey, Broadband New Customer Acquisition Journey, Postpaid New Customer Acquisition Journey, Prepaid Customer Retail Acquisition Journey, Prepaid New Order Sim Swap Journey, Prepaid New Customer Acquisition-MNP Journey, Postpaid New Customer Acquisition-MNP Journey</t>
  </si>
  <si>
    <t>eCAF, eCAF_eDSL, eCAF_EKYC, eCAF_Sim Swap, Mitra</t>
  </si>
  <si>
    <t>INC14257033</t>
  </si>
  <si>
    <t>Prepaid, Postpaid, Broadband, Simswap and Black acquisition were impacted in eCAF.</t>
  </si>
  <si>
    <t>In this issue, all LOBs acquisition was impacted in eCAF. Multiple actions were taken from application as well as DBA end but no improvement was observed. Application team took restart of pods, DBA team killed update and insert query and also killed the blocking session but Response time remained high. Again application team restarted the pods and DBA team took bounce on both nodes(10.5.249.20/21) node by node but no improvement observed. Later Application team restarted the commons services and added Virtual machines(nodes) and took restart of the 2 Virtual machines on which they were observing error. Post that improvement was seen and Response time started decreasing for overall eCAF application.
Regards, MIM Team</t>
  </si>
  <si>
    <t xml:space="preserve">Primary root cause:
Specification Leg – 01
Q1: Why multiple Acquisition Journeys experienced significant service disruption on 13th and 14th May?
Ans: Because, the recent outage impacted All acquisition Journeys; Retailers were getting error while submitting orders at eCAF “I/O error on post request for http://commons-services.prod.ecaf.novaworld.in; Socket Timeout Exception; Read Timeout “. 
Q2: Why there was an error at eCAF while submitting CAF orders?
Ans: eCAF Team observed high response time and latency in the Commons_services (responsible for handling image uploads) at application during peak business hours.
Detection Leg 02
Q3) Why the response time was high at Common services?
Ans. Because, high response time alerts at Common_Services were triggered at the beginning of the issue. eCAF team analysed the service response time of insert and update query was high and reached from 1ms to 40 ms at DB which resulted blocking sessions. 
Q4: Why the query response time increased at DB?
Ans: eCAF team identified, high row lock contention at DB caused due to blocking sessions. However, this contention led to increase in query wait times for accessing and modifying the same data on DB.
Systemic leg-03
Q5- Why there was high Row lock contentions observed on DB?
Ans: The application team discovered that some low-end Android laptops and mobile devices were making repeated requests in response to a single user activity. The strain was further aggravated by an increase in agent and store application retries. However this latency stemmed from row lock contention in the database, primarily due to duplicate requests hitting the same DB rows and size of the affected DB table had significantly increased, aggravated the contention. To fix the issue, eCAF team bypassed the OCR flow and disabled the duplicate request post which improved was seen for eCAF Commons_Services.
Q6: Why there was an another occurrence of high response time on Common_services on 26th May and impacted the acquisition journeys?
Ans: Similar issue happened on 26th May at 10:44 Hrs, Again Common_Services response time  was increased due to 4–5x surge in traffic to the Commons_ Services. This surge caused
load on Redis Master node, Commons_services resulted in row lock contention at DB. However, the eCAF commons_services response time increased due to an ongoing outage at UIDAI end, as a result, as multiple retries were happening on the field which led to 4-5X surge and choked the common_services. However, to mitigate the issue eCAF team applied rate limiting from NGINX to manage the increased traffic caused by user retries. eCAF Team initially set the limit at 3200 and gradually increased it to 10,000. However, intermittent issues started reporting on Mitra application due to rate limiting which settled down once the failures decreased and issue got fixed. Rate limiting was removed, once the application resumed normal behaviour.
Surge of traffic on 26th May 
Observations :
• Similar type of high response time occurrences were observed in past also; wherein NSG API, UIDAI and row lock contention issues were the major contributors . On previous occurrences, commons_services response time increased due to Traffic volume spiked upto 4–5x post UIDAI outage.
• On all three occurrences, the MTTR was quite high as Application and DB team tried multiple actions to fix the issue; Reduced the size of the impacted database table , killed long running queries ,DB bounce, Redis Master node failover, Pods and VM restart, Commons Service restart ( 12 Pods &amp; 6 VMs ) eventually the issue got fixed post eCAF team blocked the duplicate request and bypass the OCR flow. Additionally on 26th May, eCAf team increased the redis connection limit from 75 to 200 on all 3 nodes and performed a Redis  Master node failover but issue got fixed only post Team Implemented the rate limiting at the application layer to get the Commons_services response time came back to normal.
• Get comms
Increased Application Response Time on 26th May 
• 
•  
Preventive Actions:
• Upgraded Redis version from 6.0 to 7.4.2 resolving known concurrency bottlenecks in the older version and Redis connection limit increased from 75 to 200: Completed Devendra
• Deployed a change to reduce Redis calls by storing server-side caching config values in memory, which helps in improving performance. Open Devendra  ETA 5th June
• eCAF team will check with Network team to explore the feasibility of rate limiting on Load balancer based on client IP – Open Vageesha ETA: 9th June
• Circuit breakers are used to manage downstream API calls effectively. Team is checking the feasibility of installing circuit breakers for all APIs at Commons-Open Devendra ETA: 30th June  
• eCAF team did the LOB segregation at the common_services to distribute the load across and segregate the acquisition flows. Completed Vageesha
• New eCAF database setup is ready, and the migration of services to be planned.-Open Devendra, Vageesha. This is still under discussion
• Develop a SOP for recovering from scenarios similar to the recent issue, including rate limiting- Completed Vageesha
• Initiated project to design High Availability (HA) Architecture for the ECAF System. This plan includes deploying, redundant components, automated failover mechanism and load balancer-Open Rohit Agarwal and Bhupendra 
• User retry timeout increased from 2 second to 1 minute, to optimize the volume of retries:- Completed Vageesha
• eCAF team will explore if any potential infra augmentation is required to manage the surge in traffic during failures- Open Vageesha 
• Modify and standardize error messages returned to end-users (retailers, agents) to be descriptive, user-friendly and actionable -Open Bhupendra
</t>
  </si>
  <si>
    <t>PRB0044487</t>
  </si>
  <si>
    <t xml:space="preserve">INC14244929
INC14246156,INC14246230,INC14246229
INC14246379,Alert93229114,INC14246506
INC14246189,INC14246187,INC14246186
</t>
  </si>
  <si>
    <t>Direct:
1)n2pl-pdc-ecaf01-Database Instance-ecafprod_ecafprod1-Metric=Blocking Session DB Time-Key Value=88604702_389856_2273_16109
Alert time:2025-05-13 09:47 Hrs
Incident:INC14244929
Symptom:
1)Multiple Appd performance alert
 a)ECAF_eKYC-Postpaid/Prepaid New Customer Acquisition Journey-OverallAvgResponseTime&gt;2000ms_Sev-1
 b)ECAF_PREPAID-Prepaid New Customer Acquisition Journey-Overall Avg Response Time&gt;500ms_Sev-1
 c)ECAF-Prepaid/Postpaid New Customer Acquisition-ECAF_COMMON-RS_REDIS-Read-OverallAvgResponseTime is greater than5ms_Sev-1
 d)ECAF_eKYC-Postpaid/Prepaid New Customer Acquisition Journey-OverallAvgResponseTime&gt;2000ms_Sev-1
 e)ECAF_eKYC-Postpaid/Prepaid New Customer Acquisition Journey-DB_ResponseTime&amp;gt;100ms_Sev-1
Alert time:2025-05-13 11:24 Hrs
Incident:INC14246156,INC14246230,INC14246229
2)Multiple Prepaid milestone pendency for caf_submitted
 a)Milestone_pendency_prepaid_ecaf
 b)ECAF_PREPAID_EKYC_MILESTONE_ORACLE
 c)ECAF_PREPAID_MILESTONE_ORACLE
Alert time:2025-05-13 11:31 Hrs
Incident:INC14246379,Alert93229114,INC14246506
3)Multiple ECAF Actuator Alert
Alert time:2025-05-13 11:19 Hrs
Incident:INC14246189,INC14246187,INC14246186</t>
  </si>
  <si>
    <t>5/13/2025 9:47
5/13/2025 11:20
5/13/2025 11:31
5/13/2025 11:19</t>
  </si>
  <si>
    <t>Open
5/13/2025 12:12
5/13/2025 12:31
Open</t>
  </si>
  <si>
    <t>Success Dip Broadband : 2161 (D: 5169 VS D-7: 7330) is 29%
Success Dip Postpaid : 1249(D: 106 VS D-7: 1355) is 92%
Success Dip Prepaid : 61966 (D: 22063 VS D-7: 84029) is 74%
Success Dip Simswap : 24415(D: 3010  VS D-7: 27425) is 89%
Success Dip Black : 3230(D: 729 VS D-7: 3959) is 82%</t>
  </si>
  <si>
    <t>BTFLY_ATOM</t>
  </si>
  <si>
    <t>INC14248279</t>
  </si>
  <si>
    <t>Postpaid NCA &amp; Change orders were impacted.</t>
  </si>
  <si>
    <t>Application team confirmed that the base plan of SQL procedure was disrupted on FX3 CATALOG[10.14.113.174] , which was resolved by DBA. Also, mount point on the ESB servers were unmounted and their permission was changed by the root user, to resolve this, UNIX team restart the managed server, post which issue got resolved.</t>
  </si>
  <si>
    <t>INC14248286</t>
  </si>
  <si>
    <t>Symptoms:
1)Host Name : BTFLY ATOM OVERALL FAILUE ALERT
Current Value : 1553.0
Alert time: 2025-05-13 13:34 Hrs
Incident: INC14248286</t>
  </si>
  <si>
    <t>1202 Orders were impacted.</t>
  </si>
  <si>
    <t>NovaWorks, ACS, HB_ATOM</t>
  </si>
  <si>
    <t xml:space="preserve">INC14253095 </t>
  </si>
  <si>
    <t xml:space="preserve">Task 2 not received for MDU broadband install orders and orders were getting stuck at PCRF task in HB_ATOM. </t>
  </si>
  <si>
    <t xml:space="preserve">Issue was suspected at PCRF end, due to which MDU install order pendency was observed in NovaWorks and HB_ATOM and ACS were getting connection timeout at PCRF. However, improvement was observed after 16:15 Hrs post which pendency started clearing. Action taken to resolve remains unknown. </t>
  </si>
  <si>
    <t>NSG, Digital Acquisition, Broadband</t>
  </si>
  <si>
    <t>P2
P3
P2
P4
P1
P4</t>
  </si>
  <si>
    <t>INC14249981,INC14249977,INC14249971
INC14249208
INC14250049,Alert93240169
INC14250115
INC14250023
INC14250191,INC14250107</t>
  </si>
  <si>
    <t>1)Multiple Port alert on 10.2.23.61
Alert time:2025-05-13 15:46 Hrs
Incident:INC14249981,INC14249977,INC14249971
Symptom:
1)Hostname:NovaTel_Works alerts for Broad Band Journey| Pendency alert for component MDU_Task_2 
Alert time:2025-05-13 15:46 Hrs
Incident:INC14249208
2)Multiple service portal alert
  a)sp_guardian_dn_link_status_NA_failure
  URL : https://hbatomdn-prod.novatel.example/routermanagement/getConnectionDetails
  b)sp_multitenant_api_failure
  URL : https://hbatomdn-prod.novatel.example/routermanagement/getCpeStatus
  Alert time:2025-05-13 15:50 Hrs
  Incident:INC14250049,Alert93240169
3)5XXFailurein10Minutes| cx_Network | /router/availability|
Alert time:2025-05-13 15:50 Hrs
Incident:INC14250115
4)HB_ATOM-Broadband New Customer Acquisition Journey-Device-Nucleus_BT_/routermanagement/getConnectedDevices_OverallErrorRate is greater than 15%_Sev-1
Alert time:2025-05-13 15:52 Hrs
Incident:INC14250023
5)DN__RouterManagement_Access_log_Failure
Alert time:2025-05-13 15:57 Hrs
Incident:INC14250191,INC14250107
6)hb_atom_taskwise_PCRF_Failed|Trigger Value: 256
Alert time:2025-05-13 15:59 Hrs
Incident:Alert93240422</t>
  </si>
  <si>
    <t>5/13/2025  15:46
5/13/2025  14:46
5/13/2025  15:50
5/13/2025  15:57
5/13/2025  15:52
5/13/2025  15:57
5/13/2025  15:59</t>
  </si>
  <si>
    <t>5/13/2025  16:01
5/13/2025  15:46
5/13/2025  16:09
5/13/2025  16:12
5/13/2025  16:25
5/13/2025  16:24
5/13/2025  16:04</t>
  </si>
  <si>
    <t>HB_ATOM : 497(New/Change/Unbar) NovaWorks: 138 MDU broadband installs</t>
  </si>
  <si>
    <t>Issue got resurfaced, as eCAF was observing high RT at DB end. During the troubleshooting, it was confirmed that it was from the same insert and update query but while checked from DBA end the DB RT was normal. One blocking Session was observed on one of the DB node which was killed by DBA team but no improvement observed. Further, Application team took Pods and VM refresh along with that Redis failover was also done by Application team but no improvement observed. Further, Application team reduce the pods to 4 but no improvement observed. Meanwhile teams were debugging the issue, response time for Insert and update query became normal resulting eCAF application response time optimal.</t>
  </si>
  <si>
    <t>P1
P2
P2</t>
  </si>
  <si>
    <t>INC14251355,INC14251325,INC14251326
Alert93244005,Alert93244006,Alert93244008
Alert93243913,INC14251509</t>
  </si>
  <si>
    <t>1)Multiple Appd performance alert
a)ECAF_eKYC-Postpaid/Prepaid New Customer Acquisition Journey-OverallAvgResponseTime&gt;2000ms_Sev-1
 b)ECAF_PREPAID-Prepaid New Customer Acquisition Journey-Overall Avg Response Time&gt;500ms_Sev-1
 c)ECAF-Prepaid/Postpaid New Customer Acquisition-ECAF_COMMON-RS_REDIS-Read-OverallAvgResponseTime is greater than5ms_Sev-1
 d)ECAF_eKYC-Postpaid/Prepaid New Customer Acquisition Journey-OverallAvgResponseTime&gt;2000ms_Sev-1
 e)ECAF_eKYC-Postpaid/Prepaid New Customer Acquisition Journey-DB_ResponseTime&amp;gt;100ms_Sev-1
Alert time:2025-05-13 17:18 Hrs
Incident:INC14251355,INC14251325,INC14251326
2)Multiple ECAF Actuator Alert
Alert time:2025-05-13 17:27 Hrs
Incident:Alert93244005,Alert93244006,Alert93244008
3)ECAF NGINX ALERT
a)High rate of 400 in service ECAF NGINX
b)High rate of 504 in service ECAF NGINX
Alert time:2025-05-13 17:25 Hrs
Incident:Alert93243913,INC14251509</t>
  </si>
  <si>
    <t>5/13/2025 17:18
5/13/2025 17:27
5/13/2025 17:25</t>
  </si>
  <si>
    <t>5/13/2025 17:55
5/13/2025 17:57
5/13/2025 17:32</t>
  </si>
  <si>
    <t>Success Dip Broadband : 809 (D: 2208 VS D-7: 3017) is 27%.
Success Dip Prepaid : 59217 (D: 15735 VS D-7: 74952) is 79%.
Success Dip Simswap : 11493(D: 2475  VS D-7: 13968) is 82%.
Success Dip Black : 1420(D: 397 VS D-7: 1817) is 78%.
Success Dip Postpaid: 547 (D: 22 VS D-7: 569) is 96%.</t>
  </si>
  <si>
    <t>ACS, NovaWorks, HB_ATOM, Service Portal</t>
  </si>
  <si>
    <t>INC14253095</t>
  </si>
  <si>
    <t>Task 2 not received for MDU broadband install orders and orders were getting stuck at PCRF task in HB_ATOM.</t>
  </si>
  <si>
    <t>In this, it was identified that one router was down at Noida Location at NSG end due to which it was impacting order processing of broadband. Further, Techlan NSG team confirmed that they took reboot of the impacted router card and took some corrective actions, post which, HB_ATOM team repushed the stuck orders of broadband and application team confirmed that the services are restored.</t>
  </si>
  <si>
    <t>NSG, Digital Acquisition, Broadband, Digital Experience B2C</t>
  </si>
  <si>
    <t>P2
P1
P2
P4
P4
P4</t>
  </si>
  <si>
    <t>INC14253708,INC14253691,INC14253675,INC14253641,INC14253638
 INC14253459,Alert93250065
Alert93250202
INC14253624
INC14253923</t>
  </si>
  <si>
    <t>Direct:
1)Multiple port_monitoring_10.222.185.195
Alert time:2025-05-13 20:30 Hrs
Incident:INC14253708,INC14253691,INC14253675,INC14253641,INC14253638
Symptom:
1)HB_ATOM-Broadband New Customer Acquisition Journey-Device-Nucleus_BT_/routermanagement/getConnectedDevices_OverallErrorRate is greater than 15%_Sev-1
Alert time:2025-05-13 20:07 Hrs
Incident:INC14251593 , Alert93250071 
2)
Multiple service portal alerts 
a)sp_multitenant_api_failure
severity: High
Trigger: High Failure in last 10M  Total Count : 1631  Failure Count : 477  Failure % : 29.25 
  Alert time:2025-05-13 20:10: Hrs
  Incident:INC14253459
b)sp_multitenant_api_failure
severity: High
Trigger: High Failure in last 10M  Total Count : 1265  Failure Count : 349  Failure % : 27.59 
Alert time:2025-05-13 20:08 Hrs
alert - Alert93250065
3)Channel-Backend-Alerts-cx-network
Trigger: 5XX | /router/availability | Failure Perc : 63.534107402031928 % || Failure count : 2126
Alert time:2025-05-13 20:12 Hrs
Alert - Alert93250202
4)DN__RouterManagement_Access_log_Failure
severity: Average
Trigger: /routermanagement/getCpeStatus
Alert time :2025-05-13 20:27
Incident :INC14253624
5):hb_atom_taskwise_PCRF_Failed
severity: Average
Trigger: hb_atom_taskwise_PCRF_Failed
Alert time :2025-05-13 20:49
Incident :INC14253923</t>
  </si>
  <si>
    <t xml:space="preserve">5/13/2025  20:30
5/13/2025  20:07
5/13/2025  20:10
5/13/2025  20:12
5/13/2025  20:27
5/13/2025  20:49
</t>
  </si>
  <si>
    <t>5/13/2025  21:21
5/13/2025  21:19
5/13/2025  20:20
5/13/2025  20:17
5/13/2025  21:19
5/13/2025  16:24
5/13/2025  21:22</t>
  </si>
  <si>
    <t>HB_ATOM : 759 (Change/New/Pre to Post/Involuntary)
NovaWorks: 94 MDU broadband installs</t>
  </si>
  <si>
    <t>INC14277865</t>
  </si>
  <si>
    <t>Barring orders of Postpaid were impacted.</t>
  </si>
  <si>
    <t>In this issue, BTFLY_ATOM team confirmed that they were not getting respond whenever they are running any query and response time was also high. However, without any technical intervention, the query session started getting clear and services came back to normal. Further, Accenture DBA team also identified and terminated 3 long running SELECT query sessions for bulk processing.</t>
  </si>
  <si>
    <t>INC14258400,INC14258416
INC14258420
INC14258492</t>
  </si>
  <si>
    <t>Symptoms:
1)BTFLY_ATOM_Overall In-Progress Pendency seen more than 5000 | Trigger Value: 22253
Alert time:  2025-05-14 03:46 Hrs
Incident: INC14258400,INC14258416
2)BTFLY_ATOM_ Task Wise In-Progress seen more than 1000 | Trigger Value: 1096
Alert time:  2025-05-14 03:49 Hrs
Incident: INC14258420
3) BTFLY_ATOM-Postpaid New Customer Acqusition/Postpaid Change order-OverallAvgResponseTime&gt;1000ms 
Alert time: 2025-05-14 04:00 Hrs
Incident:INC14258492</t>
  </si>
  <si>
    <t>5/14/2025 3:46
5/14/2025 3:49
5/14/2025 4:00</t>
  </si>
  <si>
    <t>5/14/2025 4:31
5/14/2025 5:36
5/14/2025 4:25</t>
  </si>
  <si>
    <t>6700 barring orders were impacted.</t>
  </si>
  <si>
    <t>INC14260635</t>
  </si>
  <si>
    <t>In this issue, CC advisors were facing issue in MOP scenario for Broadband as internet status showing - NA. During the troubleshooting, Service Portal team confirmed that they were getting error from API used by HB_ATOM. However, without any technical intervention the services came back to normal. The actual cause of issue is still unidentified.</t>
  </si>
  <si>
    <t>INC14260062
INC14260069
INC14260096</t>
  </si>
  <si>
    <t>Symptoms:
1)sp_guardian_dn_link_status_null_percent| High Failure in last 10M Total Count : 183  Failure Count : 21  Failure % : 11.48
URL - https://hbatomdn-prod.novatel.example/routermanagement/getConnectionDetails
Alert time:  2025-05-14 06:22 Hrs
Incident: INC14260062 
2)HB_ATOM-Broadband New Customer Acquisition Journey-Device-Nucleus_BT_/routermanagement/getConnectionDetail_OverallErrorRate is greater than 5% 
Alert time:  2025-05-14 06:24 Hrs
Incident: INC14260069
3)High 5xx Failure in last 30minutes||/routermanagement/resetCredentials| DN__RouterManagement_Access_log_Failure | Current Value : 14.38
Alert time -  2025.05.14 06:27hrs
Event no - INC14260096</t>
  </si>
  <si>
    <t>5/14/2025 6:22
5/14/2025 6:24
5/14/2025 6:27</t>
  </si>
  <si>
    <t>5/14/2025 6:39
5/14/2025 7:03
5/14/2025 6:57</t>
  </si>
  <si>
    <t>Success Dip: (D vs D-6 : 641 vs 1235 : 594 ) is 48%.</t>
  </si>
  <si>
    <t xml:space="preserve">INC14262264 </t>
  </si>
  <si>
    <t xml:space="preserve"> DCAP was getting intermittent delay from OneNova for breakup call. </t>
  </si>
  <si>
    <t>In this issue DCAP was observing delay in breakup call from OneNova, due to which Payment posting was delayed. Orders were getting cleared in retrial but there were some pendencies. Homes team identified that one of the server was misbehaving so team isolated the same and issue got mitigated.</t>
  </si>
  <si>
    <t>100 failures</t>
  </si>
  <si>
    <t xml:space="preserve"> The issue retriggered since one router was down at Noida Location at NSG end due to which order processing of broadband was impacted. Further, Techlan NSG team confirmed that they took reboot of the impacted router card and took some corrective actions, post which, HB_ATOM team repushed the stuck orders of broadband and application team confirmed that the services got restored.</t>
  </si>
  <si>
    <t>INC14262165
INC14262157
Alert93283252
INC14262179
TG alert
INC14262297
Alert93284023</t>
  </si>
  <si>
    <t xml:space="preserve">Direct :
Multiple Port alert on 10.2.23.61
Host Name : port_monitoring_10.222.185.62/ 10.222.185.193/10.222.185.194/10.222.185.195/10.222.185.196/10.222.185.197
Alert time :2025-05-14 10:24
Event No :INC14262165
Symptoms:
1)Alert Name:sp_guardian_dn_link_status_NA_failure_percent
Host Name : sp_guardian_dn_link_status_NA_failure
URL : https://hbatomdn-prod.novatel.example/routermanagement/getConnectionDetails
Alert time :2025.05.14 10:25
Event No : INC14262157
2)Alert Name:sp_multitenant_api_failure_percent
Host Name : sp_multitenant_api_failure || 127.0.0.1
URL : https://hbatomdn-prod.novatel.example/routermanagement/getCpeStatus
Alert time :2025-05-14 10:25
Event No :Alert93283252
3)Appd alert routermanagement/getConnectedDevices
Alert time :2025-05-14 10:27
event no : INC14262179
4)Alert name : Task 2 not received for MDU broadband install orders
Alert time : 2025.05.14 10:31
Event no ; TG alert
5)Alert Name:5XXFailurein10Minutes| cx_Network
Host Name : Channel-Backend-Alerts-cx-network
API : /router/availability
Alert time :2025.05.14 10:31
Event no:INC14262297
6)Alert Name:4XXFailurein10Minute | cx_Network
Host Name : Channel-Backend-Alerts-cx-networ
API : /router/devices
Alert time : 2025.05.14 10:35
Event No:Alert93284023
7)Alert Name:90thPercentilein10minutes| cx_Network
API : /router/devices
Alert time : 2025.05.14 10:38
Event no : Alert93284023
</t>
  </si>
  <si>
    <t>5/14/2025 10:24
5/14/2025 10:25
5/14/2025 10:25
5/14/2025 10:27
5/14/2025 10:31
5/14/2025 10:32
5/14/2025 10:38</t>
  </si>
  <si>
    <t>5/14/2025 10:39
5/14/2025 11:05
5/14/2025 11:30
5/14/2025 11:03
Open
5/14/2025 10:51
5/14/2025 10:53</t>
  </si>
  <si>
    <t>HB_ATOM : 200 (Change/New/Pre to Post/Involuntary)
NovaWorks:  Fault Repair SR impacted count :- 707 
Airfiber order impacted count :- 80</t>
  </si>
  <si>
    <t>Issue retriggered for the same scenario where acquisition in eCAF got impacted. For the restoration, application team bypassed the OCR flow which is used in dKYC and disabled the duplicate request landing. Post these actions response time became normal and improvement was observed in the application.</t>
  </si>
  <si>
    <t>INC14262318
INC14262503 / INC14262502
Alert93284494 / Alert93284042 / Alert93284044 / Alert93284272</t>
  </si>
  <si>
    <t>Symptom:1) Multiple Appd Alert for Ecaf
A) ECAF_PREPAID-Prepaid New Customer Acquisition Journey-RS_esbmob.novaworld.in:8015
B)ECAF-Prepaid/Postpaid New Customer Acquisition-ECAF_COMMON
C)ECAF-Prepaid/Postpaid New Customer Acquisition-ECAF_COMMON-RS_REDIS
D) ECAF_eKYC-Postpaid/Prepaid New Customer Acquisition Journey
E) ECAF_PREPAID-Prepaid New Customer Acquisition Journey
Alert time : 2025-05-14 10:37
Event No: INC14262318
2) Multiple ECAF Actuator Alert
Alert time : 2025-05-14 10:46
Event No : INC14262503 / INC14262502
3) Multiple Hostname: ECAF NGINX ALERT
Alert time : 2025-05-14 10:47
Event No.: Alert93284494 / Alert93284042 / Alert93284044 / Alert93284272</t>
  </si>
  <si>
    <t>5/14/2025 10:37
5/14/2025 10:46
5/14/2025 10:47</t>
  </si>
  <si>
    <t>5/14/2025 10:54
5/14/2025 11:28
5/14/2025 10:57</t>
  </si>
  <si>
    <t>Success Dip Broadband : 1116 (D: 3184 VS D-7: 4300) is 25.95%.
Success Dip Prepaid : 30839 (D: 24374 VS D-7: 55213) is 55.85%.
Success Dip Simswap : 11656(D: 3909 VS D-7: 15565) is 74.89%.
Success Dip Black : 226 (D: 2853 VS D-7: 3079) is 7.34%.
Success Dip Postpaid: 97 (D: 241 VS D-7: 338) is 28.70%.</t>
  </si>
  <si>
    <t>Postpaid New Customer Acquisition Journey</t>
  </si>
  <si>
    <t>eCAF, Ecom</t>
  </si>
  <si>
    <t>INC14279146</t>
  </si>
  <si>
    <t>Postpaid acquisition was impacted in eCAF as orders were getting failed on NMS.</t>
  </si>
  <si>
    <t xml:space="preserve"> In this issue, eCAF was observing failure from NMS end due to which acquisition was impacted for postpaid. During the troubleshooting, it was identified that there was a query running on catalogue production db. To mitigate DBA team initially killed the query but no improvement was observed. Later it was identified that CPU utilization was high on TUX So, ESB team supported to route the Tux service pointing from B2C to B2B Tux along with that NMS team cleaned up the old inventory, post which improvement was observed and issue got resolved.</t>
  </si>
  <si>
    <t>INC14262067
INC14262423</t>
  </si>
  <si>
    <t>Direct:
1)High CPU utilization on 10.14.113.20
Alert time : 2025.05.14 10:17
Event no :INC14262067
Symptom:
1)Hostname:ESBWeblogic_CRITICAL_API_FAILIURE_ALERT
severity: Average
APINAME:/services/resource/resourceprovisioning/allocateandinstallresource/resourcestatus/v2
Alert time : 2025.05.14 10:41
Event no : INC14262423</t>
  </si>
  <si>
    <t>5/14/2025 10:17
5/14/2025 10:41</t>
  </si>
  <si>
    <t>5/14/2025 13:52
Open</t>
  </si>
  <si>
    <t>Success Dip for Postpaid : 75 (D: 180 VS D-7:255)</t>
  </si>
  <si>
    <t>Broadband Customer Experience Journey, Nova App Experience Journey, Black Customer Experience Journey, DTH Customer Experience Journey, Postpaid Customer Experience Journey</t>
  </si>
  <si>
    <t>Nova App, Inform, Service Portal</t>
  </si>
  <si>
    <t>INC14275244</t>
  </si>
  <si>
    <t>CC Advisors &amp; Users were unable to open Bill PDF in Service Portal &amp; Nova App respectively.</t>
  </si>
  <si>
    <t>Issue resurfaced, During the troubleshooting, backup team identified that one archive backup was running that might be the reason to re-trigger this issue. So, backup team stopped that, post which IO size got reduced and improvement observed. Later it was identified that there was a hardware fault &amp; case has been logged for hardware replacement.</t>
  </si>
  <si>
    <t>Digital Experience B2C, Postpaid</t>
  </si>
  <si>
    <t>P1
P4
P4
P4
P2
P3
P3</t>
  </si>
  <si>
    <t>INC14269570
Alert93307981,Alert93307982
Alert93306971,Alert93306972
INC14269375
INC14269371,INC14269496
INC14269409
INC14269580</t>
  </si>
  <si>
    <t>1)The database status is UNKNOWN on N1PLPDINFM046 10.13.63.234
Alert time:2025-05-14 20:05 Hrs
Incident:INC14269570
2)Incident (ORA 29770) detected in /u02/app/oracle/diag/rdbms/biffhumdb/BIFFHUMDB1/alert/log.xml at time/line number: 
Alert time:2025-05-14 20:11 Hrs
Incident:Alert93307981,Alert93307982
Symptom:
1)CX-billing |5xx | https://inform.india.novatel.internal/inform/v1/customerBill/{invoiceNumber} Failure Perc : 10 %
Alert time:2025-05-14 19:42 Hrs
Incident:Alert93306971,Alert93306972
2)5XXFailurein10Minutes| cx_billing | /bills/pdf||5XX | /bills/pdf 
Alert time:2025-05-14 19:43 Hrs
Incident:INC14269375
3)sp_multitenant_api_failure
a)URL:http://internal-kong.india.novatel.internal/cx/billing/bills/insights/v2
 b)URL:http://esbhb.novaworld.in:8001/services/customer/managecustomerbilling/customerbilldispatchinfo/v4
Alert time:2025-05-14 19:46 Hrs
Incident:INC14269371,INC14269496
4)InForm-PlatForm-Service API Response time /customerBill/BM2526I000046859
Alert time:2025-05-14 19:46 Hrs
Incident:INC14269409
5)Hostname:postpaid_inform_url|Trigger Value: 503
Alert time:2025-05-14 20:04 Hrs
Incident:INC14269580</t>
  </si>
  <si>
    <t>5/14/2025 20:05
 5/14/2025 20:11
5/14/2025 19:42
5/14/2025 19:43 
5/14/2025 19:44
 5/14/2025 19:47
5/14/2025 20:04</t>
  </si>
  <si>
    <t xml:space="preserve">5/14/2025 22:55
 Open 
 5/14/2025  21:52
5/14/2025 20:00
5/14/2025 20:23
 Open
  5/14/2025 20:27
</t>
  </si>
  <si>
    <t>Impacted count : 22101</t>
  </si>
  <si>
    <t>Issue resurfaced, During the troubleshooting, backup team identified that one archive backup was running that might be the reason to re-trigger this issue. So, backup team stopped that, post which IO size got reduced and improvement observed. The exact cause of the issue still remains unknown for which concern teams are aligned.</t>
  </si>
  <si>
    <t>iFactory</t>
  </si>
  <si>
    <t>INC14276719</t>
  </si>
  <si>
    <t>D2I eCOM Broadband installation Report was impacted.</t>
  </si>
  <si>
    <t>In this issue the D2I reports for broadband were impacted. During troubleshooting it was identified that there was lag on eCOM db 10.92.219.223. As a workaround, app team changed the DB pointing from DR to golden gate, post which issue got mitigated.</t>
  </si>
  <si>
    <t>INC14273504/INC14273506</t>
  </si>
  <si>
    <t>Symptoms:
1)Multiple Agent has stopped monitoring
Alert time:2025-05-15 00:45
Event No:INC14273504/INC14273506</t>
  </si>
  <si>
    <t>Hourly reports impacted for 8 Hours</t>
  </si>
  <si>
    <t>Postpaid New Customer Acquisition Journey, Postpaid Customer Experience Journey</t>
  </si>
  <si>
    <t>BTFLY_CRM, eCAF, eCAF_Sim Swap, Service Portal</t>
  </si>
  <si>
    <t>INC14288125</t>
  </si>
  <si>
    <t>CC advisors were facing issue with login in BTFLY_CRM along with COCP, Postpaid, Sim Swap, Pre to Post Acquisition were impacted in eCAF.</t>
  </si>
  <si>
    <t>During the troubleshooting, it was obsered that there was issue in one of the BTFLY_CRM DB node (10.14.70.77) which impacted the services as Reco was not seen on that particular DB node. To resolve this issue the impacted node was isolated by application dba team, along with that  blocking session was cleared, post which issue got resolved.</t>
  </si>
  <si>
    <t>Digital Acquisition, Postpaid, Digital Experience B2C</t>
  </si>
  <si>
    <t>P3
P3
P3
P1
P3
P4</t>
  </si>
  <si>
    <t xml:space="preserve"> INC14282412
INC14282614
Alert93354562,INC14282795
Alert93354741/Alert93354886
INC14282737
INC14282809</t>
  </si>
  <si>
    <t>Symtom:
1)BTFLY_CRM_LongRunning_RCR_New Process Name32 BTFLY Family
Host Name : Siebel_Long_Rcr
Severity-3 Current Value : 267.6
Alert time : 2025-05-15 15:26
Event No : INC14282412
2)Multiple BTFLY11g Async Process: CreateChangeOrder_V2.createChangeOrder
Host Name : ESB_Failure_Percent_Process_wise
PROCESS : CreateChangeOrder_V2.createChangeOrder
PROCESS : ProvisionServiceOrder_V2.provisionServiceOrderCallback 
Alert time :2025-05-15 15:43
Event No : INC14282614
3) sp_multitenant_api_failure
URL:http://esbmob.novaworld.in:8015/services/operations/customerrelationshipmanagement/problemhandling/customer/problemreport/v3
Alert time : 2025-05-15 15:43
Event No :Alert93354562,INC14282795
4) Multiple app alerts triggered 
A)ECAF_POSTPAID-Postpaid New Customer Acquisition-RS_/esbmob.novaworld.in:8015
b) ECAF-Prepaid New Order Simswap Journey-ECAF_SIMSWAP-RS_POS 10.5.221.141:8005
C)ECAF_COCP-Postpaid New Customer Acquisition-RS_BTFLYSBLLB1.INDIA.novatel.internal:7777
Alert time:2025-05-15 15:46
Incident: Alert93354741/Alert93354886
5)Multiple Api failure at ESB end
A)API : /services/customer/orderhandling/issuecustomerorder/createchangeorder/v2
B)API : /services/customer/orderhandling/issuecustomerorder/createchangeorder/v2
C)APINAME:/services/customer/synccustomerprofile/siebel/telemedia/v2
Alert time : 2025-05-15 15:48
Event No : INC14282737
6)Channel-Backend-Alerts-Complaints
5XX Failure in10Minutes| cx_complaints | /v1/ftr||5XX | /v1/ftr |
 Failure Perc : 32.272272272272275 % || Failure count : 952
Alert time : 2025-05-15 15:49
Event No :INC14282809</t>
  </si>
  <si>
    <t>5/15/2025  15:26
5/15/2025  15:43
5/15/2025  15:43
5/15/2025  15:46
5/15/2025  15:48
5/15/2025  15:49</t>
  </si>
  <si>
    <t>5/15/2025  16:41
5/15/2025  16:53
5/15/2025  16:14
5/15/2025  15:51
5/15/2025  16:18
5/15/2025  16:14</t>
  </si>
  <si>
    <t xml:space="preserve">COCP: (DvsD-7:41-69) 28 orders 
Postpaid: (DvsD-7:402-613) 211 orders
SimSwap: (DvsD-7:2351-4456) 2105 orders
Pre to Post: (DvsD-7:73-132) 59 orders
Service Portal: Total Count: 21,616, Failure Count:2,491ie 11% Failure. </t>
  </si>
  <si>
    <t>INC14314849</t>
  </si>
  <si>
    <t>Commercial broadband acquisition was impacted.</t>
  </si>
  <si>
    <t>In this issue, request was not landing to Cleartax as IP was not whitelisted. To mitigate the issue, Proxy team enabled the proxy, post which the issue was successfully resolved.</t>
  </si>
  <si>
    <t>Success Dip: (D vs D-7 : 31 vs 185 : 154) is 83.24%.</t>
  </si>
  <si>
    <t>NFB Customer Experience Journey</t>
  </si>
  <si>
    <t>APB_SBA, APB_IVR, APB_AEPS, APB_Transitcards, APB_PAYMENTS_UPI, APB_Payments Hub, APB_IMPS, APB_Payments_DMT, APB_Retailer App, APB_Tez Portal, APB_SNORKEL</t>
  </si>
  <si>
    <t>INC0480439</t>
  </si>
  <si>
    <t>Multiple NFB applications were where observed a high response time from CBS.</t>
  </si>
  <si>
    <t>In this issue, multiple applications were observed high response from the CBS system. The database team identified a blocking session (ID 566, “A014”) on the CBS database, which was contributing to the issue. Additionally, high CPU utilization was detected on CBS nodes 10.241.240.78 and 10.241.240.90. To resolve the issue, the database team terminated the blocking session, and the CBS team restarted the JVMs on the affected nodes. These actions successfully restored normal operation, resolving the high response time issue for the NFB applications.</t>
  </si>
  <si>
    <t>For NFB-Payments-DMT
Partner Success Transactions Dip Comparison- {D vs (D-7)}= 17764-19829=2065 (10% dip in Success Count)
Retailer Success Transactions Dip Comparison- {D vs (D-7)}= 3514-4731=1217 (26% dip in Success Count)
For NFB-IMPS 
Outward Success Transactions Dip Comparison- {D vs (D-7)}= 23262-28022=4760 (17% dip in Success Count)
Inward Success Transactions Dip Comparison- {D vs (D-7)}= 11872-21168=9296 (44% dip in Success Count)
For NFB-AePS
CW - (mitra) Total Transactions Dip Comparison- {D vs (D-7)}= 2,253-23,314= 21061 (90.37% decrease in transactions.)
CW - Partner Success Dip Comparison- {D vs (D-7)}= Total-Success=17,847-5,518= 12329 (30.92%)
For NFB-Payments Hub Total Transactions Dip Comparison- {D vs (D-7)}= 615609-1134835= 519,226 (45.76% decrease.)
For NFB-Transitcards Total Transactions Dip Comparison- {D vs (D-7)}= 12401-16443= 4042 (The percentage dip in total transactions is approximately 24.58%.)
For NFB-Retailer App Success Login Percentage: 53,804 (Total count)-50,363 (Success count)=3,441 (Failure count) (Success login percentage: 93.61%)
For Tez Portal Success Login Percentage:- 30,506 (Total count)-30,329 (Successk count)=177 (Failure count) (Success login percentage is 99.42%.)
For NFB-PAYMENTS-UPI Total Transactions Dip Comparison- {D vs (D-7)}= 2380869-3106308= 725,439 (23.36%)
For NFB-SNORKEL Total Hit Comparison: {D vs (D-7)}= 482464-1268130= 785666 (The percentage change is approximately -61.97%, indicating a decrease of about 61.97% from D-7 to D.) 
For NFB-SBA Account Creation Dip Comparison: {D vs (D-7)}= 12-945= 933 (98.73%)
For NFB-IVR is intermittently impacted.</t>
  </si>
  <si>
    <t>Postpaid New Customer Acquisition-MNP Journey, Postpaid Change Order Journey, Postpaid New Customer Acquisition Journey, Postpaid Customer Experience Journey (Activation/Install)</t>
  </si>
  <si>
    <t>BTFLY_ATOM, Mediation_IL</t>
  </si>
  <si>
    <t>INC14291080</t>
  </si>
  <si>
    <t>M2M new registration, Change and MNP orders were stuck at BTFLY_ATOM.</t>
  </si>
  <si>
    <t>During the troubleshoot, it was identified that the issue was triggered by an activity (CHG0177147) at ESB end. To resolve this issue, ESB team manually rolled back the config file change, post which improvement observed and issue stands resolved.</t>
  </si>
  <si>
    <t>Postpaid, Prepaid</t>
  </si>
  <si>
    <t>P2,P2</t>
  </si>
  <si>
    <t>INC14289962 ,
INC14289957</t>
  </si>
  <si>
    <t>Symptoms:
1)Overall In-Progress Pendency seen more than 1000
Trigger Value: 22253
Alert time:  2025-05-16 00:46 Hrs
Incident:INC14289962 ,INC14289957</t>
  </si>
  <si>
    <t>2025-05-16 00:46:00
2025-05-16 00:46:15</t>
  </si>
  <si>
    <t>2025-05-16 02:16:15
2025-05-16 02:16:05</t>
  </si>
  <si>
    <t>Change order (Modify) - 362
ATOM Change Order - 327
Change of bill plan - 11
Involuntary Remove OGB (Modify) - 21
M2M New registration - 11
MNP pre to post - 73
Voluntary (Suspend) - 92</t>
  </si>
  <si>
    <t>CHG0177147</t>
  </si>
  <si>
    <t>B2B SMS Journey</t>
  </si>
  <si>
    <t>SkyVault</t>
  </si>
  <si>
    <t>INC14280745</t>
  </si>
  <si>
    <t xml:space="preserve"> Application face intermittent connection fluctuation on 2 servers causing impact on DLR deliveries for North Hub</t>
  </si>
  <si>
    <t xml:space="preserve"> In this issue, it was identified that 2 servers (10.222.197.201 and 10.222.197.202) were facing connection fluctuations, but during the troubleshooting, it was confirmed that the connection became stable automatically and the services restored. Further, application team confirmed that they employ more servers for their services and the issue is mitigated as of now and concerned teams are involved for the permanent fix of this issue.</t>
  </si>
  <si>
    <t>INC14294249</t>
  </si>
  <si>
    <t>Symptom:
1)VM experiencing CPU contention| n1pbbl-expa0768/10.222.197.201
Alert time:2025-05-16 10:06
Incident :INC14294249</t>
  </si>
  <si>
    <t>Broadband New Customer Acquisition Journey, Black Acquisition Journey, Postpaid New Customer Acquisition Journey, Prepaid New Order Sim Swap Journey</t>
  </si>
  <si>
    <t>NovaWorks, eCAF, eCAF_Sim Swap, eCAF_eDSL</t>
  </si>
  <si>
    <t>INC14303862</t>
  </si>
  <si>
    <t>QR code and payment link were not generating, which impacted Sim-Swap, Black, and Broadband new customer acquisition.</t>
  </si>
  <si>
    <t>In this issue, eCAF was experiencing a read timeout error from the PayDigi URL due to which users were unable to pay from QR code and payment link was not getting generated for Sim-Swap, Black, Broadband. During troubleshooting, DPS team identified that the buffer cache of aerospike was full and was not accepting read and write operations, which triggered the issue. To resolve this, the DPS team performed an OS memory clearance, after which the issue was resolved.</t>
  </si>
  <si>
    <t>P1
P2
P1</t>
  </si>
  <si>
    <t>INC14295762
INC14295774
TG Alert</t>
  </si>
  <si>
    <t>Symptoms
1) Hostname: DPS_PG_Service
Trigger: High 500 Failure for INITIATE-UPI-PAYMENT
Alert time: 2025-05-16 12:03
Event No : INC14295762
2)Hostname:Payments-C2_Aerospike_10.223.166.54/52
Trigger: Aerospike_Service_10.223.166.54/52_XDR_Lag_Alert
Alert time :2025-05-16 12:08
Event No : INC14295774
3) Multiple API Failure 
Module: pg_service_web_access
API:/pg-service/v1/payment/initiate/qr-code
API:/pg-service/v1/wallet/all/profile/BBPS_V2
API:/pg-service/v1/wallet/all/profile/FIXED_LINE
API:/pg-service/v1/wallet/all/profile/PREPAID
API:/pg-service/v1/payment/initiate/upi
API:/pg-service/v1/payment/initiate
Alert time :2025-05-16 12:10
Event No : TG Alert</t>
  </si>
  <si>
    <t>5/16/2025 12:03
5/16/2025 12:08
5/16/2025 12:10</t>
  </si>
  <si>
    <t>5/16/2025 12:35
5/16/2025 12:18
5/16/2025 13:00</t>
  </si>
  <si>
    <t>Sim-Swap Success Dip : (D vs D-7 : 2329 vs 4314: 1985) is  46%.
Broadband Success Dip : (D vs D-7 : 949 vs 912: 37) is 4%.
Black Success Dip : (D vs D-7: 220 vs 516 : 296) is 57 %.</t>
  </si>
  <si>
    <t>Postpaid Customer Experience Journey (Activation/Install)</t>
  </si>
  <si>
    <t>INC14302073</t>
  </si>
  <si>
    <t>Postpaid (Dunning, MNP, M2M orders) orders was impacted in BTFLY_ATOM.</t>
  </si>
  <si>
    <t>In this issue, BTFLY_Atom postpaid orders were impacted due to query slowness on the S_ORG_EXT table, where each query took 10–30 seconds, causing a backlog in ESB. The issue was restored after coordinated efforts between the Application and ESB teams, who confirmed DB health and focused on improving query performance. Backlog clearance was carried out in a controlled manner. To manage inflow, bulk processing priority was temporarily reduced. The system is now stable, and the night team will handle stat gathering and continue monitoring performance.</t>
  </si>
  <si>
    <t>INC14297499</t>
  </si>
  <si>
    <t>Symptom:
1)BTFLY_ATOM_Task Wise In-Progress seen more than 2000
Sev_2,Current Value : 2857.0
Alert time:2025-05-16 13:49 Hrs
Incident :INC14297499</t>
  </si>
  <si>
    <t xml:space="preserve">No impact, only delay in Order processing </t>
  </si>
  <si>
    <t>DTH Change Order Journey, DTH Customer Experience Journey (Activation/Install)</t>
  </si>
  <si>
    <t>DTH Vector, DTH_OE, DTH_OM</t>
  </si>
  <si>
    <t>INC14300629</t>
  </si>
  <si>
    <t>DTH change and activation orders were impacted.</t>
  </si>
  <si>
    <t>In this issue, application team observed that they were facing a connection issue at ESB end, causing their Abinitio jobs to fail and increasing pendency count for various orders at DTH_OE and DTH_OM. Concerned teams were troubleshooting the issue, however the connection became stable automatically without any technical intervention and the issue stands resolved. Application team has shared their logs with ESB team for further analysis.</t>
  </si>
  <si>
    <t>Tg alert
Tg alert
Alert93414505,Alert93414493</t>
  </si>
  <si>
    <t>Symptom:
1)Host Name : DTH_OEService_RT_noc
Sev_3,Current Value : 56.09
Alert time:2025.05.16 15:15 Hrs
Incident :Tg alert
2)Multiple NovaTelDTH AbInitio Job Alert
VECTOR AbInitio job jmsRouterChangeOrder.
rec not running on the server 10.13.61.118
Alert time:2025-05-16 15:27 Hrs
Incident :Tg alert 
3)Pendency observed on milestone CAS_PROVISIONED_BARRED_IN_CAS (2210.0)
Host Name : MilestoneWisePendencyAlert
Sev_3,Current Value : 207.0
Alert time:2025-05-16 15:36 Hrs
Incident :Alert93414505,Alert93414493</t>
  </si>
  <si>
    <t>2025.05.16 15:15:55
2025.05.16 15:27:00
2025-05-16 15:36:10"</t>
  </si>
  <si>
    <t>2025.05.16 15:25:55
2025.05.16 15:32:00
5/16/2025 15:48</t>
  </si>
  <si>
    <t>Activation new orders pendency: Approx. 600 Change orders pendency: 1560</t>
  </si>
  <si>
    <t>INC14310063</t>
  </si>
  <si>
    <t>EDT Task closure was impacted for IPTV.</t>
  </si>
  <si>
    <t>In this issue, FEs were facing errors while closing EDT task in NovaTel works. To mitigate the impact NovaWorks team bypassed the EDT tasks at NovaWorks post which error rates decreased. For ICX api connectivity issue, network security team is connecting with TAC team for further troubleshoot.</t>
  </si>
  <si>
    <t>INC14300116 
INC14299877</t>
  </si>
  <si>
    <t>1) IPTV_EDT_journey_alerting
Sev_3,Current Value : 16.0
INSTANCE : 10.248.40.65:9070
url [https://dtinternalkong.india.novatel.internal/multi-tenant/s2s/user/rest/v1.0/scenario/execute
Alert time:2025-05-16 16:15 Hrs 
Incident :INC14300116 
2)Hostname:sp_multitenant_api_failure
severity: High,Trigger Value: 2987
URL:https://icx-server.streamnovaota.com/dmpserver/v1/devices
Alert time:2025-05-16 15:54 Hrs
Incident :INC14299877</t>
  </si>
  <si>
    <t>5/16/2025 16:15
5/16/2025 15:54</t>
  </si>
  <si>
    <t>5/16/2025 17:00
5/16/2025 16:51</t>
  </si>
  <si>
    <t>1109 orders</t>
  </si>
  <si>
    <t>DLT_UCC</t>
  </si>
  <si>
    <t>INC14301514</t>
  </si>
  <si>
    <t>Users were not able to log complaints via TRAI website on DLT application.</t>
  </si>
  <si>
    <t>In this issue, UCC_DLT was getting " Error invoking Optimus API" while connecting to Optimus link due to which users were not able to log complaints via TRAI website on DLT Application. However, upon investigation, Optimus API health was fine and nothing conclusive was identified and error was reduced automatically @17:16 Hrs</t>
  </si>
  <si>
    <t>TRAI campaign was impacted.</t>
  </si>
  <si>
    <t>APB_My Nova App, APB_Wallet, APB_UPI</t>
  </si>
  <si>
    <t>INC0482084</t>
  </si>
  <si>
    <t>Multiple NFB applications were due to traffic dip from app.novabank.com DMZ nginx.</t>
  </si>
  <si>
    <t>In this issue, multiple NFB applications were impacted and experiencing a traffic dip from the domain app.novabank.com. During the troubleshooting , the NFB-UPI team identified that they were facing a bot attack. To mitigate the attack, the Network team had applied an iRule initially on several URIs. However, the issue persisted on some NFB applications under the domain app.novabank.com. To address this, the Network team subsequently removed the iRule from one specific URI: /mobgw2/mobileswitch/api/v2/upi/txn/history. Post which improvement was observed, and the issue got resolved.</t>
  </si>
  <si>
    <t>For NFB-UPI Transactions Dip- {D vs (D-7)}= 12344-25619=13275 (52% drop in transaction)
For NFB-Wallet Creation Comparison- {D vs (D-7)}= 0-207=207 (100% drop in wallet creation)
For NFB-MyNova App Transactions Dip- {D vs (D-7)}= 118195-3644658=3526463 (96% dip in traffic)</t>
  </si>
  <si>
    <t>Postpaid Change Order Journey, Postpaid Customer Experience Journey, Postpaid Dunning Order Journey , Postpaid New Customer Acquisition-MNP Journey</t>
  </si>
  <si>
    <t>Postpaid (COCP, Dunning, MNP, M2M orders) orders were impacted in BTFLY_Atom.</t>
  </si>
  <si>
    <t>In this issue, BTFLY_Atom team reported that postpaid orders were impacted due to query slowness from ESB end, where only 1600 orders were processed in 10 min, causing a backlog in ESB. The issue was mitigated after coordinated actions taken by application and ESB teams, as they reduced the threshold for bulk orders to reduce the choke at ESB end. Further a case will be raised to Oracle regarding the assessment and improvement of the services after internal analysis.</t>
  </si>
  <si>
    <t xml:space="preserve">INC14312549
INC14312680
</t>
  </si>
  <si>
    <t>Symptom:
1)Task Wise In-Progress seen more than 3000
Host Name : BTFLY_ATOM_TASK_WISE_IN_PROGRESS_ALERT
TYPE : Siebel_in_progress
Sev_1,Current Value : 6912.0
Alert time:2025.05.17 13:49 Hrs
Incident :INC14312549
2)BTFLY ATOM Overall In-Progress Pendency seen more than 5000
Sev_1,Current Value : 11126.0
Alert time:2025-05-17 14:01 Hrs
Incident :INC14312680</t>
  </si>
  <si>
    <t>5/17/2025 13:49
5/17/2025 14:01</t>
  </si>
  <si>
    <t xml:space="preserve">   
5/17/2025 14:04
5/17/2025 14:25</t>
  </si>
  <si>
    <t>Total Orders: 16000 (Involuntary Remove-PCA : 5544 Involuntary Remove-OGB : 3757 New Registration: 3434 Change Order: 1773)</t>
  </si>
  <si>
    <t xml:space="preserve">Slowness was observed in order processing for postpaid orders(All types) in BTFLY_ATOM. </t>
  </si>
  <si>
    <t>Issue resurfaced where high response time was observed from BTFLY_CRM at ESB end. To restore, App DBA team isolated Node 5 at BTFLY_CRM DB followed by component refresh of query account was taken  post which order processing started running fine and issue got resolved. Further, for Node 5, CRM DB team has raised a case with Oracle and analysis is awaited.</t>
  </si>
  <si>
    <t>18000 orders(Approx)</t>
  </si>
  <si>
    <t>Slowness was observed in order processing for postpaid (All Types) orders in BTFLY_ATOM.</t>
  </si>
  <si>
    <t>Issue was resurfaced as high response time was observed for BTFLY_ATOM and queue was getting piled up for which Refresh was taken at BTFLY_CRM end post which precautionary service refresh was taken at ESB end for BTFLY domain, order processing started running fine and issue got resolved.</t>
  </si>
  <si>
    <t>INC14316358</t>
  </si>
  <si>
    <t>1)Hostname:BTFLY_ATOM_TASK_WISE_IN_PROGRESS_ALERT
Trigger: Task Wise In-Progress seen more than 3000
TYPE:Siebel_in_progress
Alert time:2025-05-17 19:29
Incident :INC14316358</t>
  </si>
  <si>
    <t>26k orders(Approx.)</t>
  </si>
  <si>
    <t>Nova IQ Voice Journey</t>
  </si>
  <si>
    <t>Nova IQ_Voice</t>
  </si>
  <si>
    <t xml:space="preserve">INC14348996 </t>
  </si>
  <si>
    <t>Customers were unable to download the recorded files in Nova IQ_Voice.</t>
  </si>
  <si>
    <t>In this issue, it was identified that the N1 connection endpoints were having some problems due to which the issue triggered. To mitigate this, application team routed the traffic from N1 to N2 endpoint, post which the services restored and the issue stands resolved.</t>
  </si>
  <si>
    <t>Nova IQ</t>
  </si>
  <si>
    <t>INC14335775
INC14337869/INC14337869 /Alert93579541</t>
  </si>
  <si>
    <t>Symptom:
1)Q S3 Download Failures alert
sev_2 Trigger Value: 2234
Alert time:2025-05-19 09:44Hrs(Fluctuating)
Incident :INC14335775
2)NovaTel_IQ_Voice_HA-Enterprise Customer Promotional Call Journey-Overall_Response_Time&gt;500ms_Sev-1
Alert time:2025-05-19 13:50 Hrs(Fluctuating)
Incident :INC14337869/INC14337869 /Alert93579541</t>
  </si>
  <si>
    <t>19/05/2025  09:44
19/05/2025  12:10</t>
  </si>
  <si>
    <t>19/05/2025  19:36
19/05/2025  18:38</t>
  </si>
  <si>
    <t>OTM</t>
  </si>
  <si>
    <t>INC14345932</t>
  </si>
  <si>
    <t>OTM (Oracle Transportation Management) was impacted.</t>
  </si>
  <si>
    <t xml:space="preserve">In this issue, Warehouse orders(Shipments) planning was impacted as OTM (Oracle Transportation Management) was down due to outage at Oracle Frankfurt Datacenter (Third party).Once the outage got restored, application services got recovered. </t>
  </si>
  <si>
    <t>Warehouse order planning was impacted.</t>
  </si>
  <si>
    <t>SM Group</t>
  </si>
  <si>
    <t>Avaya, Avaya_CMS</t>
  </si>
  <si>
    <t>INC14353021</t>
  </si>
  <si>
    <t>CC advisors were automatically logged out of Avaya at multiple centers</t>
  </si>
  <si>
    <t>In this issue, CC advisors of multiple centers reported that they were automatically logged out of Avaya and CMS was not working for them. Avaya Team confirmed that west hub active link was flapped at their end. Once the link became stable, the services were restored.</t>
  </si>
  <si>
    <t>26 out of 93 agents were logged out</t>
  </si>
  <si>
    <t>Broadband Customer Experience Journey, Broadband New Customer Acquisition Journey, Nova App Experience Journey, Black Acquisition Journey</t>
  </si>
  <si>
    <t>Nova App, eCAF_eDSL, HB_CRM, Selfcare_B2C, Service Portal, OneNova</t>
  </si>
  <si>
    <t>INC14352438</t>
  </si>
  <si>
    <t xml:space="preserve">CC Advisors were unable to raise SR/FTR for Broadband and HB_CRM was not working and broadband and Black acquisition was also impacted intermittently. </t>
  </si>
  <si>
    <t>During the troubleshoot, it was identified that HB_CRM was facing a database connectivity issue due to an archive error. As a result, CC Advisors were unable to raise SR/FTR for Broadband LOB, which intermittently impacted broadband and Black acquisition, as well as plan fetching in the Nova App. To restore functionality, DBA team cleared the archive error, after which the issue was resolved.</t>
  </si>
  <si>
    <t>Alert93627324,Alert93627323
INC14351744
INC14351749
INC14351791
INC14351816
INC14351943,INC14351941,INC14351938</t>
  </si>
  <si>
    <t>Symptom:
1)Hostname:HB_CRM_EAI_Server_log_count
severity: Average
TTrigger Name : HB CRM EAI SERVER COUNT in LAST 5 min
Alert time:2025-05-20 07:03 Hrs
Incident :Alert93627324,Alert93627323
2)OneNova-Digital Customer Experience Journey-Homes-
OverallAvgResponseTime_ResponseTime is greater than 200ms_Sev-1
Alert time:2025-05-20 07:07 Hrs
Incident :INC14351744 
3)HB_ATOM-Broadband New Customer Acquisition Journey-Device-Nucleus_BT_
/routermanagement/getConnectionDetail_OverallErrorRate is greater than 5%_Sev-1
Alert time:2025-05-20 07:09 Hrs
Incident :INC14351749
4)Host Name : sp_multitenant_api_failure || 127.0.0.1
Sev_2,Current Value : 580
URL : https://hawkeye.novatel.example/QuotaTrigger/services/getRemainingBalance
Alert time:2025-05-20 07:12 Hrs
Incident :INC14351791
5)Host Name : Channel-Backend-Alerts-Complaints || {HOST.IP}
Sev_4,Current Value : 29.408318687756296
Alert time:2025-05-20 07:14 Hrs
Incident :INC14351816 
6)Multiple ESB KONG API 504 FAILURE PERCENTAGE GREATER THAN 40%
Host Name : ESBWEBLOGICKONGAPI504
Sev_4,Current Value : 91.3
APINAME : /validateserviceeligibility/v4_1/ServiceEligibility
FQDN : HBIRD
IP : 10.222.186.146
Alert time:2025-05-20 07:26 Hrs
Incident :INC14351943,INC14351941,INC14351938</t>
  </si>
  <si>
    <t>5/20/2025 7:03 
5/20/2025 7:07  
5/20/2025 7:09 
5/20/2025 7:12  
5/20/2025 7:14 
5/20/2025 7:26</t>
  </si>
  <si>
    <t>5/20/2025 7:08
5/20/2025 7:55
5/20/2025 7:26
5/20/2025 8:20
5/20/2025 7:59
5/20/2025 7:56</t>
  </si>
  <si>
    <t>Broadband Success Dip : (D vs D-7 : 1 vs 28 : 27) is 96%.
Nova App: Users were unable to fetch current plan details
Service Portal Success Dip : ( D vs D-5 : 404 vs 3066 : 2662) is 86%</t>
  </si>
  <si>
    <t xml:space="preserve"> INC14355471</t>
  </si>
  <si>
    <t xml:space="preserve"> Wifi related data was not reflecting in DARTS application.</t>
  </si>
  <si>
    <t>In this issue, it was identified that DARTS was encountering a 'max buffer exceeded' error from eCOM end, due to which it was unable to read data from the mart_com_final_view table. Initially, eCOM and DARTS team performed multiple actions, but no improvement was observed. Further, eCOM team confirmed that they performed backfilling changes in 8 tables within the DARTS system .DARTS team then reverted the backfilling changes, post which issue got resolved.</t>
  </si>
  <si>
    <t>Wifi related data not visible.</t>
  </si>
  <si>
    <t>NovaWorks, Device Nucleus, HB_ATOM, Nokia OSS, Service Portal, Nova App</t>
  </si>
  <si>
    <t>INC14361517</t>
  </si>
  <si>
    <t>Network details were not visible in Service Portal along with Broadband activation/installation orders were stuck in Nokia_OSS and NovaWorks due to issue at NSG end.</t>
  </si>
  <si>
    <t>In this issue, NSG team identified hardware failure at their end due to which multiple broadband services were impacted where CC advisors were unable to fetch network details in Service portal for broadband customers and broadband installations/activations were impacted in NovaWorks and Nokia_OSS. To mitigate this issue, NSG team replaced the faulty card in the impacted router, post which all the services got restored.</t>
  </si>
  <si>
    <t xml:space="preserve">Primary Root Cause Analysis:
• Customers and call center advisors were unable to retrieve network details via Nova App and Service Portal.
• Broadband activation and installation orders were stuck in Nokia OSS and NovaWorks platforms.
• Hardware failure identified in a network device (router) managed by the NSG team.
• A specific card within the NSG router malfunctioned.
• NSG team investigated and isolated the issue to a faulty hardware component.
• No automated alerts were raised, identification was done through manual troubleshooting.
• NSG team physically replaced the faulty card in the impacted router.
• Post-replacement, network visibility was restored and activation flows resumed normally across NovaWorks and Nokia OSS.
Please note, the detailed RCA remains pending due to required analysis from the NSG side.
</t>
  </si>
  <si>
    <t>PRB0044489</t>
  </si>
  <si>
    <t xml:space="preserve"> 6/9/2025 4:02 PM</t>
  </si>
  <si>
    <t>Digital Acquisition, Broadband, Digital Experience B2C</t>
  </si>
  <si>
    <t>INC14357992,INC14357982, INC14358042
INC14358027,INC14358025
INC14357961,INC14358045
INC14357991,INC14357990</t>
  </si>
  <si>
    <t>Direct:
1)Multiple high nokia_packet_drop on 10.10.8.10
Alert time:2025-05-20 16:20 Hrs
Incident:INC14357992,INC14357982, INC14358042
2)Multiple Port alert on 10.10.8.10
Alert time:2025-05-20 16:21 Hrs
Incident:INC14358027,INC14358025
Symptom:
1)Multiple service portal alert 
a)sp_guardian_dn_link_status_NA_failure
URL : https://hbatomdn-prod.novatel.example/routermanagement/getConnectionDetails
b)sp_multitenant_api_failure
URL : https://hbatomdn-prod.novatel.example/routermanagement/getCpeStatus
Alert time:2025-05-20 16:19 Hrs
Incident:INC14357961,INC14358045
2)HB_ATOM-Broadband New Customer Acquisition Journey-Device-Nucleus_BT_/routermanagement/getConnectedDevices_OverallErrorRate is greater than 15%_Sev-1
Alert time:2025-05-20 16:21 Hrs
Incident:INC14357991,INC14357990</t>
  </si>
  <si>
    <t>5/20/2025 16:20
5/20/2025 16:21
5/20/2025 16:19
5/20/2025 16:21</t>
  </si>
  <si>
    <t>5/20/2025 16:42
5/20/2025 16:43
5/20/2025 17:43
5/20/2025 16:41</t>
  </si>
  <si>
    <t>Service Portal: Success Dip: ( D vs D-3: 30575 vs 37494: 6920) is 18%.
2.4K broadband installations/shifting were impacted.</t>
  </si>
  <si>
    <t>Broadband Customer Experience Journey (Activation/Install), DTH Customer Experience Journey (Activation/Install)</t>
  </si>
  <si>
    <t>NovaWorks, Nokia OSS</t>
  </si>
  <si>
    <t>INC14362491</t>
  </si>
  <si>
    <t>Broadband/DTH installations were delayed intermittently.</t>
  </si>
  <si>
    <t>In this issue, NovaWorks observed high response time from DTH_CRM API-DTHSERVICES/TASKUPDATE on few transactions due to which Broadband/DTH installations were delayed intermittently. To mitigate, NovaWorks team reduced connection time out from 30 sec to 3 sec but issue still persisted. During the troubleshooting, various health checks were performed for LB, Database and application nodes but no anomalies were observed and RT came to normal @20:00Hrs. As a proactive measure, DTH_CRM team will take refresh of their component tonight @23:45 Hrs. Respective teams will reconnect tomorrow morning to monitor the same.</t>
  </si>
  <si>
    <t>INC14359116,INC14359140,INC14359141,INC14359189
INC14359470</t>
  </si>
  <si>
    <t>Symptom:
1)Multiple Appd alert for NovaTel_Work
a)NovaTel_Work-Customer Experience Journey-OverallAvgResponseTime greater than 300ms_Sev-1
b)NovaTel_Work-Customer Experience Journey-DB_OverallAvgResponseTime greater than 200ms_Sev-1
TASK_HDO-PostgreSQL-10.248.249.227-14.7
c)NovaTel_Work-Telemedia and DTH Customer Experience Journey-Honcho_Service_OverallAvgResponseTime greater than 1000ms_sev-1
d)NovaTel_Work-Telemedia Customer Experience Journey-BT_/zerotouch/configure_Overall Error rate greater than 50%_Sev-1
Alert time:2025-05-20 16:19 Hrs (fluctuating)
Incident:INC14359116,INC14359140,INC14359141,INC14359189
2)NovaTel_Works alerts for Broad Band Journey|Trigger Value: 589
Alert time:2025-05-20 17:51 Hrs
Incident:INC14359470</t>
  </si>
  <si>
    <t>5/20/2025 17:47
5/20/2025 17:51</t>
  </si>
  <si>
    <t>5/20/2025 18:02
Open</t>
  </si>
  <si>
    <t>Nokia_OSS: 67 Orders</t>
  </si>
  <si>
    <t>APB_Payment_UPI, APB_SFMS</t>
  </si>
  <si>
    <t>INC0485868</t>
  </si>
  <si>
    <t>NFB-SFMS and NFB-PAYMENTS-UPI applications experienced disruptions due to a CBS change activity impacting transaction processing.</t>
  </si>
  <si>
    <t>In this issue, NFB-SFMS and NFB-PAYMENTS-UPI application teams reported errors originating from the Core Banking System (CBS) end. The NFB-CBS team confirmed that the issue stemmed from a planned activity under change number CHG0004474, which involved a fix to set replycode 0 for minor account transactions and performance improvements for NEFT processing. Following the completion of the deployment and the restart of all CBS JVMs, the issue was resolved.</t>
  </si>
  <si>
    <t>P1
P4
P4
P4</t>
  </si>
  <si>
    <t xml:space="preserve">Alert93661154
INC14363081,INC14363080
INC14363186,Alert93663839
INC14363135,INC14363136,INC14363134,INC14363128
</t>
  </si>
  <si>
    <t>1)APBIT App-Digital Transaction Journey-OverallResponsetime&gt;1000ms_Sev-1
Alert time:2025-05-20 21:28Hrs
Incident:Alert93661154
2)High 429 Failure for PAYMENT-REQ-ID||High 429 Failure for PAYMENT-REQ-ID
Host Name : DPS_APB_SERVICE 
Sev-4 Current Value : 2287
Alert time:2025-05-20 22:24Hrs
Incident:INC14363081,INC14363080
3)High 500 Failure for LOAD-CASH-PAYMENT-MODES-V6
Host Name : DPS_Payment_Options_Service
Sev-4 Current Value : 43
Alert time:2025-05-20 22:28Hrs
Incident:INC14363186,Alert93663839
4)High 500 Failure for PAYMENT-REQ-ID||High 500 Failure for PAYMENT-REQ-ID
Host Name : DPS_APB_SERVICE 
Sev-4 Current Value : 554
Alert time:2025-05-20 22:29Hrs
Incident:INC14363135,INC14363136,INC14363134,INC14363128</t>
  </si>
  <si>
    <t>5/20/2025 21:28
5/20/2025 22:24
5/20/2025 22:28
5/20/2025 22:29</t>
  </si>
  <si>
    <t>5/20/2025 21:36
5/20/2025 22:44
5/20/2025 22:58
5/20/2025 22:47</t>
  </si>
  <si>
    <t>For NFB-SFMS, the NEFT and RTGS use case was completely down during the impacted window. (Transactions will be processed as per RBI guidelines.) For NFB-PAYMENTS-UPI Transaction Comparisons: Success Count: 475164 (Successful Transactions: 77.43%) Failed Count: 138523 (Failed Transactions: 22.57%)</t>
  </si>
  <si>
    <t>CHG0004474</t>
  </si>
  <si>
    <t>APB_CBS, APB_SBA, APB_CKYC, APB_Wallet, APB_Retailer App, APB_Tez Portal, APB_Ranger, APB_Payment_UPI, APB_IMPS, APB_Payment_DMT, APB_My Nova App, APB_Growth, APB_BBPS_COU, APB_IBS, APB_eCOM, APB_Fast Tag, APB_NETC, APB_Payments Hub, APB_Transit Cards, APB_AuthHub, APB_CRM, APB_IVR</t>
  </si>
  <si>
    <t>INC0486146</t>
  </si>
  <si>
    <t>Multiple NFB application teams experienced service degradations due to a database issue.</t>
  </si>
  <si>
    <t>In this issue, Multiple NFB application teams reported service degradations in their services. The NFB-DBA team received alerts indicating high memory utilization across multiple databases, triggering automatic restarts of critical databases (IP addresses: 10.241.122.31/32/33/40/45/46). These restarts caused temporary outages. Following the database restarts, the databases were restored to operational status. Subsequently, the respective TechOps teams restarted their services, resolving the issue.</t>
  </si>
  <si>
    <t>INC14363081,INC14363080
INC14363186,Alert93663839
INC14363135,INC14363136,INC14363134,INC14363128</t>
  </si>
  <si>
    <t>5/20/2025 21:34
5/20/2025 22:44
5/20/2025 22:58
5/20/2025 22:47</t>
  </si>
  <si>
    <t>For NFB-CBS: There was a complete blackout from 23:48 to 00:05, duration = 17 minutes. For NFB-SBA Account Creation Dip: {D vs (D-7)}= 7-37= 30 (81.08%.) For NFB-CKYC Account Creation Dip: {D vs (D-7)}= 1-182= 181 (99.45%) For NFB-Wallet Creation Dip: {D vs (D-7)}= 81-301= 220 (73.09%.) For NFB-Retailer App Hits Comparison= Total hits:-8,566, Success hits:-7,149 (Success Hits Percentage: 83.46%), Failure hits:-1,417 (Failure Hits Percentage: 16.54%) For NFB-Tez Portal Hits Comparison= Total hits:-1,371, success hits:-1,092 (Success Hits: 79.65%), Failure hits:-279 (Failure Hits: 20.35%) For NFB-Ranger App/Promoter App Hits Comparison: Total hits:-631, success hits:-582 (Success Percentage: 92.23%), Failure hits:-49 (Failure Percentage: 7.77%) For NFB-PAYMENTS-UPI Transaction Comparisons: Total Transactions: 348834 Success Count: 287386 (Success Percentage: 82.39%) Failed Count: 61448 (Failed Percentage: 17.61%) For NFB-IMPS Transaction Comparisons: Inward Use Case Success Transactions Dip Comparison:- {D vs (D-7)}= 2377-29959= 27582 (92.04% dip in Success Count as compared D-7) Outward Use Case Success Transactions Dip Comparison:- {D vs (D-7)}= 116-1060= 944 (89.06% dip in Success Count as compared D-7) For NFB-Payments-DMT Partner Success Transactions Dip Comparison- {D vs (D-7)}= 60-318= 258 (81.13% dip in Success Count as compared D-7) Retailer Success Transactions Dip Comparison- {D vs (D-7)}= 28-74= 46 (62.16% dip in Success Count as compared D-7) For NFB-My Nova App Succes Hits Dips Comparison: {D vs (D-7)}= 20098-77909= 57811 (decrease of 74.21% in success hits from D-7 to D.) For NFB-Growth_communication Total Hits Dips Comparison: {D vs (D-7)}= 462660-1563399= 1100739 (70.4%) For NFB-BBPS-COU (Customer Operating Units) Transactions Comparison= Total Transactions: 46,822, Successful Transactions: 41,473 (Successful Transactions: 88.58%) Failure Transaction: 5,349 (Failed Transactions: 11.42%) For NFB-IBS Hits Comparison= Success Hits: 44684 (Success Hits: 8.49%) Failure Hits: 481527 (Failure Hits: 91.51%) For NFB-ECOM: TBC For NFB-FASTag/NETC: TBC For NFB-Payments Hub: TBC For NFB-Transitcards: TBC For NFB-AuthHub: TBC For NFB-CRM and NFB-IVR intermittently services was impacted during the outage window.</t>
  </si>
  <si>
    <t>INC14367371</t>
  </si>
  <si>
    <t>Postpaid BCV reports delivery to business was delayed</t>
  </si>
  <si>
    <t>In this issue, Storage team observed that the BCV process is delayed as the IP (10.1.7.54) was assigned to a duplicate connection on other server. To resolve this, Network team broke the duplicate connection post backtracking the address for correct server, post which the services restored and the issue stands resolved.</t>
  </si>
  <si>
    <t>DRCU49 to DRCU54 were not connected.</t>
  </si>
  <si>
    <t xml:space="preserve"> INC14370827 </t>
  </si>
  <si>
    <t>Slowness is being observed in CU 29 due to which BIF process is impacted in BTFLY _Billing.</t>
  </si>
  <si>
    <t>During the troubleshoot, it was identified that slowness was observed in CU29 which was impacting BIF process for BTFLY_Billing. Stats gathering specifically for CDR data was completed by Accenture DBA team on recommendation by Application team, later DBA team also kill some BIF session which helped in clearing the pendency. BIF process restarted post which Pendency got cleared.</t>
  </si>
  <si>
    <t>INC14370539</t>
  </si>
  <si>
    <t>Symptom:
1)High I/o percentage in last 10 min
Host Name : io_wait_cu29
Current Value : 7.43
Alert time : 2025.05.21 10:10 hrs (fluctuating)
Event no : INC14370539</t>
  </si>
  <si>
    <t xml:space="preserve">BIF process pendency is 52,500.  </t>
  </si>
  <si>
    <t>INC14377288</t>
  </si>
  <si>
    <t>Field Engineers were not able to close SR in NovaWorks</t>
  </si>
  <si>
    <t>In this issue, Field Engineers were unable to close the Service Request (SR) in the NovaWorks application. To resolve the issue, the NovaWorks team retrieved the relevant logs and utilized an OTP-based workaround to close the SR. The closure was successful on their end, and a success response was also received from the ESB. The issue has been resolved.</t>
  </si>
  <si>
    <t>SR TAT breached</t>
  </si>
  <si>
    <t>INC0488194</t>
  </si>
  <si>
    <t xml:space="preserve">NFB-PAYMENTS-UPI experienced a sudden traffic surge due to bot attacks, overwhelming system capacity. </t>
  </si>
  <si>
    <t>In this issue, NFB-PAYMENTS-UPI application encountered a sudden traffic surge due to bot attacks, exceeding system capacity and causing performance issues. Hence to resolve the issue, the NFB-PAYMENTS-UPI team executed an emergency change (CHG0004626), with the help of DevOps Team. Post-implementation, the application is being closely monitored to verify the effectiveness of the change and ensure operational continuity.</t>
  </si>
  <si>
    <t xml:space="preserve">A bot attack has significantly increased application traffic, with no direct financial impact observed. </t>
  </si>
  <si>
    <t xml:space="preserve">INC14388457 </t>
  </si>
  <si>
    <t>CC Advisors were unable to raise FTR for Prepaid.</t>
  </si>
  <si>
    <t xml:space="preserve">During the troubleshooting, it was identified that the issue triggered due to the change (CHG0177635) deployed last night at Service Portal end. To mitigate the issue Service Portal Dev team rolled back the change. Post which users have done hard relogin and issue got resolved. </t>
  </si>
  <si>
    <t>INC14381662</t>
  </si>
  <si>
    <t>Symptom:
1)5XXFailurein10Minutes| cx_complaints | /v1/ftr||5XX | /v1/ftr
Failure count : 431
Alert time : 2025.05.22 05:49 Hrs  (fluctuating)
Event no : INC14381662</t>
  </si>
  <si>
    <t>Success Hits Dip: (D vs D-3: 8739-8062= 677) is 8 % dip.</t>
  </si>
  <si>
    <t>CHG0177635</t>
  </si>
  <si>
    <t>INC14385241</t>
  </si>
  <si>
    <t xml:space="preserve"> Black acquisition was impacted intermittently.</t>
  </si>
  <si>
    <t>During the investigation, it was identified that OneNova was getting timeouts from the DTH_OE Catalogue API, resulting in Black acquisition being impacted intermittently. To restore this, DTH_OE team performed a node-by-node refresh of the N1 WebLogic server, followed by a 50-50 N1-N2 traffic split on DTH_OE implemented by the Network team, after which the issue was resolved.</t>
  </si>
  <si>
    <t>INC14383622</t>
  </si>
  <si>
    <t>Symptom:
1)high failure in last 15 minutes
OneNovaTel_GCPGCB_Failure
API_NAME : GET CATALOG BUNDLES
FAILURE_COUNT : 834
Alert time : 2025.05.22 09:10 hrs (Fluctuating)
Event no : INC14383622</t>
  </si>
  <si>
    <t>Black Success dip (D vs D-7: 1524 vs 1616= 92 is 5%)</t>
  </si>
  <si>
    <t>DTH Customer Experience Journey, Broadband Customer Experience Journey, Postpaid Customer Experience Journey, Black Customer Experience Journey, Prepaid Customer Experience Journey</t>
  </si>
  <si>
    <t>INC14391211</t>
  </si>
  <si>
    <t>CC advisors were unable to raise SR in service portal.</t>
  </si>
  <si>
    <t>In this issue, where SR creation was impacted, It was observed that due to golden gate data loading activity on DB the FRA was getting full on one node(N1PLPDCIP0002 10.14.109.36) which triggered the issue. To mitigate the issue DB team moved the services to another DB node, post which issue got resolved.</t>
  </si>
  <si>
    <t>INC14387417
INC14386968
INC14387639,INC14387686,INC14387827,INC14387877</t>
  </si>
  <si>
    <t>Direct:
1)The value of Fast Recovery Area % Used for +FRA is 93
Alert Time : 2025.05.22 13:59
Incident:-INC14387417
Symptoms:
1)Create Case v2 Failure for TELEMEDIA is giving
Alert Time : 2025.05.22 13:26 
Incident:-INC14386968
2)Multiple sp_multitenant_audit_raiseSRViaCase_latency_failure
a)https://casemgmt.india.novatel.internal/troubleticket
b) https://casemgmt.india.novatel.internal/troubleticket
c) /guardian/api/v1/user/custom/raiseSRViaCase
Alert Time : 2025.05.22 14:09
Incident:-INC14387639,INC14387686,INC14387827,INC14387877</t>
  </si>
  <si>
    <t>5/22/2025 14:01
5/22/2025 13:26
5/22/2025 14:20</t>
  </si>
  <si>
    <t>Open
5/22/2025 14:10
5/22/2025 14:52</t>
  </si>
  <si>
    <t>583 SR failure</t>
  </si>
  <si>
    <t>Broadband Payment Posting Journey, Postpaid Payment Posting Journey</t>
  </si>
  <si>
    <t>INC14393958</t>
  </si>
  <si>
    <t>Postpaid and Broadband payment posting impacted intermittently at CU28, 29 and 30 on FX6.0.</t>
  </si>
  <si>
    <t>During the investigation, Intermittently issue was observed with CU28, 29 and 30 which impacted payment posting for postpaid and broadband orders. To resolve this issue, DBA team optimized the query plan and Backup team stopped the incremental backup for CU25,CU30,CU27,CU20 and CU28, post which issue got resolved.</t>
  </si>
  <si>
    <t>P1
P1
P1
P1
P1</t>
  </si>
  <si>
    <t>INC14392269 
INC14392549
INC14392557
Tg alert
INC14392994 / INC14392993</t>
  </si>
  <si>
    <t xml:space="preserve">Direct 
1)Hostname: io_wait_cu29
Trigger: High I/o percentage in last 10 min
Alert time:2025-05-22 20:41 Hrs
Event No:INC14392269 
2)Hostname: io_wait_cu28
Trigger: High I/o percentage in last 10 min
Alert time:2025-05-22 21:10 Hrs
Event No:INC14392549
3)Hostname: io_wait_cu30
Trigger: High I/o percentage in last 10 min
Alert time:2025-05-22 21:10 Hrs
Event No:INC14392557
Symptom:
1)Multiple : BSL Billing Acc Details API FX DB High Response
Business Group : PostPaid_Telemedia_All_ALert
DB: PDK6CU29/FXPDCU18/PDK6CU27/PDK6CU28/PDK6CU30
Alert time :2025.05.22 21:02 
Event No : TG Alert
2)Multiple failure observed at dcap 
Name : PostPaid Payment Posting Failure
Name : Telemedia Payment Posting Failure
Alert time:2025-05-22 21:44
Incident: INC14392994 / INC14392993
</t>
  </si>
  <si>
    <t>5/22/2025 20:41
5/22/2025 21:10
2025-05-22 21:10:17"
Tg alert
5/22/2025 21:44</t>
  </si>
  <si>
    <t>5/23/2025 0:21
5/23/2025 0:30
5/23/2025 0:20
5/22/2025 21:59
5/22/2025 22:36</t>
  </si>
  <si>
    <t>Mobility: 1384, Telemedia: 168, JK10: 47 &amp; DTH: 87 transactions were impacted.</t>
  </si>
  <si>
    <t>NFB-Utilities &amp; Recharges, APB_Tez Portal, APB_Payment_UPI, APB_SBA, APB_Payment_DMT, APB_Payments Hub, APB_IMPS, APB_Retailer</t>
  </si>
  <si>
    <t>INC0489696</t>
  </si>
  <si>
    <t xml:space="preserve"> High response time observed for multiple NFB applications originating from CBS.</t>
  </si>
  <si>
    <t xml:space="preserve"> In this issue, High response time was observed from CBS, leading to service degradation across multiple APBL applications. During troubleshooting, the application team informed that Adhoc purge was in progress. Further DBA team stopped those ongoing purges. Following the actions taken, an improvement was observed, and the issue was resolved.</t>
  </si>
  <si>
    <t>INC14399151/INC14399149/INC14399172 
INC14399225</t>
  </si>
  <si>
    <t>Symptom
1)Hostname:DPS_APB_SERVICE,sev-3
Trigger: High 500 Failure for WALLET-DETAILS-ADAPTER
Trigger Value: 886
Alert time:2025-05-23 09:19 Hrs (Fluctuating)
Incident:INC14399151/INC14399149/INC14399172 
2)Hostname:DPS_SR,sev-2
Trigger: Overall Dip in Wallet Success Rate
Trigger Value: 91.396786155747833
Alert time:2025-05-23 09:26 Hrs 
Incident:INC14399225</t>
  </si>
  <si>
    <t>5/23/2025 09:19
5/23/2025 09:26</t>
  </si>
  <si>
    <t>5/23/2025 09:29
5/23/2025 09:36</t>
  </si>
  <si>
    <t>For NFB-PAYMENTS-UPI Success Transactions Dip Comparison: {D vs (D-7)}= 534448-602658=68210 (11% dip in success rate)
For NFB-SBA Account Creation Comparison-{D vs (D-7)= 281-410=129 (31% drop in account creation)
For NFB-Payments-DMT Success Transactions Dip Comparison {D vs (D-7)= 4039-5859=1820(31% dip in success rate)
For NFB-Payments Hub Total Transactions Dip Comparison {D vs (D-7)= 1852034-1928760=76726(4% percentage dip in NFB-Payments Hub transactions is approximately)
For NFB-IMPS Success Transactions Dip Comparison: {D vs (D-7)}= 6448-7903=1455 (18% percentage increase in hit count)
For NFB-Tez Portal total failure Comparison: {D vs (D-7)}= 261-74=187 (72% increase in failure rate)
For NFB-Retailer App total failure Comparison: {D vs (D-7)}= 62-44=18 (29% increase in failure rate)
For NFB-Utilities and Recharges total Transaction Dip Comparison: {D vs (D-7)}= 5220-5591=371 (7% dip in total transaction)</t>
  </si>
  <si>
    <t>Nova IQ SMS Journey, DTH Change Order Journey, DTH Customer Experience Journey, DTH Dunning Order journey, Black Customer Experience Journey, Nova App Experience Journey, Broadband Payment Posting Journey, Postpaid Payment Posting Journey</t>
  </si>
  <si>
    <t>Nova App, Nova IQ_SMS, Nova IQ_Voice, DCAP, DPS, DTH Vector, DTH_OE, DTH_OM, LAPU_GT, ACS, Selfcare_B2C, M2M</t>
  </si>
  <si>
    <t>INC14409255</t>
  </si>
  <si>
    <t>Multiple applications hosted in Phase1 DC were observed service disruptions.</t>
  </si>
  <si>
    <t>In this issue, one of the switch got impacted in 62 DC due to which multiple applications services got disrupted. To mitigate the issue, failover of the applications was done to Phase2, post that some of the applications got restored. Further, Network team isolated that faulty switch to recover rest of the applications. However, DTH was still facing some issue for which team moved the traffic on 1 server and for rest 3 servers, team restarted app to DB jobs through which issue got completely restored.</t>
  </si>
  <si>
    <t xml:space="preserve">Primary Root Cause:
Leg 01 – Specification 
Q1) Why did multiple critical application services experience outages and instability? 
A1) Because a split-brain network condition disrupted connectivity between application servers, leading to service unavailability and delayed failover recovery. Notably, the DTH (Change and Resumption Orders) and Payment Posting on DCAP were among the most significantly impacted.
Leg 02 – Detection 
Q1) Why did the split-brain condition disrupt connectivity and failover mechanisms? 
A1) Because MLAG (Multi-Chassis Link Aggregation) failed, causing both core switches to become active simultaneously, which confused traffic routing and broke redundancy. 
Q2) Why did MLAG fail and allow both switches to act as primary? 
A2) Because the switch located in H Row (1A 62 DC) experienced a memory leak and lost control-plane stability, severing MLAG heartbeat synchronization between the two core switches. 
Leg 03 – Systemic Failure 
Q1) Why did the switch suffer a memory leak leading to MLAG failure? 
A1) Because the switch was 7–8 years old and limited to 8GB of memory, making it incompatible with newer firmware patches required to resolve known memory leak bugs. 
Q2) Why were DCAP and DTH services particularly impacted and why was recovery delayed even after network switch restoration? 
A2) Because ESB middleware (Solace) had a flawed high-availability design: the alternate LAG (Link Aggregation Group) for redundancy resided in the same row and was dependent on a component of the failed LAG, resulting in both LAGs being affected simultaneously. This architectural flaw in the ESB layer required manual intervention, delaying full restoration of DTH and DCAP services. 
Observations:
• Data Center Hardware Refresh: A full replacement of core switches is scheduled to begin in July. New hardware will include 16GB memory (up from 8GB) to support updated firmware and mitigate memory-related failures.
• Proactive Device Review: Approximately150 similar switches will undergo audit to identify early signs of memory degradation or stability risks.
• Applications Redundancy: Application teams are responsible for ensuring end-to-end redundancy. Solace team will configure VPNs across both N1 and N2 environments to support application-level failover. 
Preventive Actions: 
• Hardware Replacement: Prioritize replacement of faulty hardware in coordination with Arista. - Bedabrat – Closed (CHG0179357 executed on May 25, 2025)
• Switch-Level Redundancy: Redundancy must be configured and tested across both ESB and Solace layers to ensure failover reliability. - Praveen Kushwaha (Operational Layer) + Nirmal Jha (Cabling Layer) and Bedabrat (Network Layer) – Open
</t>
  </si>
  <si>
    <t>PRB0044495</t>
  </si>
  <si>
    <t>Nova IQ, Digital Experience B2C, DTH, Postpaid, Prepaid</t>
  </si>
  <si>
    <t>P1
P2
P2
P2
P2
P1
P2
P2
P2
P1
P2
P2</t>
  </si>
  <si>
    <t>Alert93838394 /Alert93838393
INC14407382/
INC14407382/
INC14407382/
INC14406289
Alert93838703
INC14406807
INC14406825
INC14406823
INC14406821
INC14407258
INC14407192  
INC14407193 
INC14407040 
INC14407043</t>
  </si>
  <si>
    <t>Direct:
1)multiple BGP Peer is Down for Central DC 
Device Name: BAL-NDA62-1A-7050-LEAF-H1-1,Device IP:  10.222.20.81
Alert time :  2025-05-23 20:05
Event No:Alert93838394 /Alert93838393
Symptoms:
1)Multiple ping down alert trigger 10.13.xx.xx/10.14.xx.xx/10.222.xx.xx/10.223.xx.xx
Alert time :2025-05-23 20:05
Event No : INC14407382/INC14407382/INC14407382/INC14406289
2)Multiple Application alert trigger
Alert time : 2025-05-23 20:05
Event No :Alert93838703 /INC14406807
3)Multiple failure observed at dcap 
Name : PostPaid Payment Posting Failure
Name : Telemedia Payment Posting Failure
Alert time:2025-05-23 20:14
Incident: INC14406825/INC14406823/INC14406821
4)Multiple ESB_DATASOURCE_SUSPENDED_ALERTS
Alert time: 2025-05-23  8:30:12 PM
Event No: INC14407258/ INC14407192 / INC14407193 / INC14407040 /INC14407043</t>
  </si>
  <si>
    <t xml:space="preserve">
2025-05-23 20:37:16
2025-05-23 20:14:07
2025-05-23 20:30:17
2025-05-23 20:40:37
2025-05-23 20:30:12
2025-05-23 20:30:17
2025-05-23 20:31:10
2025-05-23 20:05:16
2025-05-23 20:10:11
2025-05-23 20:10:00
2025-05-23 20:18:31</t>
  </si>
  <si>
    <t>2025-05-23 21:01:17
2025-05-23 21:00:17
2025-05-23 21:00:12
2025-05-23 21:06:37
2025-05-23 21:00:17
2025-05-23 20:34:23
2025-05-23 20:53:02
2025-05-23 20:21:13
2025-05-23 20:10:29
2025-05-23 20:18:10</t>
  </si>
  <si>
    <t>Product Issue</t>
  </si>
  <si>
    <t>Software Bug</t>
  </si>
  <si>
    <t>LAPU_GT Hub 5 &amp; 6 Success Dip: (D vs D-7 : 833347 vs 843384 : 10037) is 1.19%.
Nova IQ_SMS: HDFC 30% loss
Nova IQ_Voice: No Impact
DTH Vector: 11k recharge transactions impacted
DTH Change Order: 2005
DTH Resumption: 3090
DTH Activation: 124
DCAP: 14k Payment pendency
M2M: No Impact
NovaTel_App Success Hits: (D vs D-7 : 33459571 vs 54180242 : 20720671) is 38.24%.</t>
  </si>
  <si>
    <t>Prepaid New Customer Acquisition-MNP Journey</t>
  </si>
  <si>
    <t>Mitra, eCAF</t>
  </si>
  <si>
    <t>INC14423762</t>
  </si>
  <si>
    <t>MNP acquisition was impacted for Gujarat circle intermittently in Mitra application.</t>
  </si>
  <si>
    <t>In this issue, Users were unable to activate MNP in Mitra App for Gujarat circle using NovaTel Network, However, able to access the same on Vodafone network. To resolve this, UIDAI team took corrective action at their end, post which services got restored.</t>
  </si>
  <si>
    <t xml:space="preserve"> Success Dip (D vs D-7:142 - 106), No Dip.</t>
  </si>
  <si>
    <t>INC14411125</t>
  </si>
  <si>
    <t>CU50 was inaccessible due to which BC7 billing was impacted.</t>
  </si>
  <si>
    <t>In this issue, Application team confirmed that CU50 was inaccessible due to which BC7 billing getting stuck, which was causing slowness in E-Bill generation. To resolve the issue, Accenture DBA team cleared the space from archival, post which issue got resolved.</t>
  </si>
  <si>
    <t>INC14410784</t>
  </si>
  <si>
    <t>1)ESB_DATASOURCE_SUSPENDED_ALERTS
DATASOURCE:FXPDCU50_NONXA
Alert time: 2025-05-24 02:30Hrs
Event No:INC14410784</t>
  </si>
  <si>
    <t>BC7 billing delayed.</t>
  </si>
  <si>
    <t>INC14410829</t>
  </si>
  <si>
    <t xml:space="preserve"> FTA &amp; Goals reports were impacted for Pan India.</t>
  </si>
  <si>
    <t xml:space="preserve">In this Issue, during the troubleshooting it was identified that due to L2 timestamp was showing null value error occurred in file creation for DARTS. eCAF team updated the L2 timestamp field for 14 records, post which success observed at DARTS end and issue stands resolved.
</t>
  </si>
  <si>
    <t xml:space="preserve">14 records impacted. </t>
  </si>
  <si>
    <t>DTH Dunning Order journey</t>
  </si>
  <si>
    <t>UDP_Dunning</t>
  </si>
  <si>
    <t>INC14427605</t>
  </si>
  <si>
    <t xml:space="preserve"> Dunning orders stuck at UDP Dunning end.</t>
  </si>
  <si>
    <t>In this issue, it was observed that Dunning orders were getting processed at DTH end but not reflecting success at UDP_DUNNING end as the success response was stuck at ESB. UDP was not consuming the queue. To fix this UDP team took POD restart at their end bind count was established and success was observed. Issue stands resolved now.</t>
  </si>
  <si>
    <t xml:space="preserve"> INC14414623
INC14413661</t>
  </si>
  <si>
    <t>Symptom:
1)High barring count in last 5 min for Initiated orders
Hostname:udp_black_barring_count
Alert time: 2025-05-24 08:55 Hrs
Incident: INC14414623
2)Hostname:udp_black_resumption_count
Trigger: BLACK RESUMPTION, Initiated
Alert time: 2025-05-24 10:40 Hrs
Incident :INC14413661</t>
  </si>
  <si>
    <t>5/24/2025  8:55:00 AM
5/24/2025  10:41:00 AM</t>
  </si>
  <si>
    <t>5/24/2025  12:00:00 PM
5/24/2025  11:55:00 AM</t>
  </si>
  <si>
    <t>Dunning TAT breached</t>
  </si>
  <si>
    <t>Prepaid Online Recharge Journey, Prepaid Retail Recharge Journey</t>
  </si>
  <si>
    <t>LAPU_GT, LAPU_MT</t>
  </si>
  <si>
    <t>INC14416683</t>
  </si>
  <si>
    <t xml:space="preserve"> Online and Retail recharges were impacted intermittently in LAPU</t>
  </si>
  <si>
    <t>In this issue, Phase 2 IN connectivity was lost with Techlan due to which LAPU_GT and LAPU_MT applications services got disrupted. To mitigate the issue, LAPU traffic was shifted to 62 DC, post which improvement was observed and applications got completely restored.</t>
  </si>
  <si>
    <t>Prepaid</t>
  </si>
  <si>
    <t>INC14415805,
INC14415766,
INC14415991,
INC14415759,
INC14415758,
INC14415776,
INC14415756,
 INC14415819</t>
  </si>
  <si>
    <t>Direct:
1)Multiple LapuGT/MT_1002_responsecode|SERVER : 10.241.177.20/21/22/23/24/25/26/27/28/29/,10.241.97.149/155
Alert time - 2025-05-24 12:31 Hrs 
Event No -INC14415805,INC14415766,INC14415991
Symptom:
1)Multiple mitra_LapuFailureTrend_ErrorCode
Alert time - 2025-05-24 12:31 Hrs
Event No -INC14415759,INC14415758,INC14415776
2)Multiple Appd alert for Lapu and Mitra
a)AppDynamics_Appd-Saas_MT_Hub2_Lapu_LAPU-Online Recharge Journey-MT_Hub2_Lapu-Overall Response time 1000ms_Sev-1
b)Mitra2_Phase_2-Prepaid Retail Recharge Journey-Overall Avg Response Time&amp;gt;700ms_Sev-1
c)Mitra-Prepaid Retail Recharge Journey-Overall Avg ResponseTime 700ms_Sev-1
d)LAPU-Prepaid Retail Recharge Journey-EAST_LAPU_GT-Overall_Response_Time 1000ms_Sev-1
e)LAPU-Online Recharge Journey-MT_Hub1_Lapu-Overall Response time 1000ms_Sev-1
Alert time - 2025-05-24 12:32 Hrs
Event NoINC14415756, INC14415819</t>
  </si>
  <si>
    <t>2025-05-24 12:35:07
2025-05-24 12:33:03
2025-05-24 12:32:12
2025-05-24 12:31:52
2025-05-24 12:37:19
2025-05-24 12:34:43
2025-05-24 12:32:12</t>
  </si>
  <si>
    <t>2025-05-24 13:01:52
2025-05-24 12:41:52
2025-05-24 12:42:12
2025-05-24 12:44:03
2025-05-24 12:44:02</t>
  </si>
  <si>
    <t xml:space="preserve">17k transactions impacted </t>
  </si>
  <si>
    <t>INC14429475</t>
  </si>
  <si>
    <t xml:space="preserve"> Prepaid activation delayed at PACS end. </t>
  </si>
  <si>
    <t xml:space="preserve"> During the troubleshooting, it was identified that, firewall policy was not open on DR setup and hits from eCAF was not reaching to PACS, due to which eCAF port was getting policy error at PACS end. To mitigate the issue firewall team enabled the policy for PORT 1535, post which improvement was observed. Further order pendency got cleared and issue got resolved.</t>
  </si>
  <si>
    <t>P2
P2
P2</t>
  </si>
  <si>
    <t>INC14426785
INC14426991,
INC14427063</t>
  </si>
  <si>
    <t>Symptom:
1)Ecaf_prepaid_milestone pacs_pending having high count|Current Value : 119
Alert time - 2025-04-25 08:40 Hrs
Event No-INC14426785
2)PREPAID_EKYC_MILESTONE dedupe_success having high count|Current Value : 221
Alert time - 2025-04-25 09:15 Hrs
Event No-INC14426991,INC14427063</t>
  </si>
  <si>
    <t xml:space="preserve">2025-05-25 08:40:07
2025-05-25 09:18:52
2025-05-25 09:15:07
</t>
  </si>
  <si>
    <t>2025-05-25 11:40:07
2025-05-25 10:16:23
2025-05-25 09:08:00</t>
  </si>
  <si>
    <t>4000 pendency</t>
  </si>
  <si>
    <t>CHG0177300</t>
  </si>
  <si>
    <t>INC14429760</t>
  </si>
  <si>
    <t xml:space="preserve">SimSwap activation for prepaid and postpaid was impacted. </t>
  </si>
  <si>
    <t>In this issue, it was identified that eCAF_SimSwap was getting connection error to POS services post POS DR drill activity(CHG0177117). Hence to mitigate the issue teams proceeded with the rollback for POS from DR to DC, post which the services restored and the issue stands resolved.</t>
  </si>
  <si>
    <t xml:space="preserve">Primary root cause:
Specification leg 
Q1- Why there was service degradation experienced in New Sim Swap orders ?
Ans: Because, issue observed with Prepaid and Postpaid SimSwap activation orders; NovaTel stores executives were getting error “unable to validate msisdn Exception. Downstream error: No response from POS application” while punching the orders .
Q2- Why Retailer were getting error while processing orders?
Ans: eCAF team reported they were receiving; Connection reset”, throwable_root_cause_message"error from POS services (POS is a last milestone in prepaid and postpaid simswap; as eCAF calls POS to check the SIM details in store inventory for activation). 
Detection Leg
Q3- Why there were error encountered from POS services?
Ans On further investigation, POS team identified their traffic was running from DR site as they did a POS DR Drill Activity (CHG0177117) yesterday night at 12:00 AM. Firewall team investigated and found policies were fine and POS server was Telnet. However, apart from eCAF no other integrated application was getting error from POS services on DR setup. There was a hindrance in connectivity from eCAF to POS. However, to fix the issue POS team rolled back the change and redirected the traffic from DR to Prod, post which eCAF started getting the success from POS.
Q4- Why this gap was not identified in Sanity post DR Drill ?
Ans: Further discussion explored that , The activity was carried out after 12:00 AM, and the eCAF team completed a basic sanity check early in the morning when there was no live traffic. However, the business team did not perform a sanity check (e.g., placing new orders), which was a key oversight. This issue could have been avoided if complete sanity checks and artifacts collected by all relevant teams. 
Systemic leg
Q5- Why only eCAF was getting error post DR drill?
Ans: During further investigation, it was found that the POS setup was not accessible from the eCAF due to a missing static route. The network team had recently installed a new FortiGate firewall at the DR site but did not configure a route for the eCAF 10.5.135.x segment. This route is required to enable communication between the eCAF segment and the DMZ-hosted POS system. The gap occurred because this step was not included in the original SOP. The required route has now been added, and updated instructions have been shared with the DR team to avoid this in the future.
Preventive Actions:
• Network team should revisit their SOP of configuring new Hardware and send workflow update instructions to DR team to avoid this in the future. Closed Deepak Pachouri
• The DR, eCAF, and POS teams are advised to obtain formal business confirmation and conduct thorough sanity checks. Additionally, relevant artifacts should be collected from the respective teams to prevent any potential gaps.. Open Dipender/ Ravindra/ Rajiv Ranjan
</t>
  </si>
  <si>
    <t>PRB0044496</t>
  </si>
  <si>
    <t>INC14426964</t>
  </si>
  <si>
    <t>Symptom:
1)ECAF-Prepaid New Order Simswap Journey-ECAF_SIMSWAP-RS_POS 10.5.221.141:8005 Error Rate is grater than 20%_Sev-1
Alert time - 2025-04-25 09:52 Hrs (Fluctuating)
Event No -INC14426964</t>
  </si>
  <si>
    <t>Succes Dip (D vs D-7): (9190 vs 18930): 9740 is 51%</t>
  </si>
  <si>
    <t>CHG0177117</t>
  </si>
  <si>
    <t>INC14429564</t>
  </si>
  <si>
    <t>CC advisors unable to fetch SimSwap activation status from Service Portal for Chennai and Bangalore circle.</t>
  </si>
  <si>
    <t xml:space="preserve"> During the troubleshooting it was identified that, Service Portal was using dedicated ips instead of FQDN or SCAN IP, as the PACS-IMS-BLR-CHN was running on DR sites. To mitigate the issue Service Portal dev team have changed the IPs temporarily for both Chennai and Bangalore, post which issue got resolved. However the changed IPs will be rolled back tonight by the Service Portal dev team.</t>
  </si>
  <si>
    <t>INC14426533
INC14428258
INC14428552</t>
  </si>
  <si>
    <t>Symptom:
1)SP_MT_RULE_FAILURE
http://10.242.146.186:5601/goto/53520a30-cce4-11ef-b009-45dc49319e8d
Alert time - 2025-04-25 08:21 Hrs (Flapping)
Event No -INC14426533,INC14428258 ,INC14428552</t>
  </si>
  <si>
    <t xml:space="preserve">2025-05-25 12:41:12
2025-05-25 12:01:12
2025-05-25 08:21:12
</t>
  </si>
  <si>
    <t>2025-05-25 08:41:12
2025-05-25 12:31:14
2025-05-25 12:55:39</t>
  </si>
  <si>
    <t>FTA reports were impacted for 23 Circles.</t>
  </si>
  <si>
    <t>The issue retriggered as L2 timestamp was showing null value error for file creation in DARTS. DARTS team shared the transaction IDs of the impacted records with eCAF team. To mitigate the impact, eCAF team updated the L2 timestamp field in impacted records, post which the process started running fine and issue got resolved.</t>
  </si>
  <si>
    <t>FTA reports were impacted for 23 Circles</t>
  </si>
  <si>
    <t>FTA reports were impacted.</t>
  </si>
  <si>
    <t xml:space="preserve">Again, DARTS team reported that L2 timestamp was showing null value error for file creation in DARTS leading to impact on FTA reports. To mitigate the impact, eCAF team updated the L2 timestamp field in impacted records, post which the process started running fine and issue got resolved.
</t>
  </si>
  <si>
    <t>Prepaid Customer Retail Acquisition Journey, Postpaid New Customer Acquisition Journey, Prepaid New Order Sim Swap Journey, Broadband New Customer Acquisition Journey, Black Acquisition Journey, Prepaid New Customer Acquisition-MNP Journey, Postpaid New Customer Acquisition-MNP Journey</t>
  </si>
  <si>
    <t>INC14442182</t>
  </si>
  <si>
    <t>All acquisitions were impacted as eKYC and dKYC flow were not working.</t>
  </si>
  <si>
    <t>In this incident, issue was triggered at UIDAI end impacted eKYC flow of Simswap, Prepaid, Postpaid, acquisition. This had a cascading impact on the eCAF Commons services which impacted dKYC as well. Initially, eCAF team restarted the eCAF Commons services, post which no improvement was observed. To mitigate this issue, eCAF team increased the redis connection limit from 75 to 200 on all 3 nodes along with increasing the rate limiting at Nginix to stabilize the commons service response time followed by restart of all 3 Common pods, post which Improvement was observed and issue</t>
  </si>
  <si>
    <t xml:space="preserve">Primary root cause:
Specification Leg – 01
Q1: Why multiple Acquisition Journeys experienced significant service disruption on 13th and 14th May?
Ans: Because, the recent outage impacted All acquisition Journeys; Retailers were getting error while submitting orders at eCAF “I/O error on post request for http://commons-services.prod.ecaf.novaworld.in; Socket Timeout Exception; Read Timeout “. 
Q2: Why there was an error at eCAF while submitting CAF orders?
Ans: eCAF Team observed high response time and latency in the Commons_services (responsible for handling image uploads) at application during peak business hours.
Detection Leg 02
Q3) Why the response time was high at Common services?
Ans. Because, high response time alerts at Common_Services were triggered at the beginning of the issue. eCAF team analysed the service response time of insert and update query was high and reached from 1ms to 40 ms at DB which resulted blocking sessions. 
Q4: Why the query response time increased at DB?
Ans: eCAF team identified, high row lock contention at DB caused due to blocking sessions. However, this contention led to increase in query wait times for accessing and modifying the same data on DB.
Systemic leg-03
Q5- Why there was high Row lock contentions observed on DB?
Ans: The application team discovered that some low-end Android laptops and mobile devices were making repeated requests in response to a single user activity. The strain was further aggravated by an increase in agent and store application retries. However this latency stemmed from row lock contention in the database, primarily due to duplicate requests hitting the same DB rows and size of the affected DB table had significantly increased, aggravated the contention. To fix the issue, eCAF team bypassed the OCR flow and disabled the duplicate request post which improved was seen for eCAF Commons_Services.
Q6: Why there was an another occurrence of high response time on Common_services on 26th May and impacted the acquisition journeys?
Ans: Similar issue happened on 26th May at 10:44 Hrs, Again Common_Services response time  was increased due to 4–5x surge in traffic to the Commons_ Services. This surge caused
load on Redis Master node, Commons_services resulted in row lock contention at DB. However, the eCAF commons_services response time increased due to an ongoing outage at UIDAI end, as a result, as multiple retries were happening on the field which led to 4-5X surge and choked the common_services. However, to mitigate the issue eCAF team applied rate limiting from NGINX to manage the increased traffic caused by user retries. eCAF Team initially set the limit at 3200 and gradually increased it to 10,000. However, intermittent issues started reporting on Mitra application due to rate limiting which settled down once the failures decreased and issue got fixed. Rate limiting was removed, once the application resumed normal behaviour.
Surge of traffic on 26th May 
Observations :
• Similar type of high response time occurrences were observed in past also; wherein NSG API, UIDAI and row lock contention issues were the major contributors . On previous occurrences, commons_services response time increased due to Traffic volume spiked upto 4–5x post UIDAI outage.
• On all three occurrences, the MTTR was quite high as Application and DB team tried multiple actions to fix the issue; Reduced the size of the impacted database table , killed long running queries ,DB bounce, Redis Master node failover, Pods and VM restart, Commons Service restart ( 12 Pods &amp; 6 VMs ) eventually the issue got fixed post eCAF team blocked the duplicate request and bypass the OCR flow. Additionally on 26th May, eCAf team increased the redis connection limit from 75 to 200 on all 3 nodes and performed a Redis  Master node failover but issue got fixed only post Team Implemented the rate limiting at the application layer to get the Commons_services response time came back to normal.
• Get comms
Increased Application Response Time on 26th May 
• 
•  
Preventive Actions:
• Upgraded Redis version from 6.0 to 7.4.2 resolving known concurrency bottlenecks in the older version and Redis connection limit increased from 75 to 200: Completed Devendra
• Deployed a change to reduce Redis calls by storing server-side caching config values in memory, which helps in improving performance. Open Devendra  ETA 5th June
• eCAF team will check with Network team to explore the feasibility of rate limiting on Load balancer based on client IP – Open Vageesha ETA: 9th June
• Circuit breakers are used to manage downstream API calls effectively. Team is checking the feasibility of installing circuit breakers for all APIs at Commons-Open Devendra ETA: 30th June  
• eCAF team did the LOB segregation at the common_services to distribute the load across and segregate the acquisition flows. Completed Vageesha
• New eCAF database setup is ready, and the migration of services to be planned.-Open Devendra, Vageesha. This is still under discussion
• Develop a SOP for recovering from scenarios similar to the recent issue, including rate limiting- Completed Vageesha
• Initiated project to design High Availability (HA) Architecture for the ECAF System. This plan includes deploying, redundant components, automated failover mechanism and load balancer-Open Rohit Agarwal and Bhupendra 
• User retry timeout increased from 2 second to 1 minute, to optimize the volume of retries:- Completed Vageesha
• eCAF team will explore if any potential infra augmentation is required to manage the surge in traffic during failures- Open Vageesha 
• Modify and standardize error messages returned to end-users (retailers, agents) to be descriptive, user-friendly and actionable -Open Bhupendra
</t>
  </si>
  <si>
    <t>PRB0044497</t>
  </si>
  <si>
    <t>INC14439028,INC14439027,INC14439023
INC14439091,INC14439090
INC14439106,INC14439117,INC14439121,INC14439118
INC14439347,INC14439362
INC14439394</t>
  </si>
  <si>
    <t>Symptom:
1)Multiple INTEGRATION_UIDAI_TOMCAT_ACCESS_API_5XXFAILURES
Alert time:2025-05-26 10:37 Hrs
Incident:INC14439028,INC14439027,INC14439023
2)Multiple ECAF Actuator Alert for hikari_connection_timeout ekyc-service-canary-656b4d49d8-w4vck in service
Alert time:2025-05-26 10:40 Hrs
Incident:INC14439091,INC14439090
3)Multiple Appd performance alert for Uidai and eKYC
 a)UIDAI_KUA_KSA-Postpaid/Prepaid New Customer Acquisition Journey-RS_uidaiinternal.novatel.example:443_OverallErrorRate&gt;5%_Sev-1
 b)UIDAI_KUA_KSA-Postpaid/Prepaid New Customer Acquisition Journey-RS_uidaiinternal.novatel.example:443_OverallResponseTime&gt;3000ms_Sev-1
 c)ECAF_eKYC-Postpaid/Prepaid New Customer Acquisition Journey-BT_/ekyc-app/ekyc_OverallErrorRate&gt;40%_Sev-1
 d)ECAF_eKYC-Postpaid/Prepaid New Customer Acquisition Journey-AdhaarRemoteservices_ResponseTime&gt;4000ms_Sev-1
 e)ECAF_eKYC-Postpaid/Prepaid New Customer Acquisition Journey-RS_aadhaar.NovaTel.in:443_OverallErrorRate&gt;25%_Sev-1
 f)ECAF_eKYC-Postpaid/Prepaid New Customer Acquisition Journey-OverallAvgResponseTime&gt;2000ms_Sev-1
 g)ECAF_eKYC-Postpaid/Prepaid New Customer Acquisition Journey-BT_/ekyc-app/ekyc_OverallErrorRate&gt;40%_Sev-1
 h)ECAF_eKYC-Postpaid/Prepaid New Customer Acquisition Journey-DB_ResponseTime&gt;200ms_Sev-1 Oracle-Oracle Database 12c Enterprise Edition Release 12.1.0.2.0
Alert time:2025-05-26 10:43 Hrs
Incident:INC14439106,INC14439117,INC14439121,INC14439118
4)Multiple Appd performance alert ECAF_COMMON
 a)ECAF-Prepaid/Postpaid New Customer Acquisition-ECAF_COMMON-RS_REDIS-Read-OverallAvgResponseTime is greater than5ms_Sev-1
 b)ECAF-Prepaid/Postpaid New Customer Acquisition-ECAF_COMMON-OverallAvgResponseTime is greater than1000ms_Sev-1
Alert time:2025-05-26 11:00 Hrs
Incident:INC14439347,INC14439362
5)Prepaid milestone pendency for caf_submitted is more than 50 in last 15 min|STATUS : caf_submitted
Alert time:2025-05-26 11:01 Hrs
Incident:INC14439394</t>
  </si>
  <si>
    <t>5/26/2025 10:37
5/26/2025 10:40
5/26/2025 10:43
5/26/2025 11:00
5/26/2025 11:01</t>
  </si>
  <si>
    <t>5/26/2025 11:37
5/26/2025 11:34
5/26/2025 11:00
5/26/2025 12:15
5/26/2025 11:16</t>
  </si>
  <si>
    <t>Postpaid success dip: 600(DvsD-7:203-803) is 74% Prepaid success dip: 55326(DvsD-7:11453-66779) is 82% Broadband success dip: 1159(DvsD-7:4127-5286) is 21% Simswap success dip: 22662(DvsD-7:1803-24465) is 92 % Black success dip: 2311(DvsD-7:533-2844) is 81%.</t>
  </si>
  <si>
    <t>Nova App</t>
  </si>
  <si>
    <t>INC14442160</t>
  </si>
  <si>
    <t>Users were unable to download Black bill payment receipts from Nova App.</t>
  </si>
  <si>
    <t>During the troubleshoot, it was identified that NovaTel app was observing a "No data available from requested downstream service" error from Inform application because one of the Inform application pod was down. This resulted in errors 902 and 906 being observed by the Inform application. To resolve the issue, Inform team reset the exhausted retries, which cleared the pendency, and the issue was resolved.</t>
  </si>
  <si>
    <t>Alert93982323</t>
  </si>
  <si>
    <t>1)5XXFailurein10Minutes| cx_billing | /bills/pdf|Current Value : 14.57
Alert time:2025-05-26 12:43 Hrs
Incident:Alert93982323</t>
  </si>
  <si>
    <t>Failure count (D Vs D-7 : 1100: 100 is 10%)</t>
  </si>
  <si>
    <t>Prepaid Customer Retail Acquisition Journey, Postpaid New Customer Acquisition Journey, Broadband New Customer Acquisition Journey, Black Acquisition Journey, Prepaid New Order Sim Swap Journey, DTH Recharge Journey, DTH Customer Experience Journey, Postpaid Customer Experience Journey, iOT Customer Experience Journey, Nova App Experience Journey, Internal Operations Journey, Broadband Customer Experience Journey, Nova IQ Voice Journey</t>
  </si>
  <si>
    <t>Nova IQ_Voice, NovaWorks, BSL, BTFLY_CRM, DCAP, DIRS, DPS, DTH Vector, DTH_OE, eCAF, eCAF_eDSL, eCAF_Sim Swap, ECHO, Ecom, ERP, Feasibility, Financial Services, HB_CRM, LAPU_DTH, M2M, M6, MAMO, Mediation_IL, Number Management System (NMS), Promoter, Selfcare_B2C, Service Portal, iB2B, AES, POQ</t>
  </si>
  <si>
    <t>INC14446288</t>
  </si>
  <si>
    <t>Multiple applications were facing service disruption as one of the switch blades of SAN Dir N1-DC A09 rack got failed.</t>
  </si>
  <si>
    <t>In this issue, multiple applications hosted in 62 DC got impacted as a SAN Director switch got rebooted, post reboot device successfully come up with failure of 1 blade out of 8. Meanwhile Storage team was restoring the faulty blade, DBA team worked on bringing the impacted DBs up, post which multiple application journeys were recovered Multiple teams reported OCP accessibility issue in 62 DC and Ph2 DC @16:00 Hrs, which impacted acquisition and experience journeys, which got resolved automatically @16:33 Hrs. Multiple DTH payments, recharges, experience, IPTV installs were impacted, as downstream DTH_Vector DB was down. To fix Vector DB issue, DBA team bought up the server followed by app refresh, post which recharge, payments and experience journeys were recovered. Storage team successfully replaced the faulty blade as well to fix the primary issue.</t>
  </si>
  <si>
    <t xml:space="preserve">Primary root cause:
Q1: Why there was an instance of service disintegration in several applications led impact to multiple journey’s?
Ans: An unexpected problem with one of the SAN director switches—blade #4—caused delays to several applications services operating at Noida-62 DC, impacting several important journeys. The acquisitions, DTH recharge, and customer experience processes showed the most noticeable effects.
Q2: Why issue was observed in one of the SAN director switch- blade #4  in Noida-62 DC A09 rack?
Ans: Because, the storage team also reported that the SAN director switch rebooted at around 15:15 hours due to a hardware malfunction that caused a communication breakdown between the core blade and the switch blade. Blade #4 malfunctioned and was tagged as failed after the reboot. The switch's auto reboot feature, which reinitialised every switch blade in the SAN director, was a self-healing approach to address the sporadic communication issue.
Q3: Why issue was not proactively arrest by storage team before make it an outage?
Ans: Because, No events were triggered for these transient alerts since the existing Gen5 SAN Director was not capturing them. Gen7 SAN Director, which is going to be our future, has capabilities like Fabric Performance Impact warnings and marginal routes rectification. The entire SAN Director chassis was found to have rebooted and one of the switch blades #4 into an offline condition as soon as the impact was detected and teams were involved.
Q4: Why applications services not moved automatically to redundant SAN director switch?
Ans: Discussion with Storage team further revealed that, that servers and databases continued attempting to connect over the same troublesome path because SAN Blade #4 had not entirely failed. The team also reported that multipathing was set up, however in this instance, the servers and databases did not move to the alternate paths as planned because the primary path did not fully shut down. The active path must fail (should not be in fluctuating condition) in order for multipath to switch pathways
Q5: Why did applications recovery took longer time than expected?
Ans: Due to the constant connection resets, IO problems were noticed on servers and databases during the roughly 23 minute issue, which started at 14:52.
The OS/DBA team also reported that manual reboots and file system inconsistency checks were necessary, which prolonged server recovery. FSCK (File System Consistency Check) had to be performed on certain servers due to file system inconsistencies.Depending on how corrupted the file system is, this procedure could take a long time.
Q6: Why as a sudden multiple applications based / operating from Noida Phase-II DC  started observing issues?
Ans: As the team worked to resolve the aforementioned issue, a second phase II DC issue arose that significantly affected the OCP cluster as well as Arcos, NovaIQ_Voice, VDI, and ADFS services. The F5 load balancer device was found to be serving requests in both active and passive mode everywhere. However, when the standby device did not receive any status updates from the active device for three seconds (a heartbeat communications break), it identified itself as an active device and both devices became active (split brain situations).When Cisco ACI finds the same IP address being published from two Mac addresses, it will often activate the Rouge endpoint control feature and block the traffic for 30 minutes.
Q7: Why standby LB device did not get any status updates(heartbeat communications) from the active LB device?
Ans: According to the OEM discussion team's last report, there was no visible sign of a resource shortage for the active device; nonetheless, excessive logging and restjavad crashes were noticed in the tech support bundle, which occasionally resulted in 100% system CPU utilization. High CPU consumption caused the system to become less responsive, which resulted in lost heartbeat packets.
Note: We encountered similar low intensity issue last on 28th May &amp; 3rd June’25 with similar symptoms for F5. 
Observations: 
• Overall MTTR of this outage was high as recovery process took longer time due to multiple recovery process involved.
• It was also noticed that faulty blade was not isolated or the  faulty SAN director was not proactively shut down and services moved to the secondary SAN director immediately after identifying the issue ,there was a decision delay along with that nowhere called out during the outage.
• Initially it was also called out by storage team that everting thing is working fine at certain amount of time at storage end, however it was not. which took delay in failover of resiliency based applications. 
• F5 issue again retriggered wherever, NW team was in discussion with OEM as no proactive symptoms/direct or alert get generated.
Prevetive Actions: 
• Blade 4 hardware need to be replaced- Closed- Samir /Rajnish
• Exiting SAN Director need to be replaced with Gen7 which is already in plan: Open  ETA 30 June 25 -Samir /Rajnish
• Storage team to explore how resiliency can be ensured even with blade failures. Open – Samir /Rajnish - 
• iRule has been modified to reduce logging as suggested by F5 tac. Closed- Bed
• The rogue entry refresh timer has been changed from 30 mins to 5 mins. Closed-Bed
• Alert Config for State Change of traffic Groups. Closed- Bed
• Heartbeat communication interval has been revised proactively to avoid reoccurrences form 3-4 Sec to 6 Sec. Closed Bed
• The mac address of load balancer has been excluded from rogue entries.  – Partially closed (Actions yet to be concluded with Cisco as final solution). Open Bed
There were some recommended came by CISCO OEM which is also in implementation phase to make robust environment. 
• Enforce Subnet Check 
• ISIS Redistribution Metric
• COOP Group (vxlan database)
• Disable Dataplane Learning for F5
</t>
  </si>
  <si>
    <t>PRB0044498</t>
  </si>
  <si>
    <t>ABGB, Nova IQ, Broadband, Digital Acquisition, Digital Experience B2C, DTH, IntOps, iOT, Postpaid, Prepaid</t>
  </si>
  <si>
    <t>P1
P2/P2
P1/P1
P1
P1/P1
P1</t>
  </si>
  <si>
    <t>INC14442549
INC14442745/INC14442829/INC14442766
Alert93988920/Alert93989840/ INC14442742
Alert93990441 
INC14442886,INC14442875,INC14442961 
INC14443353,INC14443592</t>
  </si>
  <si>
    <t xml:space="preserve">i)Brocade - 10.14.121.93  Port - 0 || RuleName -defCHASSISFAULTY_BLADE_1
ii)Brocade - 10.14.121.93  Port - 4 || RuleName -defALL_SLOTSBLADE_STATE_FAULTY
iii)Brocade - 10.14.121.93  Port - 0 || RuleName -defSWITCHFLOGI_6
Alert time:2025-05-26 15:22:38
Event NO:INC14442549
INC14442584,INC14442587,INC14442621,INC14442672
Symptom:
1)Multiple Database Down alerts
Alert time:2025-05-26 15:14 Hrs
Event NO:INC14442745/INC14442829/INC14442766 
2)Multiple Appd performance alert for DTH
a)DTH_MBOSS-DTH New Customer Acquisition-
OverallAvgResponseTime is greater than 300ms_Sev-1
b)DTH_OE-DTH New Customer Acquisition-RS_esbdth.novaworld.in:8011_
OverallAvgResponseTime&amp;gt;2000ms_sev-1
c)Prism-DTH Recharge Journey-Overall 
Avg ResponseTime is greater than 500ms_Sev-1
Alert time :2025-05-26 15:21 Hrs
Event No : Alert93988920/Alert93989840/ INC14442742
3)Host Name : port_monitoring_10.222.185.62
Sev_2,Current Value : 0.0
DESTINATION_IP : 10.8.145.192
Alert time :2025.05.26 15:29 Hrs 
Event No : Alert93990441 
4)Multiple  SP_MT_RULE_FAILURE || 127.0.0.1
Sev_2,Current Value : 96.04
Downstream Logs : http://10.242.146.186:5601/goto/53520a30-cce4-11ef-b009-45dc49319e8d
Alert time :2025-05-26 15:32 Hrs
Event No : INC14442886,INC14442875,INC14442961 
5)Multiple failure observed at dcap 
Name : advance_payment_failure
Name :PostPaid Payment Posting Failure
Alert time :2025-05-26 15:53 Hrs
Event No:INC14443353,INC14443592
</t>
  </si>
  <si>
    <t>5/26/2025 15:20
2025-05-26 15:22:38"
5/26/2025 15:13
5/26/2025 15:29
5/26/2025 15:32
5/26/2025 15:53</t>
  </si>
  <si>
    <t>5/26/2025 16:23
Open
5/26/2025 15:18
5/26/2025 15:34
5/26/2025 16:22
Open</t>
  </si>
  <si>
    <t>NMS: 280 NMS_Fault orders
 NMS_RESERVE_FAILED: 431
DCAP: 5600 DTH payment Posting
DTH_Vector: 11897 DTH recharges
DTH_OE: Change orders Dip - 5409 
New Activation orders Dip - 1189
NovaWorks: IPTV- 400 orders
Service Portal: Success Hits: 51208 (D: 7,499 vs D-5: 58,707 is 87%)
M2M: 12% of order traffic was impacted.
BTFLY_CRM: M2M New Registration- 17K 
New Registration-35 
Safe  Custody- 30 
Involuntary-300 
Siebel Bulk-2841 
ECHO Dialer: Outbound calls were impacted.
eCOM: "280 NMS_Fault orders
NMS_RESERVE_FAILED: 431"
Promoter: Promoters were not able to mark their attendance on promoter app.
eCAF: "Prepaid Success Dip: 2369 (D: 767 VS D-7: 3138) is 75%
Postpaid Success Dip: 830 (D:20 VS D-7: 850) is 97%.
Broadband Success Dip: 271 (D: 27 VS D-7: 298) is 91%
Simswap Success Dip: 1058 (D: 197 VS D-7: 1255) is 84%   
Homes Success Dip: 33 ( D: 14 VS D-7: 47) is 70%."
Mediation_IL: Same as BTFLY_CRM.
Nova IQ_Voice: Overall Call Connectivity Dip: 48.8% (D: 94% v/s Ideal Answered Rate: 52%)
ERP: ERP Login page was impacted.
LAPU_DTH: 11897 DTH recharges
DPS_DTH: 11897 DTH recharges
HB_CRM: 500 Orders</t>
  </si>
  <si>
    <t>INC14589580</t>
  </si>
  <si>
    <t>ARCOS URL was inaccessible.</t>
  </si>
  <si>
    <t>In this issue, users were not able to access ARCOS via URL as all the 3 ARCOS Nodes (10.242.18.16, 10.242.18.17, 10.242.18.13) behind the LB were not able to telnet with the destination (10.241.162.124) wrt health check. However, during the course of troubleshoot, one of the node (10.242.18.16) started to telnet, post which the services got restored.</t>
  </si>
  <si>
    <t>INC14446795</t>
  </si>
  <si>
    <t>1)Hostname:Arcos_url_monitoring,sev-2
Trigger Value: 1
Alert time:2025-05-26 19:34 Hrs
Incident:INC14446795</t>
  </si>
  <si>
    <t xml:space="preserve"> 
2025-05-26 19:34:57</t>
  </si>
  <si>
    <t>ARCOS was inaccessible.</t>
  </si>
  <si>
    <t>INC14454879</t>
  </si>
  <si>
    <t>Black E-bill delivery was impacted.</t>
  </si>
  <si>
    <t>In this issue, Inform application was observing connection reset error while connecting with exchange IP(10.56.133.181) Upon investigation, it was identified that TLS was not configured on source (Black) due to which black bills delivery was impacted. To mitigate, LB team disabled 15 old IPs and enabled 8 new IPs and removed TLS from 7 of the new IPs and increased their priority. Traffic was enabled via these IPs only. As of now all the pendency has cleared. For permanent fix, code level changes are required for which teams are connecting internally.</t>
  </si>
  <si>
    <t xml:space="preserve"> 1.1 lakhs bill delivery was impacted.</t>
  </si>
  <si>
    <t>INC14461230</t>
  </si>
  <si>
    <t>Broadband, IPTV, DTH installation was impacted intermittently.</t>
  </si>
  <si>
    <t>During the troubleshooting, it was identified that one of the NovaWorks' MongoDB machines  (10.248.40.223)  went down, which triggered the issue. The automatic failover mechanism of the MongoDB cluster was activated, redirecting operations to a healthy node. Following the successful failover, services were restored, and the issue was resolved.</t>
  </si>
  <si>
    <t>P1
P1
P1
P1
P1
P3
P1
P1
P1</t>
  </si>
  <si>
    <t>INC14456856
INC14456826,INC14456865
INC14456878,Alert94043317
INC14456827
INC14456853
INC14456871,INC14456870,INC14456872,INC14456931
Alert94043432
Alert94043400
INC14456891</t>
  </si>
  <si>
    <t>Direct:
1)port_monitoring_10.5.75.101
sev-3 Trigger: Port alert on 10.248.40.223
Trigger Value: 0
Alert time:2025-05-27 13:15Hrs
Incident:INC14456856
1)NovaTel_Work-High Number of Active Connections Mongo 2 &amp; Mongo 1 DB_Sev-1
Alert time:2025-05-27 13:19 Hrs
Incident:INC14456826,INC14456865
Symptom:
1)NovaTel_WORK_CREATE_ORDER High Failure in last 10M | Total Count: 810  |  Failure Count : 207 | FailurePercentage %: 25.56 | Threshold 15%
Alert time:2025-05-27 13:17 Hrs
Incident:INC14456878,Alert94043317
2)NovaTel_Work-Customer Experience Journey-OverallAvgResponseTime greater than 300ms_Sev-1
Alert time:2025-05-27 13:18 Hrs
Incident:INC14456827
3)NovaTel_Work-Telemedia and DTH Customer Experience Journey-Honcho_Service_OverallAvgResponseTime greater than 1000ms_sev-1
Alert time:2025-05-27 13:19 Hrs
Incident:INC14456853
4)1)PostgreSQL Connections by State for prj-acqs-prd-work-svc-01 Cloud SQL Database labels {project_id=prj-acqs-prd-work-svc-01
Alert time:2025-05-27 13:19 Hrs
Incident:INC14456871,INC14456870,INC14456872,INC14456931
5)NovaTel_Work-Customer Experience Journey-DB_OverallAvgResponseTime greater than 200ms_Sev-1
Alert time:2025-05-27 13:21 Hrs
Incident:Alert94043432
7)DTH_IMS-DTH New Customer Acquisition-DB_OverallAvgResponseTime&gt;300ms_sev-1
Alert time:2025-05-27 13:21 Hrs
Incident:Alert94043400
6)NovaTel_Works alerts for Broad Band Journey
sev-3 Trigger Name : Pendency alert for component 
Trigger Value: 449
Alert time:2025-05-27 13:21 Hrs
Incident:INC14456891</t>
  </si>
  <si>
    <t>5/27/2025 13:15
5/27/2025 13:19
5/27/2025 13:17
5/27/2025 13:18
5/27/2025 13:19
5/27/2025 13:19
5/27/2025 13:21
5/27/2025 13:21
5/27/2025 13:21</t>
  </si>
  <si>
    <t>5/27/2025 13:25
5/27/2025 13:32
5/27/2025 13:29
5/27/2025 13:33
5/27/2025 13:32
5/27/2025 13:34
5/27/2025 13:28
5/27/2025 13:25
5/27/2025 14:01</t>
  </si>
  <si>
    <t>TH- 364 Install Orders. Broadband- 140 Install Orders. IPTV- No dip.</t>
  </si>
  <si>
    <t>DPS, Selfcare_B2C</t>
  </si>
  <si>
    <t>INC14521139</t>
  </si>
  <si>
    <t xml:space="preserve"> BSNL recharges were getting failed via Nova App.   </t>
  </si>
  <si>
    <t xml:space="preserve">In this issue, DPS and Selfcare_B2C was getting high error rate from downstream NFB (Utilities &amp; Recharges) due to which impact on BSNL Recharges via Nova App was observed. Upon investigation, APB_BBPS Team suspected issue at NPCI end and raised the concern for the same. However, error rate decreased @18:40 Hrs. without any technical intervention. </t>
  </si>
  <si>
    <t xml:space="preserve">INC14459630 </t>
  </si>
  <si>
    <t>1)Host Name : Channel-Backend-Alerts-NovaTel_selfcareV1
Sev_2 , Current Value : 55.479452054794521
API : /services/common/recharge/order-details/BBPS_V2/RECHARGE
Alert time: 2025.05.27  17:12 Hrs
Incident: INC14459630 , Alert94053945</t>
  </si>
  <si>
    <t xml:space="preserve">68% failure on API. </t>
  </si>
  <si>
    <t>Nova App Experience Journey, Nova IQ Customer Experience Journey, B2B SMS Journey, Broadband Customer Experience Journey, Postpaid Customer Experience Journey, DTH Customer Experience Journey</t>
  </si>
  <si>
    <t>HB_CRM, Fibre Force, Ironman_IQ, Mediation_IL, SkyVault, BTFLY_CRM, DTH_OE, POS, Selfcare_B2C</t>
  </si>
  <si>
    <t>INC14467851</t>
  </si>
  <si>
    <t>Multiple applications were facing service disruption as one of the core switch got rebooted.</t>
  </si>
  <si>
    <t>In this issue, multiple IP addresses were unreachable despite their corresponding physical servers being operational and accessible via console. Network team confirmed that these IPs are hosted on the F-row of a physical machine configured for redundancy, meaning services should have automatically failed over to a secondary switch. However, the IPs remained offline. Further, VMware team performed individual NIC refreshes for the affected IPs, which showed some improvement. Subsequently, Network Team dispatched an engineer to the site to perform a hard reboot of the switch which restored the services, resolving the issue. The Network Team plans to open a TAC request with the OEM for further analysis, as the servers were unresponsive ("hung state") despite the absence of any amber alerts.</t>
  </si>
  <si>
    <t>ABGB, Prepaid, Nova IQ, Broadband, Postpaid, Digital Experience B2C, DTH, Digital Acquisition</t>
  </si>
  <si>
    <t>P1
P2</t>
  </si>
  <si>
    <t xml:space="preserve">INC14465612 , INC14464278  , INC14465612 , INC14465612 , INC14465693
INC14465676 , INC14465676 , Alert94076621 , Alert94076626
</t>
  </si>
  <si>
    <t>Direct:
1)multiple network Alert
10.92.xx.xx ,10.96.xx.xx
Alert time :  2025-05-28 02:07 Hrs
Event No : INC14465612 , INC14464278  , INC14465612 , INC14465612 , INC14465693
Symptoms:
1)Multiple ping down alert trigger 
10.92.xx.xx . 10.94.xx.xx ,10.96.xx.xx
Alert time : 2025-05-28 02:12Hrs
Event No : INC14465676 , INC14465676 , Alert94076621 , Alert94076626</t>
  </si>
  <si>
    <t>5/28/2025  02:07 
5/28/2025  02:12</t>
  </si>
  <si>
    <t>5/28/2025  7:54:00 AM
5/28/2025  04:39 AM</t>
  </si>
  <si>
    <t>Prepaid New Order Sim Swap Journey, Prepaid Customer Experience Journey</t>
  </si>
  <si>
    <t>eCAF_Sim Swap, Service Portal</t>
  </si>
  <si>
    <t>INC14470979</t>
  </si>
  <si>
    <t xml:space="preserve">Prepaid SimSwap activation and Service Portal for East Hub was impacted intermittently.
</t>
  </si>
  <si>
    <t>In this issue, eCAF team was getting timeout error from PACS and Service Portal was also getting failure from PACS. During troubleshooting it was identified that the active sessions were high and DB contentions also increased, so to mitigate the issue initially, DB team killed the sessions post which some improvement was observed but again the RT increased. Further DB team took PACS DB bounce for 106 and 107 Nodes. Post which RT from eCAF end decreased and PACS team took service refresh post which pendency decreased and issue got resolved.</t>
  </si>
  <si>
    <t>P1
P1
P2
P1
P1</t>
  </si>
  <si>
    <t>INC14468600
Alert94085005
INC14468685
INC14468689
INC14468725</t>
  </si>
  <si>
    <t>Direct :
1)PACS-BBN-High Number of Active Connections_Sev-1
Alert time:2025-05-28 08:02
Event No: INC14468600
Symptoms:
1)ECAF-Prepaid New Customer Acquisition / Postpaid New Customer Acquisition-ECAF_SIMSWAP-RS_ipacseast.novatel.example:443
Alert time : 2025-05-28 05:54 (fluctuating) 
Event No : Alert94085005
2)Multiple Api DT prepaid issue 
API: http://esbonline.novaworld.in:8011/services/service/trackserviceprovisioning/v1/provisionstatus
API: http://esbonline.novaworld.in:8011/services/customer/servicerequestdetails/v1_2
Alert time:2025-05-28 08:10
Event No: INC14468685
3)sp_multitenant_api_failure
URL:http://esbonline.novaworld.in:8011/services/service/trackserviceprovisioning/v1/provisionstatus
Alert time:2025-05-28 08:10
Event No: INC14468689
4)sp_multitenant_audit_raiseSRViaCase_latency_failure
URL:https://casemgmt.india.novatel.internal/troubleticket
Alert time : 2025-05-28 08:15
Event No : INC14468725</t>
  </si>
  <si>
    <t>5/28/2025 8:02
5/28/2025 5:54
5/28/2025 8:10
5/28/2025 8:10
5/28/2025 8:15</t>
  </si>
  <si>
    <t>5/28/2025 8:56
5/28/2025 5:59
5/28/2025 8:40
5/28/2025 8:40
5/28/2025 8:33</t>
  </si>
  <si>
    <t>Success Dip Prepaid= (D vs D-7: 18788 vs 21432= 2644 is 12%)
Success Dip SimSwap= (D vs D-7: 886 vs 2116= 1230 is 58%)
PM Condition: Yes (Prepaid Sim Swap orders impacted &gt;7500 qualifies for SDN).</t>
  </si>
  <si>
    <t>INC14471907</t>
  </si>
  <si>
    <t xml:space="preserve">AES reports delivery to business is impacted.
 </t>
  </si>
  <si>
    <t>In this issue, it was identified that slowness on AES PROD/BCV Legacy CU was impacting the delivery of AES reports to the business. To mitigate this issue, App DBA along with DBA team killed the RMS sessions, after which application team reinitiated the process. Post which delivery of the reports started and issue stands resolved.</t>
  </si>
  <si>
    <t>35 Reports were impacted.</t>
  </si>
  <si>
    <t>INC14471280</t>
  </si>
  <si>
    <t>CC advisors were unable to view open SRs in Service Portal.</t>
  </si>
  <si>
    <t>In this issue, CC advisors reported that open SR was not visible at their end in Service Portal. On further checking with team, it was observed that for the process of Golden gate syncing and table creation, indexing was not present in DB. After proceeding with index creation DB team faced high latency due to a service TRACK CASE(For open SR tracking) which was giving multiple hits on DB. Case team stopped this particular service to increase the processing speed of index creation. To mitigate the issue DB team Truncate the table, post which success was observed and issue got mitigated.</t>
  </si>
  <si>
    <t>INC14467521
Alert94090759
INC14469389
INC14469633</t>
  </si>
  <si>
    <t>Symptom
1) Host Name : Case URL Monitoring
URL : http://trackcase-console.apps.n1ocp-pclus-01.india.novatel.internal/trackCaseMeta/update
Alert time : 2025.05.28 05:26 hrs (Fluctuating)
Event No - INC14467521
2)Host Name : sp_multitenant_api_failureURL : http://esbonline.novaworld.in:8011/services/service/trackserviceprovisioning/v1/provisionstatus
Alert time : 2025.05.28 09:07
Event No - Alert94090759
3)Host Name : sp_multitenant_audit_raiseSRViaCase_latency_failure URL : https://casemgmt.india.novatel.internal/troubleticket
Alert time : 2025.05.28 09:20
Event No - INC14469389
4)Host Name : sp_multitenant_api_failureURL : https://casemgmt.india.novatel.internal/troubleticket
Alert time : 2025.05.28 09:49
Event No - INC14469633</t>
  </si>
  <si>
    <t>5/28/2025 5:26
5/28/2025 9:07
5/28/2025 9:20
5/28/2025 9:49</t>
  </si>
  <si>
    <t>5/28/2025 8:56
5/28/2025 9:10
5/28/2025 9:34
5/28/2025 10:09</t>
  </si>
  <si>
    <t>14976 failed hits.</t>
  </si>
  <si>
    <t>Nova App Experience Journey, Black Acquisition Journey, Black Customer Experience Journey, Broadband Customer Experience Journey, Broadband New Customer Acquisition Journey, DTH Change Order Journey, DTH Customer Experience Journey, Postpaid Customer Experience Journey, Prepaid Customer Experience Journey, Prepaid New Order Sim Swap Journey, Prepaid Online Recharge Journey, Prepaid Retail Recharge Journey</t>
  </si>
  <si>
    <t>DPS, Service Portal, ECHO, Feasibility, Nova App, Careshark, eCAF, Ecom, eCAF_Sim Swap, eCAF_eDSL, OneNova, NovaWorks, Mitra, DCAP</t>
  </si>
  <si>
    <t>INC14475460</t>
  </si>
  <si>
    <t>Multiple applications observed service disruption at Phase 2 DC.</t>
  </si>
  <si>
    <t xml:space="preserve">In this issue, service degradation was observed in multiple applications which was situated on Phase2 DC. However, During the course of troubleshooting, services started recovering gradually post 14:26 Hrs without any technical intervention, Post which issue got resolved. </t>
  </si>
  <si>
    <t>Digital Acquisition, Digital Experience B2C, Postpaid</t>
  </si>
  <si>
    <t>INC14472520,INC14472537,INC14472705,INC14472704,INC14472713 
Alert94101957,INC14472918,INC14472920,Alert94102028,INC14473138,Alert94102404,Alert94102653,Alert94102034,Alert94102650,INC14473124
INC14473203,Alert94102355,INC14473221</t>
  </si>
  <si>
    <t>Symptom:
1) Multiple Appd performance alert 
a)ECAF-Prepaid SimSwap New Order Journey-ECAF_SIMSWAP-RS
_paydigi.NovaTel.in:443 Error Rate is greater than 10%_Sev-1
b)NovaTel_Work-Telemedia and DTH Customer Experience Journey-BT_
/findnetworkelements/byrsu_OverallAvgResponseTime greater than 1500ms_sev-1
c)OneNova-Digital Customer Experience Journey-Homes
-OverallAvgResponseTime_ResponseTime is greater than 200ms_Sev-1
d)DTH_OE-DTH New Customer Acquisition-OverallAvgResponseTime more than 300ms_sev-1
e)ECAF_CART-Postpaid New Customer Acquisition / Broadband New Customer Acquisition-BT_
ecaf/Cart_AvgResponseTime is greater than 1000ms_Sev-1
Alert time :2025-05-28 14:00 Hrs
Event NO : INC14472520,INC14472537,INC14472705,INC14472704,INC14472713 
2)Multiple Application  performance alert
Alert time :2025-05-28 14:14 Hrs
Event NO : Alert94101957,INC14472918,INC14472920,Alert94102028,INC14473138,Alert94102404,Alert94102653,Alert94102034,Alert94102650,INC14473124,
3) Multiple kong alert
Host Name : 10.241.88.XX
Alert time:2025-05-28 14:15 Hrs
Event NO:INC14473203,Alert94102355,INC14473221</t>
  </si>
  <si>
    <t>5/28/2025 14:00
5/28/2025 14:14
5/28/2025 14:15</t>
  </si>
  <si>
    <t>5/28/2025 14:17
5/28/2025 14:17
5/28/2025 14:35</t>
  </si>
  <si>
    <t>Postpaid success dip: 55(DvsD-7:404-459) is 12% Prepaid success dip: 251(DvsD-7:5501-5752) is 4% Broadband success dip: 591(DvsD-7:39-630) is 94% Simswap success dip: 1064(DvsD-7:1025-2089) is 51% Homes success dip: 293(DvsD-7:4-297) is 99%. SSP success dip: 4060(DvsD-3:10441-14501) is 27% Nova App success dip: 1233362(DvsD-7:2771505-4004867) is 30% DPS success dip: 21976(DvsD-7:19527-41503) is 52% Careshark success dip: 359156(DvsD-7:4379257-4738413) is 7% Eco Dialer - Was not Working Mitra: 80 recharges were impacted via QR Flow.</t>
  </si>
  <si>
    <t xml:space="preserve">INC14481104 </t>
  </si>
  <si>
    <t>DB was not able to access Golden Gate files due to error in File System.</t>
  </si>
  <si>
    <t>In this issue, Remedy team identified integration failures with ESB and suspected a hardware problem. Further analysis by the application database (DB) and operating system (OS) teams, managed by Ericsson (NSG_NOC), traced the issue to a file system error that prevented the OS from accessing Golden Gate files. DB team resolved the file system issue, which restored services.</t>
  </si>
  <si>
    <t>Application was not able to send data to consumers</t>
  </si>
  <si>
    <t>BTFLY_Rating</t>
  </si>
  <si>
    <t>INC14482238</t>
  </si>
  <si>
    <t>Postpaid Rating services were down for FXPDCUCU54.</t>
  </si>
  <si>
    <t>In this issue, Unix team again observed the missing disk error on production server also, which persisted despite a server reboot. Storage team subsequently determined that the underlying cause was a disk space exhaustion issue, rendering disk (0x100000109b5213dc 0x100000109b5213dd) unavailable. To rectify this, the Storage team expanded the disk capacity. Following a subsequent server reboot executed by the Unix team, services were restored, and the issue was resolved.</t>
  </si>
  <si>
    <t>INC14482175</t>
  </si>
  <si>
    <t>1)The database status is UNKNOWN
Node - N1PL-PD-BTFCU53 10.13.61.215
Alert time:2025-05-29 00:51 Hrs
Event NO: INC14482175</t>
  </si>
  <si>
    <t xml:space="preserve">5/29/2025  00:51
</t>
  </si>
  <si>
    <t xml:space="preserve">5/29/2025  04:39
</t>
  </si>
  <si>
    <t>Rating services down for FXPDCUCU54.</t>
  </si>
  <si>
    <t>Active Directory, Arcos, ServiceNow</t>
  </si>
  <si>
    <t>INC14503529</t>
  </si>
  <si>
    <t>Users unable to login authentication based sites.</t>
  </si>
  <si>
    <t>In this issue, users reported problem during fresh login of Arcos. AD team confirmed at 05:30 Hrs that they mitigated issue for Arcos at 05:00 Hrs by disabling two-factor authentication for users. Subsequently, teams monitored and troubleshooted a connectivity problem between Active Directory (AD) and its destination. Despite multiple corrective actions by the involved teams, the root cause could not be identified. However, AD connectivity was automatically restored, and services were reinstated without further technical intervention, resolving the issue.</t>
  </si>
  <si>
    <t>DC Network, DC Infra, AIOps</t>
  </si>
  <si>
    <t>Authentication based sites unable to fresh login.</t>
  </si>
  <si>
    <t>APB_BBPS_COU</t>
  </si>
  <si>
    <t>INC0497103</t>
  </si>
  <si>
    <t xml:space="preserve">High response time observed for NFB-BBPS-COU originating from NPCI. </t>
  </si>
  <si>
    <t>In this issue, High response time was observed from NPCI, leading to service degradation across NFB-BBPS-COU. During investigation actual caused was not identified at application end. However, issue got auto resolved without any technical intervention of domain teams.</t>
  </si>
  <si>
    <t>INC14504897</t>
  </si>
  <si>
    <t>Symptom:
1)Host Name : 5xx Failure in 10 min Channel-Backend-Alerts-NovaTel_selfcareV1
API : /services/common/recharge/order-details/BBPS_V2/RECHARGE
Alert time: 2025.05.30 10:37
Event no: INC14504897</t>
  </si>
  <si>
    <t>For NFB-BBPS-COU Success Transactions Dip Comparison: {D vs (D-7)}= 870-9799=8929 (91% dip in success rate)0</t>
  </si>
  <si>
    <t>Prepaid Online Recharge Journey, Prepaid Retail Recharge Journey, Prepaid Customer Experience Journey (Activation/Install), Postpaid Customer Experience Journey (Activation/Install), Prepaid Customer Retail Acquisition Journey</t>
  </si>
  <si>
    <t>LAPU_GT, LAPU_MT, Mediation_IL, Mitra, PACS</t>
  </si>
  <si>
    <t>INC14507990</t>
  </si>
  <si>
    <t>Online, Retail recharges ,Prepaid and Postpaid activations were intermittently delayed.</t>
  </si>
  <si>
    <t xml:space="preserve">In this issue, for the LAPU_MT and LAPU_GT application nodes in Ph2 DC, IN connectivity was lost with Techlan, due to which online and offline recharges observed a brief impact. To mitigate the issue quickly, LAPU team shifted traffic to N1 DC at 11:52 Hrs. However, the Mediation_IL was still observing connectivity issue, as N2 servers were also unable to connect with IN_HLR. To mitigate, Mediation_IL team also routed the traffic to N1 and south DC which cleared the delay in prepaid and postpaid activations. The complete issues are mitigated now. </t>
  </si>
  <si>
    <t>Prepaid, Digital Experience B2C, Digital Acquisition</t>
  </si>
  <si>
    <t>INC14505831,INC14505830
INC14505880,INC14505877,INC14506036
INC14505744,INC14505743
Alert94211239
INC14505844
INC14506009</t>
  </si>
  <si>
    <t>Direct:
1)Multiple LapuGT/MT_1002_responsecode|SERVER : 10.241.177.20/21/22/23/24
Alert time - 2025-05-30 11:48 Hrs 
Event No -INC14505831,INC14505830
Symptom:
1)Multiple mitra_LapuFailureTrend_ErrorCode
Alert time - 2025-05-30 11:31 Hrs
Event No -INC14505880,INC14505877,INC14506036
2)Multiple Appd alert for Lapu and Mitra
a)Mitra-Prepaid Retail Recharge Journey-Overall Avg ResponseTime 700ms_Sev-1
b)LAPU-Online Recharge Journey-MT_Hub2_Lapu-Overall Response time 1000ms_Sev-1
c)Mitra2_Phase_2-Prepaid Retail Recharge Journey-Overall Avg Response Time&amp;gt;700ms_Sev-1
d)LAPU-Online Recharge Journey-MT_Hub1_Lapu-Overall Response time 1000ms_Sev-1
Alert time - 2025-05-30 11:46 Hrs
Event-INC14505744,INC14505743
3)sp_multitenant_api_failure|Trigger Value: 4662
URL:https://mediation-gloo.novatel.example/ilws/InstantLinkSOA
Alert time - 2025-05-30 12:04 Hrs
Event-Alert94211239
4)Mitra FRC Status High count in last 5 min|Current Value : 511
Alert time - 2025-05-30 11:50 Hrs
Event-INC14505844
5)ECAF_PREPAID_MILESTONE_ORACLE|Current Value : 1101
STATUS : pacs_success
Alert time - 2025-05-30 12:00 Hrs
Event-INC14506009</t>
  </si>
  <si>
    <t>5/30/2025 11:47
5/30/2025 11:51
5/30/2025 11:46
5/30/2025 12:04
5/30/2025 11:50
5/30/2025 12:00</t>
  </si>
  <si>
    <t>5/30/2025 11:56
5/30/2025 12:21
5/30/2025 11:54
5/30/2025 12:09
5/30/2025 12:32
5/30/2025 12:20</t>
  </si>
  <si>
    <t>LAPU_MT &amp; LAPU_GT Dip: 1783 recharges
PACS Pendency (Prepaid and postpaid)- 1203 orders activation delayed.</t>
  </si>
  <si>
    <t>NovaWorks, Nokia OSS - GIS</t>
  </si>
  <si>
    <t>INC14507955</t>
  </si>
  <si>
    <t>Broadband order provisioning and movement to task 2 was impacted in leading to pendency at Nokia_OSS GIS.</t>
  </si>
  <si>
    <t>In this issue, license server of Nokia_OSS GIS license server went into hung state leading to pendency at in Broadband installation order provisioning. Unix team rebooted the server (10.222.177.158) followed by service restart by application team. Post which, traffic was enabled on Primary was enabled and orders started processing.</t>
  </si>
  <si>
    <t>INC14507787,INC14507791 
Alert94216627 ,Alert94216624 , Alert94216622
INC14508288</t>
  </si>
  <si>
    <t xml:space="preserve">
1)Multiple GIS PORT DOWN ALERT on 10.222.177.XX,10.222.232.XX
 Alert Time : 2025-05-30 14:20 Hrs 
Incident  : INC14507787,  INC14507791 
1)Multiple GIS Critical urls ALERT
 Api- https://ossgis.india.novatel.internal/ , 
        https://ossgis.india.novatel.internal/emaps/
        https://ossgis.india.novatel.internal/fault_locator/
 Alert Time : 2025-05-30 14:25 Hrs
 Event no: Alert94216627,Alert94216624 ,Alert94216622
2)AW Nokia mismatch count|15_16 Difference in AW and Nokia count in last 1hr | AW Count: 688  |  Nokia Count : 448  | Difference: 240
  Alert Time : 2025-05-30 15:04 Hrs 
Event no : INC14508288</t>
  </si>
  <si>
    <t>5/30/2025 14:20
5/30/2025 14:23
5/30/2025 14:25
5/30/2025 14:25
5/30/2025 14:25
5/30/2025 15:04</t>
  </si>
  <si>
    <t xml:space="preserve">5/30/2025 14:44
5/30/2025 14:48
5/30/2025 17:57
5/30/2025 17:57
5/30/2025 17:57
5/30/2025 15:42
</t>
  </si>
  <si>
    <t>800 tag change order</t>
  </si>
  <si>
    <t>INC14514335</t>
  </si>
  <si>
    <t>AIO reports delivery impacted for Business.</t>
  </si>
  <si>
    <t>In this issue, Application team observed that they are getting an error upon running a SQL query at their end. Application team confirmed that there was some issue with the control center because of which issue triggered. Upon CC starting working fine, Application team removed log files of the jobs followed by rerun of fresh job resolving the issue.</t>
  </si>
  <si>
    <t>Delay in Business reports delivery.</t>
  </si>
  <si>
    <t>LAPU_GT, Botree</t>
  </si>
  <si>
    <t>INC14516403</t>
  </si>
  <si>
    <t>Lapu hub 4 node 2 DB server not able to login.</t>
  </si>
  <si>
    <t>In this issue, Application team observed a connectivity issue with Hub 4 DB node 2. Unix team rebooted the server but after that DBA team not able to start DB services on that server. Further, traffic was shifted to healthy node for LAPU_GT and Botree, post which issue stands mitigated. Teams will rejoin upon alignment of OEM for further analysis.</t>
  </si>
  <si>
    <t>Prepaid, IntOps</t>
  </si>
  <si>
    <t>INC14514471</t>
  </si>
  <si>
    <t>Direct
1)The database status is UNKNOWN
Node: N2PL-PD-ALAPUDB14 / 10.241.48.17
Alert time : 2025-05-31 01:06 Hrs
Event no : INC14514471</t>
  </si>
  <si>
    <t>Succes Dip (D vs D-7): (1426 vs 942) is no Dip</t>
  </si>
  <si>
    <t>INC14522259</t>
  </si>
  <si>
    <t>Prepaid SimSwap activation for NorthEast Hub was impacted intermittently.</t>
  </si>
  <si>
    <t xml:space="preserve">In this issue, eCAF team was getting timeout error from PACS .Initially it was found that a long running query was running at 106 PACS new DB, which was killed by DB team, but no improvement was observed. Later it was identified that Golden Gate extract process was on hung state for One_NMS to IMS call after the switch replacement activity (CHG0180406), due to which One_NMS DB was out of sync with Golden gate. To resolve the issue, DB team restarted the extract process, post which the One_NMS DB was back to sync with Golden Gate. Following which pendency started decreasing and Issue got resolved.
</t>
  </si>
  <si>
    <t>337 Order Pendency</t>
  </si>
  <si>
    <t>CHG0180406</t>
  </si>
  <si>
    <t>APB_Payment_UPI, APB_Payments Hub</t>
  </si>
  <si>
    <t>INC0498782</t>
  </si>
  <si>
    <t xml:space="preserve">An issue was being observed in NFB-PAYMENTS-UPI where high response from CBS due to UPI transactions was intermittently impacted.
</t>
  </si>
  <si>
    <t>In this issue, UPI transactions were intermittently impacted due to high response times from CBS. However, during the troubleshooting process, the issue auto-resolved 18:40 Hrs without any intervention from the technical domain teams. Upon analysis, database team identified that SQL ID 889v80w7rvq5j  was executed by the FCRHOST user in the CBSPROD database. The Database Team is in the process of extracting the AWR report for further analysis.</t>
  </si>
  <si>
    <t>For NFB-Payment-UPI - Total transaction 8224328, Success Transactions 8162065 (99.24% success rate) For NFB-Paymenthub - Total transaction 22148807, Success Transactions 22083426 (99.70% success rate)</t>
  </si>
  <si>
    <t>Broadband Customer Experience Journey, Black Customer Experience Journey, DTH Customer Experience Journey, Broadband Customer Experience Journey, Black Customer Experience Journey, DTH Customer Experience Journey, Postpaid Customer Experience Journey, Prepaid Customer Experience Journey</t>
  </si>
  <si>
    <t>INC14534752</t>
  </si>
  <si>
    <t>CC advisors were unable to view open SR &amp; FTR in Service Portal.</t>
  </si>
  <si>
    <t>In this issue, CC advisors reported that open SR &amp; FTR were not visible at their end in Service Portal for all LOBs. Although SR/FTR were visible in respective CRM's. Service Portal  was getting timeout error from Case API. Case team took pod refresh but no improvement was seen. There were app queries which were consuming high space on storage resulting in high IO from storage end. To mitigate the same, Storage team disabled the capping, post which issue was resolved.</t>
  </si>
  <si>
    <t>Success Dip: (D vs D-7 : 406 vs 11795 : 11389) is 96.5%.</t>
  </si>
  <si>
    <t>Broadband Customer Experience Journey, Broadband New Customer Acquisition Journey</t>
  </si>
  <si>
    <t>eCAF_eDSL, HB_ATOM, eCAF</t>
  </si>
  <si>
    <t>INC14535560</t>
  </si>
  <si>
    <t>Broadband acquisition and other order processing was impacted.</t>
  </si>
  <si>
    <t>In this issue, HB_CRM faced high response time in all APIs. The HB_CRM team isolated one DB node on which the load was high, but no improvement was observed. As a proactive measure, the team stopped the archival, after which eCAF failures reduced. Further, due to this issue, HB_ATOM pendency was increased and queues were getting piled up, for which manual order re-push was carried out at the HB_ATOM end. Yet the intermittent failures were still there, as application to DB TNS ping was still high, which came down to threshold without any action. Orders are cleared and issue is resolved.</t>
  </si>
  <si>
    <t xml:space="preserve">Primary root cause Summary: 
• Intermittent issue observed in Broadband Acquisition and change order led impact toward Broadband Customer Acquisitions and Customer Experience journey’s. 
• In this issue, eCAF was getting SocketTimeoutException: Read timed out from downstream HB_CRM API’s for Create Order/Create Change Order.“ I/O error on POST request for "https://hbcrmeailb.india.novatel.internal:6443/siebel/v1.0/service/HUMBDServices/CreateChangeOrder": Read timed out; nested exception is java.net.SocketTimeoutException: Read timed out ,https://hbcrmeailb.india.novatel.internal:5443/siebel/v1.0/service/HUMBDServices/CreateOrder”.
• As per downstream team, they were getting intermittent high response time for all the APIs form last 3,4 days , response getting varied between 20 to 100 ms for fractions of times. Here App to DB response TNS ping getting intermittently high.
• As a proactive measure, the team stopped the archival backups, after which eCAF failures get reduced. For pendency manual repush done to clear the orders.
• To mitigate the impact HB team took multiple actions “ DB bounce , segregations of DB nodes, halted archival backup “ however, doesn’t help and later, network team shifted the application traffic to other device resulted to reduce the latency and mitigate the issue.
• NW team explain that servers were connect to different leaf in active -active modes in J row and further to spine switches and further to uplink wherever, uplinks in the port bundle was intermittently highly utilized, reaching up to 95%. Historical reports and logs showed that the utilization was high despite no server sending high volume traffic. A particular source IP address was causing the switch to broadcast ARP requests, leading to high uplink utilization. This broadcast issue was identified as the cause of the high response times for the impacted APIs.
Observations: 
• Mitigation plan took longer time which increased the overall MTTR of the outage.
• NW team have to acknowledge and inform to impacted party if they suspected anything over network layer/Switch or logging case to the OEM for validation in backend.
• NW team have to informed proactively to the application owners if similar time of behaviour observed in any of switch going forward.
• Similar kind of issue also reported for H Row (1A 62 DC) &amp; A row 2B 62 DC , as well wherever, NW team updated that there are more than 100 NW switch is upgrade is already in pipeline for DC-62 as switches are 7–8 years old and limited to 8GB of memory, making it incompatible with newer firmware patches required .
Preventive Actions:
• Standard operating  SOP need to re-visit and frame accordingly to catch such issue proactively.
• Port utilizations alerts has been monitor along with port bundle alert till the time switch replacement of EOS not get sorted. Closed BED
</t>
  </si>
  <si>
    <t>PRB0044499</t>
  </si>
  <si>
    <t>P1
P3
P3</t>
  </si>
  <si>
    <t>INC14532326
INC14532605,INC14533617
Alert94320056/Alert94320993/Alert94321014</t>
  </si>
  <si>
    <t>Symptoms:
1)Telemedia New Customer Acquisition Journey-OverallErrorRate is greater than 10%
Alert time:2025-06-01 07:45(Fluctuating )
Event no:INC14532326
2)Multiple HB_CRM APIs RT Sable URI Response Alert
URI_PATH : /siebel/v1.0/service/HUMBDServices/CreateOrder
Alert time:2025-06-01 08:08(Fluctuating )
Event no:INC14532605,INC14533617
3)ecom-oracle-business-metrics-SIEBEL_ORDER_PENDING compared with D-7 | Count D : 266 | Count D-7: 211 | Threshold : 20%
Alert time:2025-06-01 09:26
Event no:Alert94320056/Alert94320993/Alert94321014</t>
  </si>
  <si>
    <t>06-01-2025  07:45
06-01-2025  08:08
06-01-2025  09:26</t>
  </si>
  <si>
    <t>06-01-2025  08:23
06-01-2025  08:54
06-01-2025  09:29</t>
  </si>
  <si>
    <t>Broadband success dip(DvsD-7:8668-2163) No dip.
HB_ATOM- 300 order pendency.</t>
  </si>
  <si>
    <t>Optimus, HB_CRM, HB_ATOM</t>
  </si>
  <si>
    <t>INC14538729</t>
  </si>
  <si>
    <t>All types of broadband orders excluding acquisition were impacted.</t>
  </si>
  <si>
    <t>In this issue, some orders were still stuck at the HB_CRM end post resolution of actual issue which lead to increased pendency on HB_ATOM along with that broadband orders were getting failed in Optimus status task as well. To clear the resumption order pendency team manually re-pushed the orders. For Optimus task failure cases, it was identified that I/O error was observed on that particular aerospike cluster node(10.13.61.36) hosted on 62 DC which further impacted the normal flow of orders. To mitigate the issue, Optimus team moved only write traffic to Phase2 DC post which orders started moving and pendency got cleared.
For the hardware issue, Unix team has raised a case with vendor.</t>
  </si>
  <si>
    <t xml:space="preserve">Primary Root Cause: 
Specification Leg – 01
Q1: Why there was a service degradation experience in Broadband Customer Experience Journey?
Ans: Because, HB_ATOM team was experiencing failures at Optimus task for Broadband resumption orders. Since HB_ATOM relies on Optimus to retrieve customer details for order processing, this caused orders to get stuck in Siebel, resulting in increased backlog; queue started piling up that increased HB_ATOM failure task pendency.
Q2: Why there were orders failures at Optimus task?
Ans: Because, initially HB_ATOM were getting valid business error. However, when pendency started increasing above the threshold, team found failures at Optimus end. However, on investigation, Optimus team identified their 2 Aerospike nodes were misbehaving and received alert for one of the nodes hosted in 62 DC.
Detection Leg 02:
Q3: Why Aerospike nodes were misbehaving?
Ans: Further investigation uncovered that, there are four Aerospike nodes at 62 DC. One node (X.X.X.37) was rebooting due to hardware issues, and another one had disk visibility problems causing disruption. Optimus team redirected write traffic from 62 to Phase 2 DC, resolving broadband resumption orders issue by 2:15 PM and clearing backlog. 
Q4 : Why traffic was not running smoothly on remaining working nodes?
Ans: Since, Optimus traffic is currently distributed evenly between 62 and N2 DC (50/50 split). At 62 DC, four nodes are responsible for handling the traffic, with a replication factor of 2 (RF2) in place to ensure data availability. However, a simultaneous failure of two nodes at DC 62 resulted in both the primary and replica (mirror) data nodes becoming unavailable. However, data unavailability issues occurred when application requests were routed to the affected nodes at DC 62.
Systemic leg-03
Q5: Why there was hardware and disk visibility issue with nodes?
Ans: Unix team found that 37 Ip node had previous reboots and hardware replacements (DIMM, PSU, power supply). This time, the network daughter card was replaced, and the system is now stable. However, node 36 IP NVMe drive malfunctioned and became invisible, but since it was not totally failed/faulty no hardware faults were detected, which delayed issue identification. The team is working to repair the hardware and to bring back the node. Once all nodes are synced, Optimus resiliency will be restored.
Observations:
• Since Optimus all nodes on both DCs are EOL/EOS and Firmware upgrade is not possible on these old machines and there is a possibility that server wouldn’t come up. Additionally, systems are not under standard Dell Support so we are running on Risk. Hence, Unix and Optimus team is planning to migrate it to new hardware as a long-term solution. 
• Multiple hardware components were replaced on Node 37 due to repeated system reboots occurred on May 26th, 27th, and 28th. The replaced components included a DIMM module, power supply unit, and power supply cord. 
• On Node 36, one out of six disks became unmounted, which led to the reported issue.
Preventive Actions:
• The hardware replacement was completed for one of the nodes (Network Card and DIMM)- Closed
• For disc related issues the hardware replacement is still pending with Unix team. In Progress ETA- 7th June 2025 (Jitendra Kumar)
• Long-term fix: Optimus to plan and upgrade to new hardware as a long-term solution. Open ETA- 31st August 2025 (Sanjeev Kumar/Rajiv Ranjan)
</t>
  </si>
  <si>
    <t>PRB0044500</t>
  </si>
  <si>
    <t>Analytics, Broadband</t>
  </si>
  <si>
    <t>Alert94325699/INC14535010
INC14535183</t>
  </si>
  <si>
    <t>Symptom
1)Aerospike-10.13.61.37 EXPORTER SERVICE IS DOWN
Alert Time: 01-06-2025 12:16
Event no:Alert94325699/INC14535010
2)hb_atom_taskwise_optimus_Failed COUNT:519
Alert Time :2025-06-01 12:44
Event no:INC14535183</t>
  </si>
  <si>
    <t>6/1/2025 12:16
6/1/2025 12:44</t>
  </si>
  <si>
    <t>6/1/2025 12:21
6/1/2025 13:12</t>
  </si>
  <si>
    <t>Total Impacted orders: 3300; 1500 pendency resumption orders</t>
  </si>
  <si>
    <t>INC14539698</t>
  </si>
  <si>
    <t xml:space="preserve">Broadband installation/ provisioning orders were impacted. </t>
  </si>
  <si>
    <t xml:space="preserve">In this issue, Nokia OSS application to Maria DB connection error was observed, due to which application PODs went into crash loop back state. For the recovery multiple actions were taken from application end including service restart and Maria Db restart but no improvement observed. Further, Nokia OSS team identified that there was an issue with Certificate &amp; Credential as a TLS certificate for Maria DB got Auto- renewed on 17th May and has an expiry on 1st June, after renewal proper SOP based restart to be done to make the certificate, which got missed. Due to this App to DB connectivity was not allowed leading to impact. To restore SOP based restart of was taken for Maria DB Pods , post which issue got resolved. 
</t>
  </si>
  <si>
    <t xml:space="preserve">Primary Root Cause:
Leg 01 – Specification 
Q1. Why was Broadband Customer Experience Journey (Activations/Installations) impacted in Nokia OSS and NovaWorks? 
A1. Because Broadband orders (FTTH + MOP) were stuck at Task 2 due to unavailability of critical Nokia OSS GUIs – OH (Order Hub) and UIV (Unified Inventory). This outage disrupted downstream provisioning, halting both activation and installation processes. 
Q2. Why were the Nokia OSS GUIs inaccessible? 
A2. The interfaces became unreachable due to lost connectivity with the backend MariaDB database. This was caused by essential MariaDB pods (CKey, MaxScale) entering a crash-loop back-off state, triggered by persistent liveness probe failures. These failures were the result of unsuccessful database connections, leading to repeated pod restarts. 
Leg 02 – Detection 
Q3. Why was the application unable to connect to the MariaDB database? 
A3. The connection failures occurred due to TLS handshake errors caused by an expired TLS certificate (expired on June 1, 2025). Although a new certificate was auto-renewed on May 17, 2025, it was never applied to the running pods, resulting in authentication failures and pod crashes. 
Q4. Why was the renewed certificate not applied to the running pods? 
A4. The auto-renewal mechanism generated a new certificate, but it was never loaded into active pod memory because no pods restart occurred. Since there was no automated mechanism or manual intervention to reload the new certificate, the pods continued using the expired one. 
Q5. Why weren’t the pods restarted after certificate renewal? 
A5. The OEM-recommended SOP lacked guidance on manually restarting pods post certificate renewal. The existing SOP mandates that certificate auto-renewal was sufficient and did not address the need to reload updated secrets into running containers via restarts. 
Leg 03 – Systemic Failure 
Q6. Why was the TLS certificate hygiene issue not detected proactively, leading to delayed restoration? 
A6. Lack of post-renewal validation and missing alerts for certificate expiry or TLS failures caused the issue to go unnoticed. The Operations team identified the expired certificate only after reviewing logs, but resolution was delayed due to Care team dependency. A rolling restart of the MariaDB StatefulSet eventually applied the renewed certificate and restored services.
Preventive Actions: 
• Mandate R&amp;D to update the SOP, clearly instructing that pod restarts are compulsory after every TLS certificate auto-renewal to ensure updated secrets are applied. – Vikas (Open) 
• Introduce mandatory post-renewal sanity checks. Deploy automated probes/scripts to continuously check if renewed TLS certificates are active in all running pods. Configure alerts to flag any stale secrets in container memory. – Deepak (Open) 
• Set up system level alerts for certificate expiry (with threshold) and TLS handshake failures and stale or unapplied secret usage. – Deepak (Open) 
• Evaluate and if feasible, allow Operations team to perform rolling restarts independently without requiring Care team approval, minimizing response and resolution time. – Vikas (Open) 
• Design automated routines to detect certificate related errors via log monitoring and where possible, trigger automated pre-defined remediation actions such as pod restarts where applicable. – Vikas (Open) 
• Initiate changes to increase certificate lifespan from 1 to 5 years, reducing operational overhead and frequency of renewal-related disruptions. – Vikas (Open)
• Grant controlled access to pod and application logs to the Operations team to enhance visibility, enable faster diagnostics, and support quicker RCA. – Vikas (Open)
</t>
  </si>
  <si>
    <t>PRB0044501</t>
  </si>
  <si>
    <t>P1/P1
P1
P1</t>
  </si>
  <si>
    <t>INC14537547,INC14537538,INC14537531 
INC14537577,INC14537575
INC14537734</t>
  </si>
  <si>
    <t>1)Multiple  NOKIA_F023_prod N1OCP-PCLUS-01 doc-common-svc Namespace wise
CONTAINER : cpro-grafana / maxscale /ckey-ckey
NAME : container_restart
Alert Time :2025-06-01 17:16 Hrs
Event no:INC14537547,INC14537538,INC14537531 
2)Multiple NOKIA_application_url_count 503
Sev_3,Current Value : 5.0
URL_NEW : https://ckey.apps.n1ocp-pclus-01.india.novatel.internal/auth
URL_NEW : https://flowoneprod23.india.novatel.internal:44043/sas5
Alert Time :2025-06-01 17:20 Hrs
Event no:INC14537577,INC14537575
3)Host Name : NovaTel_Works alerts for Broad Band Journey
Sev_3,Current Value : 111.0
COMPONENT : ordercount_TagChange
Alert Time :2025-06-01 17:42 Hrs
Event no:INC14537734</t>
  </si>
  <si>
    <t>6/1/2025 17:16
6/1/2025 17:20
2025-06-01 17:42:31"</t>
  </si>
  <si>
    <t>6/1/2025 17:39
6/1/2025 17:39
6/1/2025 19:37</t>
  </si>
  <si>
    <t>2.8K new install and shifting orders impacted</t>
  </si>
  <si>
    <t>Black Customer Experience Journey, Black Dunning Journey</t>
  </si>
  <si>
    <t>DCAP, UDP_Dunning</t>
  </si>
  <si>
    <t xml:space="preserve"> INC14540235</t>
  </si>
  <si>
    <t>Payment posting and unbarring was impacted for Black DTH customers intermittently.</t>
  </si>
  <si>
    <t xml:space="preserve"> In this issue, I/O error was identified on an aerospike cluster node (10.13.61.36) hosted in the 62 DC which intermittently impacted payment posting and unbarring for Black DTH customers. To mitigate the issue, Optimus team added three servers in the Phase 2 DC, and Network team moved 100% of the traffic to Phase 2 DC. Following this, the pendency got cleared in retrials, and the issue got resolved.
For the hardware issue, Unix team has raised a case with the vendor.</t>
  </si>
  <si>
    <t>Alert94325699/INC14535010</t>
  </si>
  <si>
    <t>1)Aerospike-10.13.61.37 EXPORTER SERVICE IS DOWN
Alert Time: 01-06-2025 12:16
Event no:Alert94325699/INC14535010</t>
  </si>
  <si>
    <t xml:space="preserve"> 
2025-06-01 12:16:21</t>
  </si>
  <si>
    <t>1700 Approx(Payment Posting pendency since 12:30 Hrs)
Unbarring orders: 250 Approx</t>
  </si>
  <si>
    <t>eCAF_eDSL, HB_CRM, eCAF</t>
  </si>
  <si>
    <t>INC14549427</t>
  </si>
  <si>
    <t>CC advisors were facing slowness to open HB_CRM along with Broadband acquisition orders were intermittently impacted.</t>
  </si>
  <si>
    <t>In this issue, HB_CRM faced high response time in all APIs due to Application-to-DB TNS ping being high. As a proactive step, HB_CRM team recommended halting the archival process at the Backup end. To mitigate the issue, Network team shifted the traffic of App nodes (10.14.70.55/56/57/58/87) from primary J row switch to secondary switch, post which improvement observed for TNS ping and API response time also came normal.</t>
  </si>
  <si>
    <t>P3
P3</t>
  </si>
  <si>
    <t>INC14545752/INC14546832
INC14546752 /INC14546752 /INC14546909 /INC14546908</t>
  </si>
  <si>
    <t>Direct
1)High Transmit Percent Utilization_NovaTel_Central_DC,Sev-3
Device Name = BAL-NDA62-1A-7050-LEAF-J1-1.novaworld.in
Device IP = 10.222.20.101,Component Name = Ethernet54/1
Component Descripion = ###Connected to BAL-NDA62-1A-7300-SPINE-2(10.222.23.12) on Ethernet4/19/1 for Uplink_Spine-Connectiv
Message = Current Transmit percentage utilization is 97 % 
Region = CENTRAL_Sector-62
Alert time:02-06-2025 05:59 (Fluctuating)
Event no:INC14545752/INC14546832
Symptoms:
1)Multiple HB_CRM  URI Response Alert 
URI_PATH : /siebel/v1.0/service/HUMBDServices/SRCreate
URI_PATH : /siebel/v1.0/service/HUMBDServices/GetRTNDetails
URI_PATH : /siebel/app/Updatemilestone/enu
URI_PATH : /siebel/v1.0/service/HUMBDServices/ManageService
URI_PATH : /siebel/v1.0/service/HUMBDServices/CreateUpdateTask
Alert time:02-06-2025 07:58 (Fluctuating)
Event no:INC14546752 /INC14546752 /INC14546909 /INC14546908</t>
  </si>
  <si>
    <t>06/02/2025  05:59
06/02/2025  07:58</t>
  </si>
  <si>
    <t>06/02/2025  06:28
06/02/2025  09:04</t>
  </si>
  <si>
    <t>Broadband Success Dip: (D vs D-7: 1296 vs 1280) : No dip.</t>
  </si>
  <si>
    <t>Lead to Activation Order Journey, Broadband New Customer Acquisition Journey, Postpaid New Customer Acquisition Journey, Prepaid Customer Retail Acquisition Journey, Prepaid New Order Sim Swap Journey, Black Acquisition Journey</t>
  </si>
  <si>
    <t>NovaWorks, eCAF, eCAF_eDSL, eCAF_Sim Swap</t>
  </si>
  <si>
    <t>INC14551442</t>
  </si>
  <si>
    <t>Lead to order and multiple acquisition journeys were impacted..</t>
  </si>
  <si>
    <t>In this issue, XFEs were unable to work on the LEAD assigned to them on NovaWorks for acquiring a customer and CROs in NovaTel store were unable to acquire a customer as they were not being assigned with the token that customer generates for getting a new NovaTel connection, which also gets assigned through NovaWorks. While troubleshooting, NovaWorks team informed on a change, deployed at their end, which triggered the outage. To fix the issue, NovaWorks team performed the rollback, post which issue got resolved.</t>
  </si>
  <si>
    <t>INC14550035</t>
  </si>
  <si>
    <t xml:space="preserve">
1)Host Name : NovaTel_Works alerts for Broad Band Journey
Trigger: Count &gt; 0.5 for TELEMEDIA
INSTANCE : 10.248.40.65:9070
ERROR : Error requesting url [http://fooss.india.novatel.internal:40880/WFM/async/handleResponse] 
Alert Time: 2025.06.02 12:33
Event no: INC14550035</t>
  </si>
  <si>
    <t>Broadband: 133(D vs D-6:857-990) is 13% dip. SimSwap: 491(D vs D-6:2413-2904) is 17% dip. Prepaid: 1488(D vs D-6:12585-14073) is 11% dip. Postpaid: 289(D vs D-6:584-873) is 33% dip. Black: 169(D vs D-6:70-239) is 71% dip.</t>
  </si>
  <si>
    <t>INC14561876</t>
  </si>
  <si>
    <t>Autofill functionality in Mitra was impacted intermittently.</t>
  </si>
  <si>
    <t xml:space="preserve">In this issue, Mitra team was unable to acquire JDBC connection due to which autofill jobs were impacted intermittently. During troubleshooting it was identified that, DB connectivity was lost for nodes 10.5.52.57/58, and DB was unable to generate the archive in storage. Hence to mitigate the issue, initially DB team changed the archive pointing to ACFS mount pointing and DB team took restart of both the nodes, post which application team took service restart but no improvement was observed. Further ACFS mount Pointing was changed to data disk group Pointing, following which improvement was observed. Post which autofill jobs started running and success was observed and issue got resolved. Also DBA team has raised a SEV1 case with the OEM. </t>
  </si>
  <si>
    <t>Alert94413581
INC14559519,INC14559520,INC14559521,INC14559596</t>
  </si>
  <si>
    <t xml:space="preserve">Direct:
1)Mitra-High Number of Active Connections_Sev-1| Mitra DB: n1pl-pd-amitradb01/02: 1535
Alert time - 2025-06-03 01:11 Hrs
Event No -Alert94413581
Symptom:
1)Multiple Appd alert for  Mitra
a)Mitra-Prepaid Retail Recharge Journey-Overall Avg ResponseTime 700ms_Sev-1
b)Mitra_Phase_1-Prepaid Retail Recharge-OverallAvgResponseTime&gt;700ms_Sev-1
c)Mitra2_Phase_2-Prepaid Retail Recharge Journey-Overall Avg Response Time&gt;700ms_Sev-1
d)Digital_Payments-Prepaid Retail Recharge Journey-Overall Response Time greater than 700ms_Sev-1
e)Mitra_Phase_2-Prepaid Retail Recharge-OverallAvgResponseTime&gt;700ms_Sev-1
f)Autofill-Prepaid Retail Recharge Journey-Overall Response Time&gt;500 ms_Sev1
Alert time - 2025-06-03 01:10 Hrs
Event-INC14559519,INC14559520,INC14559521,INC14559596
</t>
  </si>
  <si>
    <t xml:space="preserve">
6/03/2025 01:11
6/03/2025 01:10</t>
  </si>
  <si>
    <t>6/03/2025 Open
6/03/2025 02:20</t>
  </si>
  <si>
    <t>Autofill was not working for Mitra</t>
  </si>
  <si>
    <t>INC14564885</t>
  </si>
  <si>
    <t>Broadband billing data reports delivery were impacted at PRDK6CU2.</t>
  </si>
  <si>
    <t>In this issue, DARTS team reported that they were not receiving data from the ESB queue at PRDK6CU2, impacted broadband billing data reports. ESB team confirmed that no data was being received from the publisher (Golden Gate). Accenture DBA team identified a lag in Golden Gate caused by a heavy load. To resolve the issue, DBA team restart the specific service of Golden gate, post which issues stands resolved.</t>
  </si>
  <si>
    <t>INC14559045,INC14559125,INC14560368</t>
  </si>
  <si>
    <t xml:space="preserve">Symptom:
1) Multiple SOLACE_VPN_SPOOL_QUOTA_ALERTS_FOR_BSP
QUEUENAME:TelemediaFXGGDartsQ_10_223_131_194_PRDK6CU2
Alert Start: 2025-06-03 00:30
Event No: INC14559045,INC14559125,INC14560368
</t>
  </si>
  <si>
    <t>92 reports were impacted.</t>
  </si>
  <si>
    <t>PACS</t>
  </si>
  <si>
    <t>INC14568937</t>
  </si>
  <si>
    <t>Delay in Prepaid new customer activation via Nova App login.</t>
  </si>
  <si>
    <t>In this issue, service activation for prepaid customers installing the Thanks app before 30 minutes was temporarily delayed as PACS was not receiving data from the ESB queue. Upon investigation, NovaTel app team identified a failure to connect with Aerospike DB. To restore functionality, they implemented a workaround by configuring the application to read data directly from Mongo DB, which successfully re-established data flow to the PACS team and resolved the service interruption and the issue stands resolved.</t>
  </si>
  <si>
    <t>INC14563909 /INC14563966/Alert94434516/INC14564938 INC14564937</t>
  </si>
  <si>
    <t>Direct:
1) Multiple growth_Aerospike
Business Group : DE_Aerospike_myNovaTelapp-growth_C1, DIGITAL EXPERIENCE, PROXY_GROUP_1
Alert Time:2025.06.03 08:14 Hrs (fluctuating)
Event No: INC14563909 /INC14563966/Alert94434516/INC14564938 INC14564937</t>
  </si>
  <si>
    <t>Success Dip (D vs D-7): (89770 vs546387) :456617 is 83.5%</t>
  </si>
  <si>
    <t>Nova App Experience Journey, Broadband Customer Experience Journey, Broadband New Customer Acquisition Journey, Postpaid Customer Experience Journey, Prepaid Customer Experience Journey, Black Customer Experience Journey, DTH Customer Experience Journey, Postpaid New Customer Acquisition Journey, Prepaid Customer Retail Acquisition Journey, Nova App Experience Journey, Broadband Customer Experience Journey, Broadband New Customer Acquisition Journey, Postpaid Customer Experience Journey, Prepaid Customer Experience Journey, Black Customer Experience Journey, DTH Customer Experience Journey, Postpaid New Customer Acquisition Journey, Prepaid Customer Retail Acquisition Journey, Prepaid New Order Sim Swap Journey</t>
  </si>
  <si>
    <t>Nova App, NovaWorks, Careshark, DPS, eCAF, eCAF_EKYC, Feasibility, Service Portal, eCAF_eDSL</t>
  </si>
  <si>
    <t>INC14575233</t>
  </si>
  <si>
    <t>Multiple applications were facing service disruptions.</t>
  </si>
  <si>
    <t>In this issue, CC advisors were facing latency for Service Portal and Care Manager along with other applications were facing latency and failures on their APIs. Upon further investigation, it was identified that CPU utilization got high on one of the primary LB in Ph2 DC which triggered the outage. To restore, network team took failover of LB, post which issue got resolved.</t>
  </si>
  <si>
    <t>PRB0044502</t>
  </si>
  <si>
    <t>Tg alert
INC14573458
INC14573229,INC14573265,INC14573325,INC14573320,Alert94468411,INC14573353,INC14573334,Alert94469116
Alert94468714, Alert94471294,INC14568834,INC14572023,INC14572459</t>
  </si>
  <si>
    <t>1)Problem : F5 Failover Status Changed 
Device Name: BAL-NDAPH2-LTM-TENANT-DIGITAL-PRI.novatel.example,
Alert Time :2025-06-03 20:34 Hrs
Event no:Tg Alert
2)Key = CPU High Utilization_NovaTel_Central_DC
Device Name = BAL-NDAPH2-LTM-TENANT-DIGITAL-SEC.novatel.example
Device IP = 10.5.60.224)
Alert Time :2025-06-03 20:46 Hrs
Event no:INC14573458
Symptoms:
1)Multiple Application  performance alert
Alert Time :2025-06-03 20:30 Hrs
Event no:INC14573229,INC14573265,INC14573325,INC14573320,Alert94468411,INC14573353,INC14573334,Alert94469116,
2)Multiple kong Alert 10.241.178.XX,10.223.100.XX,10.5.60.XX
Alert Time : 2025-06-03 20:33:06
Event no:Alert94468714, Alert94471294,INC14568834,INC14572023,INC14572459</t>
  </si>
  <si>
    <t xml:space="preserve">6/3/2025  20:46 PM
6/3/2025  20:32 PM
6/3/2025  20:33PM
6/3/2025  20:35PM
6/3/2025  20:36PM
6/3/2025  20:29 PM
6/3/2025  20:37PM
6/3/2025  20:34PM
6/3/2025  20:40PM
6/3/2025  20:33PM
6/3/2025  21:20PM
6/3/2025  19:42PM
</t>
  </si>
  <si>
    <t xml:space="preserve">6/3/2025  21:16 PM
6/3/2025  20:43PM
6/3/2025  20:43PM
6/3/2025  20:50PM
6/3/2025  21:11PM
6/3/2025  20:36 PM
6/3/2025  21:37 PM
6/3/2025  20:49 PM
6/3/2025  20:44PM
6/3/2025  21:38 PM
open 
6/3/2025  20:32PM
</t>
  </si>
  <si>
    <t>Broadband Success Dip: 54 (D : 145 vs D-7 : 199) is 27%
Postpaid Success Dip: 34 (D : 163 vs D-7 : 197) is 17%
Prepaid Success Dip: 22 (D : 7841 vs D-7 : 7863 ) is No dip
SimSwap Success Dip: 667 (D : 889 vs D-7 : 1556 ) is 42%
Homes Success Dip: 53 (D : 15 vs D-7 : 68 ) is 78%"
Service Portal success dip: 484(D vs D-4: 3283 - 3767) is 12% dip.
Nova App success dip: (D vs D-6: 132443 - 43639) no dip.
DPS success dip: (D VS D-7: 161650-137795) no dip.
Careshark: 307347(D VS D-5: 2198589-2505936) is 12% dip.</t>
  </si>
  <si>
    <t>APB_Database</t>
  </si>
  <si>
    <t>INC0505386</t>
  </si>
  <si>
    <t>Monitoring of all database is impacted via DAM agent.</t>
  </si>
  <si>
    <t>In this issue, the DAM Agents were reporting a bad connectivity status, which impacted the monitoring of databases via the DAM Agent. During troubleshooting, the team identified that the /var mount point on the DAM appliance 10.241.240.56 was 100% full, causing the node to auto-rebooting. To mitigate the issue, initially team took Gateway service restart, further isolated faulty gateway node 10.241.240.56 from the environment for further analysis and resolution.</t>
  </si>
  <si>
    <t>Database monitoring impacted.</t>
  </si>
  <si>
    <t>Nokia OSS - GIS</t>
  </si>
  <si>
    <t>INC14594489</t>
  </si>
  <si>
    <t>Users Unable to Log In NIG Application</t>
  </si>
  <si>
    <t>In this issue it was identified that there was high load average observed for Nokia_GIS server 10.222.235.81. Due to which users were unable to login NIG application. Further VM team took reboot of the server(10.222.235.81.). Post which issue got resolved.</t>
  </si>
  <si>
    <t>P1/P1
P1
P1
P1/P1
P1
P1
P1
P1
P1</t>
  </si>
  <si>
    <t>INC14592583,INC14592631
Alert94532122 
Alert94532162
INC14593253,INC14593251,INC14593250,INC14593273
Alert94531956 
INC14593315,INC14593314,INC14593309
INC14593316,Alert94535253
INC14593363,INC14593341
INC14593455</t>
  </si>
  <si>
    <t xml:space="preserve">1) Multiple GIS PORT DOWN ALERT 10.222.234.245/10.222.235.80/81/82/83,10.222.232.203/204/205
Alert Time:2025-06-05 00:23 Hrs
Event No: INC14592583,INC14592631,
2)Load average is too high 5m
Host Name : 10.222.235.81
Sev_V3,Current Value : 140.25
Alert Time:2025-06-05 00:31 Hrs
Event No:Alert94532122 
3)High CPU utilization
Host Name : 10.222.235.81
Sev_P3,Current Value : 99.56 % 
Alert Time:2025-06-05 00:32 Hrs
Event No:Alert94532162
Symptom:
1)Mutiple HB_ATOM port_monitoring Alert 10.222.185.193/194/195/196/197/198/199/200/201/202
Alert Time:2025-06-05 01:24 Hrs
Event No:INC14593253,INC14593251,INC14593250,INC14593273
2)Host Name : GIS Critical urls ALERT
Sev_S3,Current Value : 14464.8
URL : https://ossgis.india.novatel.internal/physical_browser
Alert Time:2025-06-05 00:27 Hrs
Event No:Alert94531956 
3) Multiple nokia_packet_drop Alert 10.222.177.171/172/173
Alert Time:2025-06-05 01:30 Hrs
Event No: INC14593315,INC14593314,INC14593309
4) Multiple sp_multitenant_api_failure
Sev_2,Current Value : 345
URL : https://hbatomdn-prod.novatel.example/routermanagement/getCpeStatus
URL : https://ndlapi.novatel.example/nch/mynetex2/v1/network-complaint
Alert Time:2025-06-05 01:30 Hrs
Event No:INC14593316,Alert94535253
5) Multiple  port_monitoring Alert 10.222.177.171/72/73
Alert Time:2025-06-05 01:33 Hrs
Event No: INC14593363,INC14593341 
6)Host Name : PORT_MONITORING_SMPP-SKYVAULT_SOUTH
Sev_2,Current Value : 0.0
IP : 10.91.102.122 
Alert Time:2025-06-05 01:34 Hrs
Event No:INC14593455
</t>
  </si>
  <si>
    <t>2025-06-05 00:23:46"
2025-06-05 00:31:16"
2025-06-05 00:32:16"
6/5/2025 1:24
2025-06-05 00:27:26"
2025-06-05 01:30:16"
2025-06-05 01:30:11"
6/5/2025 1:33
6/5/2025 1:34</t>
  </si>
  <si>
    <t>6/5/2025 2:09
6/5/2025 2:11
6/5/2025 2:12
6/5/2025 2:06
6/5/2025 2:13
6/5/2025 2:36
6/5/2025 2:14
6/5/2025 2:36
6/5/2025 2:02</t>
  </si>
  <si>
    <t>2 to 3 users</t>
  </si>
  <si>
    <t>INC14599170</t>
  </si>
  <si>
    <t>Balance transfer was delayed for Black unbundling accounts of DTH.</t>
  </si>
  <si>
    <t>In this issue, DTH_OE team reported that DTH Post to Pre orders, characterized by their conversion from billing to recharge mode upon Black plan unbundling, were experiencing processing delays and were held in a waiting status at the BSL end. Further, ESB team verified a lack of outgress rate for consumer (BSL) for which, BSL team executed a service refresh, which facilitated the processing of the majority of the backlog. The BSL team then directly addressed the remaining orders, clearing them at their end followed by DTH_OE team initiating a re-push. This collective action restored normal order processing, bringing the services to restore and the issue stands resolved.</t>
  </si>
  <si>
    <t>Account Balance delayed for 246 orders.</t>
  </si>
  <si>
    <t>Postpaid New Customer Acquisition Journey, Prepaid Customer Retail Acquisition Journey, Prepaid New Order Sim Swap Journey</t>
  </si>
  <si>
    <t>eCAF, eCAF_EKYC, eCAF_Sim Swap, Mitra</t>
  </si>
  <si>
    <t>INC14597311</t>
  </si>
  <si>
    <t>Postpaid &amp; Prepaid acquisition and SimSwap were impacted.</t>
  </si>
  <si>
    <t xml:space="preserve"> In this issue, Postpaid &amp; Prepaid acquisition was impacted due to an error from UIDAI's end. The failure was specifically affecting the eKYC flow(Face authentication). To mitigate the impact, teams ensured that acquisition continued through biometric eKYC and dKYC methods. Post analysis it was observed that issue was with UIDAI which got auto-resolved and all the eKYC and dKYC flows are working fine now. </t>
  </si>
  <si>
    <t>INC14596832</t>
  </si>
  <si>
    <t>Direct:
1) ECAF_eKYC-Postpaid/Prepaid New Customer Acquisition Journey-RS_aadhaar.NovaTel.in:443</t>
  </si>
  <si>
    <t>Prepaid acq (DvsD-7:2891-5435) 2544 orders.
SimSwap: (DvsD-7:161-509)348 orders.
Postpaid acq. : (DvsD-7:21-29) 8 Orders.</t>
  </si>
  <si>
    <t>INC14610392</t>
  </si>
  <si>
    <t>Nokia_OSS GIS application was unable to connect to Oracle reporting DB due to which application reports (system related utilization) were impacted.</t>
  </si>
  <si>
    <t xml:space="preserve"> In this issue, application team observed a connection error to their reporting DB, due to which Application reports (system related utilization), Fault SR and feasibility flow were impacted. Further to resolve the issue, network team done Static entry for IP (10.223.161.79), following which App team performed sanity check and issue got resolved.</t>
  </si>
  <si>
    <t>Application reports (system related utilization), Fault SR and feasibility flow were impacted.</t>
  </si>
  <si>
    <t>INC14599254</t>
  </si>
  <si>
    <t>Broadband installations/provisioning journey was impacted.</t>
  </si>
  <si>
    <t>In this issue, initially, Nokia_OSS_GIS team encountered connection problems with their reporting database(10.223.161.79). The network team recommended a V-motion of prod server(10.222.232.194) as a solution. After the application team pushed for same, a V-motion was executed to a production node (n1pe-pv-esx381.india.NovaTel.itm) that was considered healthy. However, this action unexpectedly caused mount points to become unmounted, triggering a production outage. To rectify this, the VMware team rolled back the V-motion and performed another one to a different host. This second V-motion led to four core production pods crashing because their associated images became inaccessible. The application team then manually intervened, restoring the images to the affected pods and bringing two core pods out of four back online. Following this intervention, the system showed improvement, and continued monitoring confirmed that all pending issues were cleared with services becoming normal and prod issue stands resolved. Further, concerned teams will re-align at 20:00 Hrs to resolve reporting DB connectivity issue.</t>
  </si>
  <si>
    <t xml:space="preserve">Primary Root Cause:
Leg 01 – Specification 
Q1. Why was there a service degradation in the Broadband Customer Experience Journey?
A1. The degradation occurred due to issues in the Nokia OSS and NovaWorks applications, where Broadband orders failed to transition from Task 1 to Task 2. As a result, Field Engineers were unable to close assigned tasks, disrupting the task flow and halting both activation and installation processes.
Q2. Why did Broadband orders fail to move from Task 1 to Task 2?
A2. Initially, intermittent connectivity issues between the Reporting DB (10.223.161.79:1535) in 62 DC H-Row and the production application server (10.222.232.194) in K-row partially disrupted feasibility checks and Fault Repair SR flows. To mitigate this, a V-Motion was performed to migrate the production application server from ESXi-372 to ESXi-381. However, following the migration, GIS pods began experiencing failures, further impacting the order flow.
Note: Reporting DB provides network element data, which is required for feasibility and fault repair SRs and this data is exclusively maintained in GIS.
Q3. Why did GIS pods start failing after the V-Motion?
A3. The target host (ESXi-381) was unable to provide access to the NFS mount point /k8snasmount, which is critical for the functioning of the production application server. This resulted in application pod failures, leading to widespread disruption in broadband provisioning and installation order processing.
Q4. Why was NFS not accessible on ESXi-381?
A4. Due to ICMP and telnet failures, likely triggered by ongoing network instability in the K-row switch—network-layer synchronization issues occurred during V-Motion process. Although ESXi-381 was connected to a different switch, it was still part of the affected K-row segment, which is suspected to have contributed to the NFS mount failure post-migration. However, team rolled back the V-Motion but that too did not resolve the issue.
Q5. Why did services not recover after V-Motion rollback?
A5. Rollback to the original host (ESXi-372) also failed due to complete loss of external network connectivity, attributed to ongoing network instability. Recovery was achieved only after re-migrating the application server to ESXi-378, which successfully restored both network and NFS access. However, application pod failures continued to persist.
Q6. Why pods recovery were delayed even after network and NFS accessibility?
A6. GIS Pods failed to restart because the critical master Pod images were missing on all the worker nodes. These images were not preloaded due to a configuration oversight by the OEM (Advantel), for which manual image restoration was required to resolve the Pod failures, which led to extended application downtime. 
Note: In addition, the original DB connectivity issue was addressed by the TAC team through the addition of a static route for 10.223.161.79, which restored Fault Repair SRs and feasibility flows.
Leg 02 – Detection 
Q1. Why wasn’t the connectivity issue between Reporting DB and Production application server identified proactively?
A1. Due to the lack of visibility in monitoring graphs and alerts, the connectivity issue between the Reporting DB (H-row) and the application server (K-row) was not identified earlier.
Q2. Why wasn't the NFS mount issue detected before V-Motion?
A2. Pre-migration validations did not include NFS availability readiness checks or host-level connectivity tests, which could have flagged the inaccessibility in advance.
Q3. Why were missing container images not detected earlier?
A3. No automated monitoring or alerting mechanisms existed to detect missing container images on worker nodes. The issue only surfaced post-migration when the pods failed to start.
Leg 03 – Systemic Failure
Q1. Was the K-row network switch instability known?
A1. Yes, the instability of the K-row switch was known and the switch was replaced on May 30, 2025. However, issues persisted post-replacement as the CVX did not automatically connect to the new switch as expected. Manual intervention, involving downtime, was required to re-establish connectivity and restore stability. The root cause is attributed to aging and unsupported data center hardware. A full core switch replacement is currently in progress, and approximately 150 similar switches are being audited for early risk indicators.
Key Observations:
• VM Team must ensure thorough health validation of hosts before initiating any V-Motion.
• The V-Motion activity could have been better planned and ideally avoided during production hours for Nokia OSS and GIS applications, as it carries the risk of broader system impact.
• Network Team was aware of the instability in the K-row switch; however, no proactive isolation or mitigation was implemented before executing V-Motion for Nokia OSS production application server. As a result, the migrated server continued to face failures within the same unstable network segment.
Preventive Actions: 
• Ensure that the master pod core images are present on all worker nodes. – Rashmi (Closed)
• Solve the problematic K-row switch issue with TAC support to resolve the network instability issues. – Shobhit (Closed)
• Map the business flow related to the reporting DB on Grafana for alerting with respect to failure and success. – Rashmi (Open)
• Network Team should assess the feasibility of the known switch issue and proactively reroute integrated application traffic to a redundant site to prevent potential impact.– Shobhit (Open)
</t>
  </si>
  <si>
    <t>PRB0044503</t>
  </si>
  <si>
    <t>INC14599295
Alert94555391/Alert94555532 
INC14593353/INC14599386/INC14599412
INC14599499</t>
  </si>
  <si>
    <t>Symptoms:
1)Hostname:Port_Monitoring-GIS
severity: Average
Trigger: Port 30443 is down on 10.222.232.194
Alert time : 2025-06-05 12:20
Event No :INC14599295
2)Multiple port_monitoring alert trigger 10.222.177.172/173/171
Alert time : 2025-06-05 12:35
Event No :Alert94555391/Alert94555532 
3)High Packet drop percentage in last 5 min
10.222.177.171 to 10.222.234.244
10.222.177.172 to 10.222.234.244
10.222.177.173 to 10.222.234.244
Alert time : 2025-06-05 12:35
Event No : INC14593353/INC14599386/INC14599412
4)Hostname:NovaTel_Works alerts for Broad Band Journey
Trigger: ordercount_TagChangeTrigger Name : Tag change order count is greater than 100
Alert time : 2025-06-05 12:41
Event No : INC14599499</t>
  </si>
  <si>
    <t>6/5/2025 12:20
6/5/2025 12:38
6/5/2025 12:35
6/5/2025 12:41</t>
  </si>
  <si>
    <t>6/5/2025 12:40
6/5/2025 12:43
6/5/2025 12:45
6/5/2025 13:57</t>
  </si>
  <si>
    <t>800 install Orders impacted</t>
  </si>
  <si>
    <t>NovaWorks, eCAF, eCAF_eDSL, Ecom</t>
  </si>
  <si>
    <t>INC14601770</t>
  </si>
  <si>
    <t xml:space="preserve">Postpaid, Black and Broadband acquisition were impacted. </t>
  </si>
  <si>
    <t xml:space="preserve">In this issue, both eCOM DB (10.224.46.18/19) went down @14:02 Hrs which impacted postpaid, broadband and black acquisition flow. To fix this, DBA team brought both eCOM DB up, post which some improvement observed @14:13 Hrs, but again DB got down and issue retriggered @14:22 Hrs. As a workaround, DBA team did failover of eCOM DB to previous nodes (10.224.46.16/17) post which, improvement observed and issue got resolved. </t>
  </si>
  <si>
    <t xml:space="preserve">Primary Root Cause: 
Specification Leg – 01
Q1: Why there was a service degradation experienced with multiple (Broadband, Postpaid and Black) New Customer Acquisition Journey?
Ans: Because, Retailers/FE’s were unable to submit the acquisition orders and was getting “Could not open JPA Entity Manager for transactions” error which led the impact. Additionally, FEs were also unable to fetch appointment slots in NovaWorks for completing acquisition orders. 
Q2: Why FE’s were getting error while processing acquisition orders?
Ans: Because, eCAF was getting failure, from its downstream application eCOM along with that NovaWorks was also getting 200 status code for URL https://ecom.India.novatel.internal/ecom/order/shoppingcart  while hitting to its shopping cart API. 
Detection Leg 02
Q3: Why eCAF application was getting failure from its downstream application eCOM?
Ans: Further discussion uncovered, there were high I/O errors alerts triggered which led both eCOM DB went down. However, DB team found issue with underlying storage and Disk group went inaccessible. Since, Disk group is essential to run any DB as without it, the system can't start or read/write any necessary data to DB.
Q4: Why high I/O error and disk group become inaccessible?
Ans: Because, Storage team identified this issue happened due to the volume of redo Vol 02 reached upto 100% usage. Since the volume of the storage went on nearly full status; both DB went down due to insufficient free space. Initially DB team tried remounting the disk group to fix the issue. However, issue again reoccurred within 10 mins of remounting as DB got space to run for a while post-archive.
Systemic leg-03
Q5: Why DB storage redo Vol 2 didn’t have enough space to cater the traffic?
Ans: Because, Storage team confirmed redo 2 got full due to snapshot creation volume and since these were new Database servers; by default, the snapshot creation volume was enabled. However, while the standard practice is to disable the snapshot option during new server built, this validation was missed in the automation process. As a result, repeated snapshot creation over the past three days exhausted the volume capacity, ultimately triggering the issue.
Observations:
• First alert was triggered at 95% (at 1:29 PM) did not create an alert into incident because of a gap during the deployment of this specific event rule to production by ServiceNow (KPMG). Second Alert was triggered at 1:49 PM for 98% utilization, which caused an outage at 2:02 PM.
• Alert threshold limit at 85% (not 95%) would have given the time to Storage team to investigate.
• On June 4th, the Storage Team received a 95% capacity alert for Redo Volume 1, one day prior to the outage. As a remediation measure, the team increased the volume size from 100 GB to 120 GB. However, the outage could have been prevented if a thorough investigation had been conducted to identify why the new database server’s volume reached full capacity within just 3 days.
Preventive Actions: 
• Alert Threshold Revision:-Revisit and revise the alert threshold limits to ensure alerts are triggered at 85% usage instead of 98%. (Rajnish)
• Snapshot Policy Review: Review and possibly disable the snapshot policy to prevent future incidents related to volume size constraints. (Rajnish)
• Incident Alert Validation: Validate that alerts for nearly full conditions are correctly converted into incidents to ensure timely action. Closed (Rajnish/KMPG)
• Monitoring Workflow Review: Review the monitoring workflow to ensure it includes checks for snapshot creation and volume size constraints. (Shinoj/Rajnish)
• Volume Size Extension: Extend the volume size by 10% buffer space to accommodate the lung size and prevent nearly full conditions. (Samir Sinha/ Rajnish)
• Database Restoration: Prepare and restore the newly built database with proper sanity checks before going live . (Praveen)
</t>
  </si>
  <si>
    <t>PRB0044504</t>
  </si>
  <si>
    <t>P1
P1
P1
P1
P1
P1
P1
P1
P1
P1
P1</t>
  </si>
  <si>
    <t xml:space="preserve">INC14600692, INC14600658
INC14600678
INC14600842
INC14600683
INC14600714, INC14600733
INC14600851 , Alert94558667 , INC14600850 , INC14600723 , INC14600726 , INC14600732
INC14600853
Alert94558863
INC14601123
INC14601196
Alert94559945
</t>
  </si>
  <si>
    <t>Direct:
1)Product SN =1-80-000011 : ProductTrapData= Volume "ECOMCDB_REDO02@vserver:1bc56bbb-16ce-11f0-bea5-d039eabdd5e5" is full 
Alert time : 2025-06-05 13:49
Event No :INC14600502
Symptoms:
1)The database status is UNKNOWN  10.224.46.18/19
Alert time - 2025-06-05 14:01 Hrs
Event No - INC14600692, INC14600658
2) Incident (ORA 221) detected in /u02/app/oracle/diag/rdbms/ecomdata/ecomdata1/alert/log.xml at time/line number: Thu Jun  5 08:31:45 2025/171884
Alert time - 2025-06-05 14:03 Hrs
Event No -INC14600678
3)Incident (ORA 221) detected in /u02/app/oracle/diag/rdbms/ecomdata/ecomdata2/alert/log.xml at time/line number: Thu Jun  5 08:32:26 2025/231884
Alert time - 2025-06-05 14:03 Hrs
Event No - INC14600842
4)AppDynamics_Appd-Saas_ECOM_ECOM-Digital Customer Experience Journey-OverallAvgResponseTime&gt;500ms
Alert time - 2025-06-05 14:05 Hrs
Event No - INC14600683
5)ECOM_DB: ECOM_DB: 10.224.46.18/19: 1535.ECOM-OracleDB Availability
Alert time - 2025-06-05 14:06 Hrs
Event No -  INC14600714, INC14600733
6)Multiple ecom_order_checkout_service_audit_logs 
Alert time - 2025-06-05 14:06 Hrs
Event No - INC14600851 , Alert94558667 , INC14600850 , INC14600723 , INC14600726 , INC14600732
7)Error requesting url [https://ecom.india.novatel.internal/ecom/order/shoppingCart] with connection timeout [1000] &amp; socket timeout [3000] | Current Value : 21
Alert time - 2025-06-05 14:06 Hrs
Event No - INC14600853
8)5XXFailurein10Minutes| cx_Plan |  Channel-Backend-Alerts-cx-Plan  | API : /bundling/v1/review | Current Value : 24
Alert time - 2025-06-05 14:11 Hrs
Event No -  Alert94558863
9)ECAF_CART-Postpaid New Customer Acquisition / Broadband New Customer Acquisition-BT_ecaf/Cart_AvgResponseTime is greater than 1000m
Alert time - 2025-06-05 14:29 Hrs
Event No - INC14601123
10)OneNovaTel_SoftBundleFetchCart_RT | High 90th Percentile in last 10minutes | API_NAME : FETCHCART  | Current Value : 343.0
Alert time - 2025-06-05 14:32 Hrs
Event No - INC14601196
11)Mitra2_Phase_2-Prepaid Retail Recharge Journey-Overall Avg Response Time&gt;700ms_Sev-1
Alert time - 2025-06-05 14:39 Hrs
Event No - Alert94559945</t>
  </si>
  <si>
    <t>6/5/2025 13:49
6/5/2025 14:03
6/5/2025 14:03
6/5/2025 14:07
6/5/2025 14:05
6/5/2025 14:06
6/5/2025 14:06
6/5/2025 14:06
6/5/2025 14:11
6/5/2025 14:29
6/5/2025 14:32
6/5/2025 14:39</t>
  </si>
  <si>
    <t>Open
6/5/2025 15:08
6/5/2025 15:46
6/5/2025 15:47
6/5/2025 14:20
6/5/2025 14:22
6/5/2025 14:20
6/5/2025 15:06
6/5/2025 14:16
6/5/2025 14:37
6/5/2025 14:52
6/5/2025 14:45</t>
  </si>
  <si>
    <t>Broadband Success Dip: 556 ( D vs D-7: 197 vs 753) is 74%. Postpaid Success Dip: 260 (D vs D-7: 266 vs 526) is 49%. Black Success Dip: No dip (D vs D-7:636 vs 412)</t>
  </si>
  <si>
    <t>OneNova</t>
  </si>
  <si>
    <t>INC14611988</t>
  </si>
  <si>
    <t>OneNova was getting failure from OE catalogue API.</t>
  </si>
  <si>
    <t>In this issue, OneNova was getting failures from API- OECatalog/v1/getgtmstates, used to fetch city logs for DTH LOB which could impact Black-DTH orders. DTH OE catalogue traffic was being served on N1.   Application team  moved OE Catalogue traffic to 50:50 on N1:N2 post which, failures reduced and issue got resolved.</t>
  </si>
  <si>
    <t>Three app nodes of OA was throwing regular error while connecting to catalog
These three identified by plotting same on OA kibana
Post that moved back traffic again on n1 for 10min and faced error on those three
Post that network
Then identified that after 11 may 62 DC  outage FW Paul Alto impacted these three IP's got VM tag removed. Network team did VM tagging post which this was permanently fixed.</t>
  </si>
  <si>
    <t>INC14611688</t>
  </si>
  <si>
    <t xml:space="preserve">1) Hostname:OneNovaTel_GCPGCB_Failure
Trigger: high failure in last 15 minutes
API_NAME:GET CATALOG BUNDLES
</t>
  </si>
  <si>
    <t>No order impact.</t>
  </si>
  <si>
    <t xml:space="preserve">INC0507490 </t>
  </si>
  <si>
    <t xml:space="preserve">SBA conversion was down for a time interval. </t>
  </si>
  <si>
    <t xml:space="preserve">In this issue, NFB-SBA account creation conversion was down, leading to service degradation across NFB-SBA. Upon investigation, it was identify that the issue occurred post deployment of NFB-Tez Portal change (CHG0005021). To mitigate the issue, the change was further rolled back. Following this rollback, the system performance improved, and the issue was resolved. </t>
  </si>
  <si>
    <t xml:space="preserve">For NFB-SBA Account Creation Comparison-{D vs (D-7)= 2053-2590= 537 (20% dip in account creation) </t>
  </si>
  <si>
    <t>CHG0005021</t>
  </si>
  <si>
    <t>INC14614249</t>
  </si>
  <si>
    <t>NIG application module of Nokia OSS GIS was impacted</t>
  </si>
  <si>
    <t xml:space="preserve">In this issue, high load average was observed on one of the Nokia_OSS-GIS server (10.222.235.81) due to which GIS users were unable to login into NIG application module. However, during the course of troubleshooting, load average came to normal automatically and issue got resolved. </t>
  </si>
  <si>
    <t xml:space="preserve">Alert94603683/Alert94603624/Alert94603787
INC14613479/INC14613526/INC14613529/INC14613528
</t>
  </si>
  <si>
    <t>Direct
1)Hostname:10.222.235.81,sev-3
Trigger: High CPU utilization (over {$CPU.UTIL.CRIT}% for 15m)
Trigger Value: 99.66 %
Alert time:2025-06-06 11:16 Hrs
Incident:Alert94603683/Alert94603624/Alert94603787
Symptom
1)Multiple port down alert from 10.222.232/235.XXX,sev-2
Trigger Value: 1
Alert time:2025-06-06 11:08 Hrs
Incident:INC14613479/INC14613526/INC14613529/INC14613528</t>
  </si>
  <si>
    <t>06/06/2025  11:16
06/06/2025  11:08</t>
  </si>
  <si>
    <t>100 users</t>
  </si>
  <si>
    <t>Nokia OSS - GIS, NovaWorks</t>
  </si>
  <si>
    <t>INC14661950</t>
  </si>
  <si>
    <t>Broadband installations/provisioning journey was impacted in Nokia OSS GIS.</t>
  </si>
  <si>
    <t>In this issue, VMDS DB locking was observed in Nokia OSS GIS. To resolve this, VMDS team manually cleared the locking and took application restart, post which improvement was observed and pendency started clearing. As of now pendency has cleared and issue stands resolved.</t>
  </si>
  <si>
    <t>INC14614297
Alert94606409</t>
  </si>
  <si>
    <t>Symptom:
1)Hostname:queue_monitoring_length Elastic
Trigger: Average of Queue monitoring length in last 1 Hr
BusinessField:Broadband Customer Experience Journey
IP:10.222.237.12
Alert time: 2025-06-06 12:19
Incident: INC14614297
2)Hostname:NovaTel_Works alerts for Broad Band Journey
Trigger: ordercount_TagChange
COMPONENT:ordercount_TagChange
Alert time: 2025-06-06 12:42
Incident: Alert94606409</t>
  </si>
  <si>
    <t>06/06/2025  12:19
06/06/2025  12:42</t>
  </si>
  <si>
    <t>06/06/2025  13:09
06/06/2025  12:52</t>
  </si>
  <si>
    <t>585 orders</t>
  </si>
  <si>
    <t xml:space="preserve"> The issue resurfaced, where one of the another GIS server (10.222.232.169) got into hung state impacting NIG application module. To debug this, VM team took VMCore to analyze VM logs and raised the case with RedHat for the same. However, once the server got up after the reboot, issue got resolved. </t>
  </si>
  <si>
    <t>Alert94605819
Alert94603830
INC14614297</t>
  </si>
  <si>
    <t>Direct
1)N1VPTMLNOSA0012 f6379ac4-da81-44de-acaa-332be22532a7/VM CPU utilization has reached a critical level
Alert time:2025-06-06 12:27 Hrs
Incident:Alert94605819
Symptom
1)Host Name : 10.222.232.169 High memory utilization|Current Value : 94.1 %
Alert time:2025-06-06 11:22 Hrs
Incident:Alert94603830
2) Average of Queue monitoring length in last 1 Hr
Alert time:2025-06-06 12:19 Hrs
Incident:INC14614297</t>
  </si>
  <si>
    <t>06/06/2025  12:27
06/06/2025  11:22
06/06/2025  12:19</t>
  </si>
  <si>
    <t>06/06/2025  12:27
06/06/2025  12:47
06/06/2025  13:09</t>
  </si>
  <si>
    <t>INC0508837</t>
  </si>
  <si>
    <t xml:space="preserve">NFB-UPI is experiencing intermittent read timeouts across all Meta APIs (for outgoing NPCI flow) including Reqlistkeys and RespBalEnq </t>
  </si>
  <si>
    <t>In this issue, NFB-UPI experienced intermittent read timeouts across all Meta APIs involved in the outgoing NPCI flow, including critical APIs like ReqListKeys and RespBalEnq, which is affecting the services running on Meta APIs. The NPCI team was engaged to check their service endpoints. After thorough troubleshooting, the NPCI Network team confirmed that all services were operating normally from their end. To isolate the issue, the NFB-Network team recommended restarting the affected application servers (10.241.244.125/126) and the NGINX server (10.241.245.118). However, the issue persisted even after the restarts. NPCI team suggested aligning the configuration of Meta APIs with that of Financial Transaction APIs and that connection pooling was not being utilized effectively. Based on NPCI’s input, NFB team performed NGINX-level troubleshooting and applied specific performance tuning. Post-tuning, improvement observed in response time, dropping from ~120ms to 42ms starting from 10:48 AM.</t>
  </si>
  <si>
    <t>P3
P4</t>
  </si>
  <si>
    <t>INC14636933
INC14636916 ,INC14636984, Alert94682810, Alert94682809</t>
  </si>
  <si>
    <t>1)DPS_SR || Dip in UPI Success Rate
Trigger Value:68.848943688938
Alert time:2025-06-07 21:21 Hrs 
Incident:INC14636933
2)Multiple DPS_APB_SERVICE high 402 failure
Api : upi-payment enquiry
Api - bank profile
Alert time:2025-06-07 21:22 Hrs 
Incident:INC14636916 ,INC14636984, Alert94682810, Alert94682809</t>
  </si>
  <si>
    <t>06/07/2025  21:21
06/07/2025  21:19</t>
  </si>
  <si>
    <t>06/07/2025  21:41
06/07/2025  21:29</t>
  </si>
  <si>
    <t>For NFB-UPI - the calls happening through Meta API is impacted by 11.60% like Balance Inquiry, Validation of VPA, NPCI registration , Linking bank account. 
D-7:  Total hits: 19,533,409 success hits: 19,531,962 Failure hits: 1446 
D :- Total hits (meta api): 21,190,167 Success hits: 18,731,159 Failure hits: 2,459,009=  11.60 %</t>
  </si>
  <si>
    <t>Nova App Experience Journey, Postpaid Customer Experience Journey, Prepaid Customer Experience Journey</t>
  </si>
  <si>
    <t>Nova App, Service Portal</t>
  </si>
  <si>
    <t>INC14644118</t>
  </si>
  <si>
    <t>Data usage was not visible on Service Portal and Nova App for Prepaid LOB along with Data CDR was also impacted for Postpaid &amp; Prepaid LOB.</t>
  </si>
  <si>
    <t>In this issue, Service Portal and Nova App team was getting failures from data usage API. During troubleshooting, it was identified that one out of three servers (10.5.18.34), which this API is pointed to, went down due to hardware issue. Unix team identified that the server is in a powered-off state and performed a restart but it was not coming up. Further, To mitigate the impact, Darts team migrated Tomcat services for data usage from 10.5.18.34 to servers 10.5.18.15 and 10.5.18.16, post which issue got resolved. The issue has been mitigated for now, and Unix team is working on a permanent fix.</t>
  </si>
  <si>
    <t xml:space="preserve">Alert94689232
INC14643192 , INC14643493 ,INC14643322 
INC14643302 , INC14643303
</t>
  </si>
  <si>
    <t>1)ping response on IP 10.5.18.34 is down error message "ping timeout"_10.5.18.34
Alert time : 2025-06-08 00:14:36
Event No - Alert94689232 
Symptom
1)Host Name : SP_MT_RULE_FAILURE : 
http://10.242.146.186:5601/goto/53520a30-cce4-11ef-b009-45dc49319e8d
http://10.242.146.186:5601/goto/53520a30-cce4-11ef-b009-45dc49319e8d
Alert time : 2025.06.08 06:05
Event No - INC14643192,INC14643493 
2)Host Name : sp_guardian_card_failure URL :/guardian/api/v1/user/getScenarioBefeCardData/CUMULATIVE_DATA
Alert time : 2025.06.08 06:16
Event No - INC14643322 
3)data usage tracking thanks ---- todays usage Widget Failure Percent  Host Name : Services Journey - Thanks App 
Current Value : 91.85 
Alert time : 2025.06.08 06:12
 Event No - INC14643302 ,INC14643303</t>
  </si>
  <si>
    <t>6/8/2025  00:14 AM
6/8/2025  06:05 AM
6/8/2025  06:36 AM
6/8/2025  06:16 AM
6/8/2025  06:12 AM
6/8/2025  06:12 AM</t>
  </si>
  <si>
    <t xml:space="preserve">open 
6/8/2025  06:16 AM
6/8/2025  07:27 AM
6/8/2025  06:29 AM
6/8/2025  06:25 AM
6/8/2025  06:26 AM
</t>
  </si>
  <si>
    <t>Service Portal Success Hits: (D vs D-5: 1779 vs : 5311).
Nova App Success Hits: (D vs D-5: 3499 vs 37049: 33550).</t>
  </si>
  <si>
    <t>INC14649406</t>
  </si>
  <si>
    <t>IPTV Installation were impacted as tasks were getting failed on EDT Task.</t>
  </si>
  <si>
    <t xml:space="preserve"> In this issue, FEs were unable to close EDT tasks after IPTV activation which was a blocker for moving on to next installation. On investigations,Failures towards icx api (NSG end) were observed. To mitigate the issue, the AW team implemented a bypass for the EDT checks, after which the issue was mitigated and normal flow was restored.
In this issue, FEs were unable to close EDT tasks after IPTV activation which was a blocker for moving on to next installation. On investigations,Failures towards icx api (NSG end) were observed. To mitigate the issue, the AW team implemented a bypass for the EDT checks, after which the issue was mitigated and normal flow was restored.</t>
  </si>
  <si>
    <t>Why the SPIKE for the 404 happened on Sunday and later which turned to 403 which was blocked by WAF rule
Ans: The spike in 404 errors occurred due to the API returning a 404 response whenever it encountered a "WebPA Connection Timeout". Later a WAF rule was enabled to block such patterns, which resulted in those requests being returned as 403 Forbidden responses instead of 404. For reference have added the log</t>
  </si>
  <si>
    <t>INC14648204</t>
  </si>
  <si>
    <t>Symptom:
Hostname:sp_multitenant_api_failure
High Failure in last 10M  Total Count : 2348  Failure Count : 913  Failure % : 38.88 
URL:https://icx-server.streamnovaota.com/dmpserver/v1/devices
Alert Time: 2025-06-08 15:59
Event No: INC14648204</t>
  </si>
  <si>
    <t>1215 orders.</t>
  </si>
  <si>
    <t>APB_SFMS</t>
  </si>
  <si>
    <t>INC0510366</t>
  </si>
  <si>
    <t>NEFT and RTGS transactions were not succeeding, and SFMS channels were showing down post-CBS upgrade activity.</t>
  </si>
  <si>
    <t>Following the CBS upgrade activity (CHG0005139), multiple use cases (Thanks App—home page timed out post refresh, RepDB Dialation—Mitra, Banner—overextended, and Auto load is not working—S”I), including NEFT and RTGS transactions, are failing to complete successfully. Additionally, SFMS channels are showing as down post-upgrade. The Oracle team changed the ports in the configuration files; thereafter, the issue got resolved, and NEFT and RTGS transactions were happening successfully.</t>
  </si>
  <si>
    <t>INC14653373</t>
  </si>
  <si>
    <t>Symptom:
Alert Name:5XXFailurein10 Minutes|myNovaTelapp_user_profile
Host Name : user_profile_Thanksapp
API : /userProfile/v1/bankProfile
Alert time: 2025-06-09 01:42
Event No: INC14653373</t>
  </si>
  <si>
    <t xml:space="preserve"> Approximately 55,000 messages were stuck at the Paymenthub end. (It will be cleared after a retry.)</t>
  </si>
  <si>
    <t>CHG0005139</t>
  </si>
  <si>
    <t>eCAF_eDSL, Feasibility</t>
  </si>
  <si>
    <t>INC14657746</t>
  </si>
  <si>
    <t xml:space="preserve"> In this issue, eCAF_eDSL was getting failure in Network 5G Feasible API which impacted broadband acquisition intermittently. To resolve this, NSG_NOC team took corrective action at their end, post which the issue got resolved.</t>
  </si>
  <si>
    <t>INC14655877/INC14655904/INC14655905/INC14655910</t>
  </si>
  <si>
    <t>Symptom:
1)Host Name : High API Response Time in last 10 minutes Greater than 4s for /fwa_feas/Service1.svc/GetFWA5GFeasible &amp; Multiple Circle API(/gisserver/rest/services/Coverage5G/GH_Coverage)
Alert time:2025-06-09 07:18 Hrs 
Event No:INC14655877/INC14655904/INC14655905/INC14655910</t>
  </si>
  <si>
    <t>Success dip: (D vs D-7: 150 vs 204: 54) is 26.47%</t>
  </si>
  <si>
    <t>BTFLY_CRM, Service Portal</t>
  </si>
  <si>
    <t>INC14657349</t>
  </si>
  <si>
    <t>CC Advisors were unable to raise FTR for Postpaid and BTFLY_CRM was not working.</t>
  </si>
  <si>
    <t>In this issue, it was identified that ESB team observed high response time and delay response from BTFLY_CRM end. However, issue got auto-resolved without any technical intervention by any technical team.</t>
  </si>
  <si>
    <t>INC14656520
TG Alert
INC14656716</t>
  </si>
  <si>
    <t>Symptom:
1)Host Name : sp_guardian_raiseFTRViaCX_failure
High Failure in last 10M  Total Count : 1362   Failure Count : 444  Failure % : 32.6 
URL : /guardian/api/v1/user/custom/raiseFtrViaCX
Alert time:2025-06-09 08:28
Event No:INC14656520
2)5xx Alert
Primary Impacted API:
http://esbmob.novaworld.in:8015/services/operations/customerrelationshipmanagement/problemhandling/customer/problemreport/v3
High Failure Rate: 99.9%
Alert time: 2025-06-09 08:45
Event no: TG Alert
3)AppDynamics_Appd ECAF_COCP-Postpaid New Customer Acquisition-OverallAvgResponseTime&amp;gt;2000ms_Sev-1
Alert time:2025-06-09 09:04
Event No: INC14656716</t>
  </si>
  <si>
    <t>6/9/2025 8:28
6/9/2025 8:45
6/9/2025 8:49</t>
  </si>
  <si>
    <t>6/9/2025 9:08
Open
6/9/2025 9:09</t>
  </si>
  <si>
    <t>Service Portal Success Hits: (D vs D-3: 3300 vs 4070: 770) is 18.91%.
BTFLY_CRM:1100 Order impacted on BTFLY_CRM task.</t>
  </si>
  <si>
    <t>INC14660653</t>
  </si>
  <si>
    <t>B2B DNA orders were impacted in NovaWorks.</t>
  </si>
  <si>
    <t>In this issue, FEs were unable to close the task in NovaTel works and ESB team encountered 500 error. The issue was triggered due to certificate upgradation activity was performed by LEO_OM team on saturday night. To mitigate the issue, LB team updated certificate on 9443 port, post which issue stands resolved.</t>
  </si>
  <si>
    <t>INC14655516, INC14657450,INC14658980</t>
  </si>
  <si>
    <t>Symptom:
1)5xx Status Code:504 is Greater Than 5
Host Name : ESB_access-log index alert
APINAME : /services/manageb2bserviceorder/getb2bserviceorderstatus/NovaTelworks/v5_1
Alert time: 2025-06-09 06:36
Event No: INC14655516, INC14657450,INC14658980</t>
  </si>
  <si>
    <t>NovaWorks: 1142 Hits</t>
  </si>
  <si>
    <t>iOT Customer Experience Journey, Postpaid Customer Experience Journey</t>
  </si>
  <si>
    <t>INC14667770</t>
  </si>
  <si>
    <t>Change Bill plan and safe custody M2M bulk Orders were impacted in BTFLY_ATOM.</t>
  </si>
  <si>
    <t xml:space="preserve"> In this issue, M2M change of bill plan and safe custody bulk orders were stuck in "In Progress" status in BTFLY_ATOM. During troubleshooting, it was identified that, error was being observed in DNS resolution, due to which consumption was slow at consumer end and issue triggered. To mitigate the issue, BTFLY_ATOM team took service refresh, following which ESB team flushed the queue to clear the pooled messages, post which orders started clearing in repush and issue got resolved.</t>
  </si>
  <si>
    <t>iOT, Postpaid</t>
  </si>
  <si>
    <t>INC14667068</t>
  </si>
  <si>
    <t>1)BTFLY ATOM OVERALL Overall In-Progress Pendency seen more than 5000
Sev_1,Current Value : 34921.0
Alert Time:2025-06-09 21:31 Hrs
Event No:INC14667068</t>
  </si>
  <si>
    <t xml:space="preserve"> Orders stuck:
Safe Custody- 81052
M2M Change of Bill Plan- 11912
M2M New Registration- 2205
M2M Change Order- 113</t>
  </si>
  <si>
    <t>ATB Customer Experience Journey</t>
  </si>
  <si>
    <t>ATB</t>
  </si>
  <si>
    <t>INC14676685</t>
  </si>
  <si>
    <t>B2B Customers were unable to download invoice for Postpaid from ATB.</t>
  </si>
  <si>
    <t xml:space="preserve"> In this issue, it was identified that failure was observed on Data Bill API due to which B2B customers were unable to receive OTPs required for invoice downloads. During the troubleshooting, it was identified that permission change on this API, triggered the error. To mitigate the issue, Selfcare_B2C team changed the permission from 755 to 777 on four IPs (10.222.166.154/152/155/224) out of six. Following this corrective action, service performance improved, and the issue was successfully resolved.</t>
  </si>
  <si>
    <t>Digital Experience B2B</t>
  </si>
  <si>
    <t>TG alert</t>
  </si>
  <si>
    <t>Symptoms:
1)High Failures in last 15minutes 
API:SEND_OVER_MAIL_ITEMISED_DATA_BILL_API
Error Code Percentage: 100.00%
Alert time:2025-06-10 12:30
Event no:TG alert</t>
  </si>
  <si>
    <t>345 invoices were impacted.</t>
  </si>
  <si>
    <t>ECHO, NovaWorks</t>
  </si>
  <si>
    <t>INC14680127</t>
  </si>
  <si>
    <t>NovaTel works web users were unable to make outbound calls due to login issue in ECHO.</t>
  </si>
  <si>
    <t xml:space="preserve">In this issue, Echo application login was impacted and hence NovaTel works web users were unable to make outbound calls. On analyzing, It was seen that Kong gateway couldn't retrieve a healthy API endpoint. 502 gateway errors were observed from LB. However, issue got automatically resolved without any technical intervention. Network team is further analyzing the issue. </t>
  </si>
  <si>
    <t>Echo success hit - 22390(DvsD-4:26601-48991)is 45% hit.
NovaWorks- Outbound calls were impacted.</t>
  </si>
  <si>
    <t>Postpaid Payment Posting Journey, Broadband Payment Posting Journey, Black Customer Experience Journey</t>
  </si>
  <si>
    <t>INC14684974</t>
  </si>
  <si>
    <t>Postpaid, DTH, JK10 and Broadband payment posting was impacted.</t>
  </si>
  <si>
    <t>In this issue, DCAP was getting error from BSL for API call. On the other hand, BSL was getting error from BTFLY_Billing, due to which Payment Posting for Postpaid, DTH, JK10 and Broadband got impacted. During troubleshooting it was identified that Prog(BH_GET_OID_LOB_MAP) of the deployment from BTFLY_Billing has triggered the issue. To resolve the issue, BTFLY_Billing team rolled back the change(CHG0181552), Post which issue got resolved.</t>
  </si>
  <si>
    <t xml:space="preserve">Primary Root Cause:
Leg 01 – Specification 
Q1. Why was payment posting affected for Postpaid, DTH, JK10 and Broadband via DCAP?
A1. Because DCAP was receiving error code 9000 – “account not found” from BSL. This was triggered by a backend failure in BTFLY_BILLING due to an UNEXPECTED_SQL_ERROR – ORA-06512 from the function NONCORE.BH_GET_OID_LOB_MAP, which caused the account retrieval process to fail and disrupted the end-to-end payment flow.
Q2. Why was BSL receiving errors from BTFLY_BILLING?
A2. The production deployment of CHG0181552, related to the converged billing go-live, unintentionally impacted the payment flow by triggering an unhandled backend exception in BTFLY_BILLING, which disrupted the response to BSL during account validation.
Q3. Why did change CHG0181552 impact services?
A3. The FX deployment triggered through Jenkins failed during table creation in the Arbor schema. This failure caused backend exceptions in BTFLY_BILLING, which in turn disrupted critical payment processing services across multiple lines of business.
Q4. Why did table creation in the Arbor schema fail?
A4. Because the Database Vault policy in production blocked the DevOps user from executing required DDL operations. Although the deployment was successfully validated in PT and pre-prod environments, the DevOps user did not have the necessary schema-level permissions in production. This led to deployment failure and required rollback to avoid broader impact on the production system.
Leg 02 – Detection
Q1. Why were Database Vault restrictions not identified during testing?
A1. Because the PT and pre-prod environments did not replicate the Database Vault policies enforced in production. This environment mismatch allowed access-related issues to go undetected during testing, resulting in false-positive validation and missed early detection of permission gaps. 
Q2.Why was the rollback delayed despite deployment failure?
A2. Although the DevOps team encountered deployment errors, they delayed the rollback while investigating the root cause. Rollback was initiated only after the Operations team flagged a production impact. This highlights the absence of a defined protocol for immediate rollback upon Jenkins failure in the production environment.
Leg 03 – Systemic Failure
Q1. Why was the environment mismatch not detected before deployment?
A1. There is no standardized practice to ensure complete alignment of configuration and security policies across all environments. Critical controls like Database Vault, existed in production but missing in PT and pre-prod environments. As a result, the deployment succeeded in non-prod but failed in production due to access controls being invalidated.
Preventive Actions: 
• Any Jenkins failure in production should trigger an immediate rollback, without waiting for real-time investigation. – Yashpal (Open)
• Ensure all non-prod environments replicates production configurations, especially for security and access controls like Database Vault. – Yashpal (Open)
</t>
  </si>
  <si>
    <t>PRB0044506</t>
  </si>
  <si>
    <t>P3
P2
P3</t>
  </si>
  <si>
    <t>INC14684187/INC14684186 
INC14684169/INC14684167/INC14684163/INC14684160/INC14684325/INC14684323
INC14684233</t>
  </si>
  <si>
    <t>Symptom
1)Hostname:5XX_BSL_Status_Alert_Dynamic,sev-3
AUTHORITY:bsl-prod.india.novatel.internal, 
Trigger Value: 271
Alert time:2025-06-10 23:32 Hrs
Incident:INC14684187/INC14684186 
2)Multiple Dcap OCP 4 High Failures being Observed for wireless/wireline/DTH/home/jk10_fail in last 15minutes,sev-2
Alert time:2025-06-10 23:34 Hrs
Incident:INC14684169/INC14684167/INC14684163/INC14684160/INC14684325/INC14684323   
3)BSL Billing Acc Details API FX DB High Response,sev-3
Trigger: FX High response time in last 60 min executeProcedure(): database service API on DB: PDK6CU26
Trigger Value: 57
Alert time:2025-06-10 23:35 Hrs
Incident:INC14684233</t>
  </si>
  <si>
    <t>6/10/2025 23:32
6/10/2025 23:34
6/10/2025 23:35</t>
  </si>
  <si>
    <t>6/11/2025 00:41
6/11/2025 00:04
6/11/2025 01:05</t>
  </si>
  <si>
    <t>Payment Posting Failure:
DTH-806, Postpaid-2200, Broadband-900,JK10- 211</t>
  </si>
  <si>
    <t>CHG0181552</t>
  </si>
  <si>
    <t>INC14703157</t>
  </si>
  <si>
    <t xml:space="preserve"> M2M new registration activation were delayed for Assam circle.</t>
  </si>
  <si>
    <t xml:space="preserve">In this issue, It was observed that orders were getting stuck in One_NMS due to unavailability of CAF reserve numbers. The One_NMS team provided  the list of impacted numbers, following which the BTFLY_ATOM team extracted CAF reserve numbers from Siebel and shared them with One_NMS for update, post which issue got resolved. </t>
  </si>
  <si>
    <t>INC14690094</t>
  </si>
  <si>
    <t>Symptom:
1)BTFLY_ATOM_OVERALL_FAILURE_ALERT  | Operational Data  : 1398 
Alert time - 2025-06-11 11:04 hrs ( forcefully closed )
Event no -  INC14690094</t>
  </si>
  <si>
    <t>1540 Assam circle M2M New Registration orders delayed</t>
  </si>
  <si>
    <t>INC14695459</t>
  </si>
  <si>
    <t>Field Engineers were unable to view task in NovaWorks intermittently.</t>
  </si>
  <si>
    <t xml:space="preserve"> Investigation revealed an increase in response time and error rate for the "View Task" function, coinciding with elevated PostgreSQL response times. However, system performance normalized on its own without any technical intervention.</t>
  </si>
  <si>
    <t>INC14692529
INC14692514/INC14692528</t>
  </si>
  <si>
    <t>Direct:
1)NovaTel_Work-Customer Experience Journey-DB_OverallAvgResponseTime
AppDynamics has detected a problem with Backend TASK_HDO-PostgreSQL-10.248.249.230-14.7 
Alert time - 2025-06-11 14:24
Event no -  INC14692529
Symptoms:
1)Multiple appd alerts
A)NovaTel_Work-Customer Experience Journey
B)NovaTel_Work-Broadband and DTH Customer Experience Journey-BT_/viewTasks
Alert time - 2025-06-11 14:23
Event no -  INC14692514/INC14692528</t>
  </si>
  <si>
    <t>6/11/2025 14:24 
6/11/2025 14:23</t>
  </si>
  <si>
    <t>6/11/2025 14:32 
6/11/2025 14:35</t>
  </si>
  <si>
    <t>View task failure: 15 %</t>
  </si>
  <si>
    <t>INC14707899</t>
  </si>
  <si>
    <t xml:space="preserve">Broadband order provisioning was impacted due to issue at NSG_NOC end from EMS. </t>
  </si>
  <si>
    <t xml:space="preserve">In this issue, EMS to Nokia_OSS connectivity was broken intermittently due to which broadband installation orders got stuck. However, during the course of troubleshooting, connectivity got established automatically and order processing started running fine. </t>
  </si>
  <si>
    <t>207 Orders</t>
  </si>
  <si>
    <t>eCAF, Mitra</t>
  </si>
  <si>
    <t>INC14712205</t>
  </si>
  <si>
    <t>Prepaid Acquisition was impacted in eCAF and Mitra for NESA Circle.</t>
  </si>
  <si>
    <t>In this issue, eCAF team confirmed that they were getting error from the One_NMS end due to which Prepaid acquisition was impacted for NESA Circle. During the troubleshooting, One_NMS team identified that Pods were auto restarted on 62 DC due to which issue triggered. To resolve the issue, One_NMS team took Aerospike refresh, post that issue got resolved.</t>
  </si>
  <si>
    <t xml:space="preserve">Root Cause Summary:
The issue was detected in Mitra, eCAF  applications impacted the Prepaid Customer Retail Acquisition Journey where, Failure were observed in both the applications form downstream application One_NMS and specially to NESA circle.
• Beginning at 3:50 PM, Dynatrace displayed a decline in response time on the NMS-API and NMS-Sidecar APIs.
• Overall API latency was caused by Aerospike taking over 2 seconds to respond, which was much longer than its typical baseline. There was a high throughput, which added to the latency. 
• As per input received form OEM-There was an error encountering  "Operation not allowed at this time" in Aerospike while removing records. The root cause was that durable deletes were not enabled. As recommended by the Aerospike team this configuration was implemented in the code. The issue is now resolved, and everything is working fine w.r.t. to delete operation in aerospike.
• As per monitoring team they have enabled the (Alerting part Application anomaly alerting, Oracle database metrics monitoring, Aerospike metrics monitoring Alerts are now live and integrated with Telegram, Email, and ServiceNow. Additionally, POD health events—specifically related to liveness and readiness probes—are visible in Dynatrace.
Observations:
It was noticed that PODs alerting was not properly place before moving to the production along with that application was running over the single POD which was single point of failure. As of now it has been increased to 10. Issue was there in system approx. 15: 50 however, due to alerting not get noticed and reported once the business started highlighted.
Preventive Actions
Monitoring need to be place for all N1/N2 PODS before moving in production environment. Ranjan/Aman- Closed
</t>
  </si>
  <si>
    <t>PRB0044507</t>
  </si>
  <si>
    <t>Prepaid Success Dip: (D vs D-7: 19105 vs 19987 : 882) is 4%.</t>
  </si>
  <si>
    <t>Black Customer Experience Journey, Broadband Customer Experience Journey, DTH Customer Experience Journey, Postpaid Customer Experience Journey, Prepaid Customer Experience Journey</t>
  </si>
  <si>
    <t>Careshark</t>
  </si>
  <si>
    <t>INC14719369</t>
  </si>
  <si>
    <t>Latency was observed in Careshark intermittently.</t>
  </si>
  <si>
    <t>In this issue, application team was getting latency in the database call due to which intermittent issue was observed in Careshark. To Fix the issue, application team with their Dev team applied a Hot fix under the Jira change (DOP-63113) for two services, post that it got resolved.</t>
  </si>
  <si>
    <t>Symptoms</t>
  </si>
  <si>
    <t>Alert94958117,Alert94958152
INC14709475
INC14709603</t>
  </si>
  <si>
    <t>Symptoms:
1)Careshark_LIVECHAT_OUTBOUND_FAILURE_PERC
Trigger: Careshark_LIVECHAT_OUTBOUND_FAILURE_perc1
Alert time : 2025-06-12 16:41
Event No : Alert94958117,Alert94958152
2)Careshark_ROUTING_TIME_RT_CFM
Alert time : 2025-06-12 16:48
Event No : INC14709475
3)Careshark_ROUTING_TIME_RT_121
Alert time : 2025-06-12 16:54
Event No : INC14709603</t>
  </si>
  <si>
    <t>6/12/2025 16:41
6/12/2025 16:48
6/12/2025 16:54</t>
  </si>
  <si>
    <t>6/12/2025 16:46
6/12/2025 17:04
6/12/2025 17:04</t>
  </si>
  <si>
    <t>Approx. 1% traffic dip observed intermittently.</t>
  </si>
  <si>
    <t>INC14711629</t>
  </si>
  <si>
    <t>CC advisors were unable to view broadband customer details for few call centers.</t>
  </si>
  <si>
    <t>In this issue, broadband customer details were not visible in few Call centers, however, same was visible at application end. Upon investigation, no errors were found at application and network layer and issue got resolved automatically.</t>
  </si>
  <si>
    <t>Success Hits Dip: ( D:225424 v/s D-7: 194111) No dip.</t>
  </si>
  <si>
    <t>INC14762653</t>
  </si>
  <si>
    <t>Prepaid Activation orders stuck at EV_Success in eCAF.</t>
  </si>
  <si>
    <t>In this issue the Prepaid activation orders were stuck at EV_Success milestone. During troubleshooting it was identified that eCAF was getting spike on topic from ESB end due to that one of the ocp node was having blocking thread at eCAF which resulted  increase in pendency and the orders were not moving to next milestone. Hence to resolve the issue eCAF team took service refresh post which they repushed the pending orders manually. Following which issue got resolved.</t>
  </si>
  <si>
    <t>Alert94962270
INC14711036/INC14711239</t>
  </si>
  <si>
    <t>Direct:
1)ECAF Actuator Alert
Trigger: Block Thread of ecaf-orionmobileapi-service-6c4cccfd8d-r9c5w is greater than 5
Alert time : 2025-06-12 18:41
Event No : Alert94962270
Symptom : 
1) ECAF_PREPAID_EKYC_MILESTONE_ORACLE
Trigger: PREPAID_EKYC_MILESTONE ev_success count is High
Alert time – 2025-06-12 18:46
Event no - INC14711036/INC14711239</t>
  </si>
  <si>
    <t>6/12/2025 18:41
6/12/2025 18:46</t>
  </si>
  <si>
    <t>6/12/2025 18:44
6/12/2025 19:01</t>
  </si>
  <si>
    <t>Prepaid Order pendency-  1500</t>
  </si>
  <si>
    <t>APB_Payment_DMT</t>
  </si>
  <si>
    <t xml:space="preserve">INC0512937 </t>
  </si>
  <si>
    <t>Intermittent error observed in NFB-Payments-DMT retailer flow causing transaction failures.</t>
  </si>
  <si>
    <t>In this issue, an intermittent error was reported by the NFB-Payments-DMT team, affecting the retailer transaction flow. Upon investigation, the Payments Hub team traced the root cause to a conflict in the PAYMENTS.PH_IMPS_TRACE_NO_SEQ sequence, which was overlapping with the RRN (Reference Retrieval Number) logic used by the IMPS switch. This collision was leading to duplicate or invalid RRN generation, resulting in transaction failures. To resolve the issue, the sequence was re-created with controlled parameters. Post-implementation of the fix, the transaction flow stabilized, and no further errors were observed.</t>
  </si>
  <si>
    <t xml:space="preserve"> For NFB-Payments-DMT (use case: transaction send money): Total Transactions: 4719, Successful Transactions: 2758 (58.45%) Failed Transactions: 1961 (41.55%) during the impacted window.</t>
  </si>
  <si>
    <t>INC14716014</t>
  </si>
  <si>
    <t>Unbarring SMS delivery (Instant KCI) Postpaid and Broadband are impacted.</t>
  </si>
  <si>
    <t>In this issue, BTFLY_KCI was not getting response from the CLM end, due to which Postpaid and Broadband Unbarring SMS were getting stuck at BTFLY_KCI. During troubleshooting it was identified that there was a continuous Job running at CLM end, due to which ESB was not able to receive any data from CLM end and also triggered the issue. Further to resolve the issue CLM team took refresh of the running Job. Post which the issue got resolved and pendency got cleared.</t>
  </si>
  <si>
    <t>INC14715009</t>
  </si>
  <si>
    <t>Symptom
1)Hostname:Darts_solace_queue_alerts,sev-2
Trigger: BBNRTServiceBulkQ, commhubVPN
Trigger Name : Darts CLM Solace Queue 0 Bind Count
Trigger Value: 0
Alert time:2025-06-13 00:32 Hrs
Incident:INC14715009</t>
  </si>
  <si>
    <t>Instant KCI Pendency-8000</t>
  </si>
  <si>
    <t>Broadband Dunning Order Journey, Postpaid Dunning Order Journey , DTH Change Order Journey, Broadband Customer Experience Journey (Activation/Install)</t>
  </si>
  <si>
    <t>BTFLY_ATOM, DCAP, DTH_OM, HB_ATOM</t>
  </si>
  <si>
    <t>INC14727522</t>
  </si>
  <si>
    <t>DTH Black Change, Post-to-Pre DTH Orders, Postpaid and broadband dunning orders were impacted along with NCA payment postings.</t>
  </si>
  <si>
    <t>In this issue, pendency of Postpaid and Broadband Barring/Unbarring along with DTH Black Change and post to pre orders were observed. Further, it was identified that acknowledgment from BTFLY_Billing was impacted. To mitigate the issue, DTH_OM team did manual repush post which the Pendency was started getting clear for change orders but rest of the orders were still stuck. Further, it was identified that a change (CHG0181552) was deployed last night, which might have impacted the system. 
As per the impact assessment, pendency is getting increased and the issue is upgraded to the Severity.</t>
  </si>
  <si>
    <t>Broadband, DTH, Postpaid</t>
  </si>
  <si>
    <t>INC14722162 , INC14722468 , INC14722661 , INC14722010
, INC14722007,INC14722035,INC14722165 , Alert94999797,Alert94999714</t>
  </si>
  <si>
    <t>1)Multiple Application  performance alert
Alert Time :2025-06-13 12:34 Hrs
Event no:  INC14722162 , INC14722468 , INC14722661 , INC14722010
, INC14722007,INC14722035,INC14722165 , Alert94999797,Alert94999714</t>
  </si>
  <si>
    <t>13/06/2025  13:19</t>
  </si>
  <si>
    <t>DTH Change order pendency: 531
DTH Post-to-Pre: 234
Unbarring: 100 orders</t>
  </si>
  <si>
    <t>Postpaid Payment Posting Journey, DTH Customer Experience Journey, Postpaid Customer Experience Journey, Postpaid Dunning Order Journey , Nova App Experience Journey, Black Customer Experience Journey, Broadband Customer Experience Journey, Broadband Dunning Order Journey, Broadband Payment Posting Journey, DTH Dunning Order journey</t>
  </si>
  <si>
    <t>NovaWorks, BTFLY_ATOM, BSL, BTFLY_CRM, DCAP, DTH_OM, HB_ATOM, HB_CRM, Inform, IPTV, Nova App, OneNova, Service Portal, UDP_Dunning</t>
  </si>
  <si>
    <t>INC14724499</t>
  </si>
  <si>
    <t>Multiple order and payment flows of Postpaid, Broadband, DTH and Black were impacted</t>
  </si>
  <si>
    <t>In this issue, multiple Broadband and Postpaid order flows were impacted. Further, it was identified that a change (CHG0181552) was deployed last night, which might have impacted the system. To mitigate the issue, Dev team performed corrective action, post which new orders started getting cleared since 09:50 Hrs. However, payment postings were still impacted, which DCAP team was clearing with Manual repush. Later team informed that CU8 was observed to have multiple failures, due to which any request hitting CU8 were getting failed. To fix CU8, App team in coordination with Oracle DBA team, took the corrective action, which resolved the issue @12:48 Hrs. As of now, application team is reconciling the data and clearing the old orders stuck in the system.</t>
  </si>
  <si>
    <t xml:space="preserve">Primary Root Cause:
Leg 01 – Specification 
Q1. What caused service disruptions across multiple critical business journeys?
A1. Because the production deployment (CHG0181552) in the FX module, carried out as part of the Converged Go-Live initiative, caused incomplete execution of multiple order and payment posting operations, resulting in service disruptions across Postpaid, Broadband, Black and DTH business journeys and impacting downstream systems. 
Converged go-live Project Insights: The new Converged Billing platform introduced a unified model by assigning a single account number per customer, consolidating all charges into one streamlined bill—resolving bundling issues and improving operational efficiency.
Q2. Why did change CHG0181552 impact multiple order and payment posting services?
A2. Because the change deployed in multiple phases, with Phase 2 introducing the AMP (Account Move Process) functionality. Post-deployment, order commits began failing due to issues in the final step of the order completion process. This malfunction led to incomplete transaction execution, which in turn disrupted both order processing and payment posting services.
AMP Functionality Concept: AMP designed to consolidate customer accounts from various databases into a single, unified billing structure.
Q3. Why order commits failed after AMP deployment?
A3. Because the expected business logic within the database triggers did not execute post-deployment. The deployed non-functional trigger replicas, meant to support account movement, unintentionally disrupted the commit process by lacking the necessary functional code.
Trigger Additions Concept: As part of AMP, "Trigger additions" introduced as replicas of existing triggers but without any embedded business logic. These triggers created with the same names as the original triggers but contain no functional code. Their purpose is to enable seamless account movement without revalidating previously verified business rules.
Q4. Why non-functional trigger replicas not executed as expected?
A4. Because the required access grant for the DevOps user missed during deployment. This oversight led to the replacement of original triggers with non-functional replicas across multiple CUs (CU2 to CU30), resulting in the loss of functional codebase. Only CU1 had the correct access grant and retained the valid triggers, while the others failed to execute the intended codebase.
Leg 02 – Detection
Q1. Why access grant missed during deployment?
A1. Because there was no standardized or automated validation process in placed by project team prior to deployment for verifying whether all necessary access permissions, especially for critical users, correctly provisioned.
Q2. Why triggers with missed business logic not detected proactively?
A2. There was no automation or structured checklist in place to validate access grants across all CUs during deployment. Additionally, the absence of a monitoring mechanism meant failures in trigger execution not identified in advance. 
Q3. Why service failures not detected during sanity checks post-deployment?
A3. Since CU1 was functioning correctly and processing incoming requests as expected, the initial sanity checks indicated normal behavior. However, partial order failures from the remaining CUs, which experienced functional issues, were not immediately recognized. As the impacted orders cleared upon re-push, the issue considered as minor or temporary. The team lacked awareness of the missed trigger condition at that stage, which masked the underlying cause and delayed accurate identification of the problem.
Leg 03 – Systemic Failure
Q1. Why the overall outage become difficult to manage in terms of restoration and rollback?
A1. The FX module is deeply integrated with multiple downstream systems and manages critical functions across several LOBs. The deployment was executed using a “Big Bang” approach, across multiple CUs (CU1 to CU30), which eliminated the possibility of controlled validation and rollback. This significantly increased the risk of widespread service disruption. Additionally, the absence of predefined service impact thresholds and clear rollback decision criteria further complicated and delayed the restoration process.
Key Observations: 
• After restoring, the correct triggers from the functional CU1 to the affected CUs (CU2 to CU30), CU3 and CU8 remained impacted. This was due to piled-up database sessions that caused the triggers to be stuck. As CU3 and CU8 handle the highest transaction loads among all CUs, they were more susceptible to session blocking. Once the DBA team cleared the blocking sessions, services resumed normal operations on both affected CUs.
• Due to the absence of a clearly defined and realistic rollback plan, identification of cause and issue mitigation plan took longer time, resulting in increased MTTR. 
• Also, the change document indicated a 30-minute rollback window, the project team later clarified during the incident bridge that it would actually require up to 3.5 hours, making it operationally unfeasible within ongoing impact. 
Preventive Actions:
• Implement an alerting system to monitor database triggers and promptly notify if any critical triggers fail to invoke. – Yashpal (Open) 
• Prepare a detailed deployment plan and share it in advance for cross-functional review to ensure all proposed changes—including code, database configurations and access—are fully validated. – Yashpal (Open)
• Define and document service impact thresholds and rollback criteria in the deployment plan to support faster and more structured restoration during incidents. – Yashpal (Open)
• Avoid Big Bang deployments for critical modules; adopt phased or canary release strategies to enable controlled validation and easier rollback. – Yashpal (Open)
• Mandate formal sign-off from senior stakeholders for high-risk deployment approaches, with clear ownership for rollback execution. – Yashpal (Open)
• Conduct thorough pre-deployment validation of all access grants and roles—especially for critical users, to avoid failures due to missing permissions. – Yashpal (Open)
• Ensure operations team validates services across all CUs to avoid missing partial failures.– Yashpal (Open)
• Mandate that after any deployment, operations team raises a flag if any order or payment flow fails on first attempt, even if it clears on re-push, to avoid potential systemic issues. - Yashpal (Open) 
</t>
  </si>
  <si>
    <t>PRB0044509</t>
  </si>
  <si>
    <t>Broadband, DTH, Postpaid, Xstream, Digital Acquisition, Digital Experience B2C</t>
  </si>
  <si>
    <t>P3
P3
P3
P2
P4
P3
P3
P2</t>
  </si>
  <si>
    <t>INC14717190
INC14717329
INC14717320,INC14717634
INC14719081
INC14719130, INC14719131
INC14719343
INC14719368
INC14719435 , INC14719434 , INC14719433 , INC14719432 , INC14719430 , INC14719429 , INC14719428 , INC14719425 , INC14719424</t>
  </si>
  <si>
    <t>1)Hostname:BTFLY ATOM Overall Inprog Pendency,sev-3
Trigger Value: 1007
Alert time:2025-06-13 05:15 Hrs
Incident:INC14717190
2)Hostname:BTFLY_ATOM_TASK_WISE_IN_PROGRESS_ALERT,sev-3
TYPE:FX_in_progress
Trigger Value: 1178 
Alert time:2025-06-13 05:30 Hrs
Incident:INC14717329
3)hb_atom_taskwise_fx_Inprogress
Host Name : hb_atom_taskwise_fx_Inprogress
Sev-3 Current Value : 726.0
Alert time:2025-06-13 05:28 Hrs
Incident:INC14717320,INC14717634
4)OneNovaTel ISSUE STARTED| API:FETCHCOUPONS | High Failure in last 10minutes 
Alert time - 2025-06-13 09:00 hrs
Event no: INC14719081
5)Disk space is low (used &gt; 80%) | 10.5.213.57
Alert time - 2025-06-13 09:07 hrs
Event no: INC14719130, INC14719131
6)ecom-oracle-business-metrics | Leads_Sent_to_LMS_POSTPAID_Clone0 | Trigger Value: 17.431578947368422
Alert time - 2025-06-13 09:29 hrs
Event no: INC14719343
7)Auto_pay_homes_crm_api_failure  | Trigger Value: 45.45 
Alert time - 2025-06-13 09:33 hrs
Event no:INC14719368
8)Multiple DCAP OCP 4 MetricWise Failed Hits ALERT
Alert Time : 2025-06-13 09:44 Hrs
Event no: INC14719435 , INC14719434 , INC14719433 , INC14719432 , INC14719430 , INC14719429 , INC14719428 , INC14719425 , INC14719424</t>
  </si>
  <si>
    <t>6/13/2025 05:15
6/13/2025 05:30
6/13/2025 05:28
6/13/2025 09:00
6/13/2025 09:07
6/13/2025 09:29
6/13/2025 09:33
6/13/2025 09:44</t>
  </si>
  <si>
    <t xml:space="preserve">6/13/2025 06:46
6/13/2025 06:45
6/13/2025 06:08
6/13/2025 09:13
6/13/2025 09:17
6/13/2025 09:43
6/13/2025 09:43
6/13/2025 09:54
</t>
  </si>
  <si>
    <t xml:space="preserve"> DTH (Acq :93 Unbarring:154, Change: 3761, Post to Pre:515)
Postpaid New Customer Acquisition 3097 orders
Broadband New Customer Acquisition 197 orders
DTH New Acquisition 93 orders
DTH Change orders 3761 orders
Pre to Post orders 515 orders (DTH),853 orders (Postpaid)
Postpaid Dunning order 1500 orders (Unbarring), 48848 orders (Barring)
Broadband Dunning order 150 orders (Unbarring), 14361 orders (Barring)
DTH Dunning order 154 orders
Postpaid Experience Journey 2654 orders
Broadband Experience Journey 7363 orders
Postpaid Payment Posting 2540 txns.
Broadband Payment Posting 178 txns.
DTH Payment Posting 60 txns.
Call centre Volume surge Approx. 13k call volume surge (31% increase)</t>
  </si>
  <si>
    <t>INC14726125</t>
  </si>
  <si>
    <t>In this issue, Retailers were unable to proceed with entering name and address details in the eCAF application due to an issue triggered by an cart activity (CHG0182293) at eCAF end. To resolve this issue, eCAF team rolled back the change, post which improvement observed and issue stands resolved.</t>
  </si>
  <si>
    <t>Broadband Success Dip: (D vs D-7 : 1884 vs 2281 : 397) is 17.40%.</t>
  </si>
  <si>
    <t>CHG0182293</t>
  </si>
  <si>
    <t>Mediation_IL</t>
  </si>
  <si>
    <t>INC14720226</t>
  </si>
  <si>
    <t>Prepaid, M2M, MNP order activation/provisioning were impacted for AP circle.</t>
  </si>
  <si>
    <t>In this issue, provisioning orders were stuck and NSG_NOC team identified that there was some issue observed in AIR3 which triggered the issue. Application team manually repushed the orders post which order cleared for Prepaid and Non-MNP. To mitigate the issue, NSG_NOC team made AIR19 as master node and shifted all traffic to AIR19 post which improvement observed and pendency got cleared. Although, hardware fault still persists, for which NSG_NOC team fixed this later on</t>
  </si>
  <si>
    <t>INC14721117</t>
  </si>
  <si>
    <t>1)PACS Success Pendency Increased at ECAF
Host Name : Ecaf_Nirvana_Pacs_Pendency_Hub_Wise
Sev-3 Current Value : 1208.0 HUB : South
Alert time:2025-06-13 11:39 Hrs
Incident :INC14721117</t>
  </si>
  <si>
    <t>13/06/2025  11:39</t>
  </si>
  <si>
    <t>13/06/2025  12:39</t>
  </si>
  <si>
    <t>Prepaid: 4000 orders. 
MNP: 600 orders. 
M2M: 1200 orders.</t>
  </si>
  <si>
    <t>Nova App Experience Journey, Black Customer Experience Journey, Broadband Customer Experience Journey, Broadband Dunning Order Journey, Broadband Payment Posting Journey, DTH Change Order Journey, DTH Customer Experience Journey, DTH New Customer Acquisition Journey, Postpaid Change Order Journey, Postpaid Dunning Order Journey , Postpaid Payment Posting Journey, Postpaid Customer Experience Journey</t>
  </si>
  <si>
    <t>Intermittent issue was observed for Multiple order and payment flows of Postpaid, Broadband, DTH and Black.</t>
  </si>
  <si>
    <t xml:space="preserve">In this issue, post resolving the actual problems in CUs, still intermittent issues were getting observed for Multiple order and payment flows of Postpaid, Broadband, DTH and Black. As of now, application team is doing system level reconciliation and correction along with that re-pushing transactions for payment posting and pending orders has been done and no impact on customers as of now. </t>
  </si>
  <si>
    <t>Broadband, DTH, Postpaid, Xstream, Digital Acquisition</t>
  </si>
  <si>
    <t xml:space="preserve">INC14731898 </t>
  </si>
  <si>
    <t>The issue triggered as L3 timestamp was showing null value error for file creation in DARTS. As of now, only one record was impacted, for which DARTS team cancelled that particular record post which jobs started processing. Further, eCAF team is checking and updating the L3 timestamp in impacted record. Currently, reports have started processing and impact is mitigated.</t>
  </si>
  <si>
    <t>FTA Reports were impacted.</t>
  </si>
  <si>
    <t>DNC</t>
  </si>
  <si>
    <t>INC14731530</t>
  </si>
  <si>
    <t xml:space="preserve"> Instant KCI SMS delivery was delayed for Broadband and Postpaid.</t>
  </si>
  <si>
    <t>In this issue, DNC application was not getting response from the CLM and ESB end, due to which Postpaid and Broadband Instant KCI SMS delivery was delayed. Although when the teams were on bridge checking the same, without any technical intervention issue got auto-resolved.</t>
  </si>
  <si>
    <t>INC14725363
INC14731128/INC14731129</t>
  </si>
  <si>
    <t>Symptom
1)Darts CLM Solace Queue 0 Bind Count | ISSUE STARTED,sev-2
Trigger: BBNRTServiceBulkQ, commhubVPN
Trigger Value: 0
Alert time:2025-06-13 16:22 Hrs
Incident:INC14725363
2)Hostname:SOLACE_VPN_SPOOL_QUOTA_PERCENT_ALERTS,sev-3
QUEUE:BbNrtHiveSerSmsSolSucc01Q
QUEUE:BbNrtReqSvcSmsSol01Q 
Trigger Value: 100
Alert time:2025-06-13 22:57 Hrs
Incident:INC14731128/INC14731129</t>
  </si>
  <si>
    <t>13/06/2025  16:22
13/06/2025  22:57</t>
  </si>
  <si>
    <t>13/06/2025  17:27
13/06/2025  23:17</t>
  </si>
  <si>
    <t>Instant SMS delayed was 50K.</t>
  </si>
  <si>
    <t>INC14735315</t>
  </si>
  <si>
    <t>Broadband and FWA acquisition was impacted intermittently.</t>
  </si>
  <si>
    <t>In this issue, eCAF_eDSL was getting failure in Network 5G Feasible API which impacted Broadband and FWA acquisition intermittently. To resolve this, NSG_NOC team took a service restart at their end, post which the issue got resolved.</t>
  </si>
  <si>
    <t>INC14734319,INC14734317,INC14734317,INC14734385,INC14734383,INC14734560,INC14734570</t>
  </si>
  <si>
    <t>Multiple High API Response Time in last 10 minutes Greater than 4s for
Host Name : NSG Mobility
API : /gisserver/rest/services/Coverage5G/GH_Coverage_MP/MapServer/0/query
API : /gisserver/rest/services/Coverage5G/GH_Coverage_MU/MapServer/0/query
API : /gisserver/rest/services/Coverage5G/GH_Coverage_NE/MapServer/0/query
API : /gisserver/rest/services/Coverage5G/GH_Coverage_AS/MapServer/0/query
API : /gisserver/rest/services/Coverage5G/GH_Coverage_KL/MapServer/0/query
API : /fwa_feas_b2b/Service1.svc/GetFWA5GFeasible
API : /gisserver/rest/services/Coverage5G/GH_Coverage_HP/MapServer/0/query
Alert Time:2025-06-14 06:19 Hrs 
Event No:INC14734319,INC14734317,INC14734317,INC14734385,INC14734383,INC14734560,INC14734570</t>
  </si>
  <si>
    <t>Broadband success Dip (D vs D-7): (302 vs 393) : 91 is 23%</t>
  </si>
  <si>
    <t>INC14770949</t>
  </si>
  <si>
    <t>SimSwap acquisition was impacted intermittently.</t>
  </si>
  <si>
    <t>In this issue, eCAF_SimSwap and Mitra were getting error from Network Location API. To mitigate the issue, Mitra and eCAF_SimSwap team disabled the flag and the issue got resolved.</t>
  </si>
  <si>
    <t>Jupiter</t>
  </si>
  <si>
    <t>INC14758812</t>
  </si>
  <si>
    <t>UPC, PORT-IN, and PORT-OUT requests for MNP was impacted.</t>
  </si>
  <si>
    <t>In this issue, while the self patching for 2 Jupiter Prod servers (CHG0182475) was in progress, for one of the database node(10.241.48.211), NFS IP was not pinging which impacted UPC, PORT-IN, and PORT-OUT requests for Syniverse and Telecordia MCH for MNP. UNIX team rolled back the change on the impacted database node. However, during the course of troubleshooting, the NFS IP started to get ping, and the issue got resolved without any technical intervention.</t>
  </si>
  <si>
    <t xml:space="preserve">INC14757884 </t>
  </si>
  <si>
    <t>1)ora.n1pl-pd-ajptrdb01.vip has 1 instances in OFFLINE State
App- jupitar
Alert time:2025-06-16 00:37
Incident:INC14757884</t>
  </si>
  <si>
    <t>UPC not generated in first attempt : 10K numbers.
PORT-OUT requests not generated in first attempt: 2K numbers.</t>
  </si>
  <si>
    <t>INC14761710</t>
  </si>
  <si>
    <t>00- 00:27</t>
  </si>
  <si>
    <t xml:space="preserve">Broadband acquisition and FWA were impacted intermittently. </t>
  </si>
  <si>
    <t>In this issue, eCAF_eDSL was getting failure in Network 5G Feasible API from NSG_NOC, which impacted broadband acquisition and FWA intermittently. To resolve this, NSG_NOC team took FWA service refresh post which RT was improved and issue got resolved.</t>
  </si>
  <si>
    <t>INC14761014,INC14761009,INC14761008,INC14761007,INC14761003,INC14761001,INC14761000,INC14761029,INC14761028,INC14761027,INC14761026,INC14761024,INC14761023,INC14761022,INC14761122,INC14761119,INC14761290</t>
  </si>
  <si>
    <t>Direct:
1)Multiple High API Response Time in last 10 minutes Greater than 4s for
Host Name : NSG Mobility
API : /fwa_feas/Service1.svc/GetFWA5GFeasible
API :/gisserver/rest/services/Coverage5G/GH_Coverage_AP/RJ/OR/TN/UE/NE/HP/UW/PB/MP/MH/KK/DL/BR/AS/MapServer/0/query
API : /fwa_feas_b2b/Service1.svc/GetFWA5GFeasible
Alert Start Time: 2025.06.16 07:38
Event No: INC14761014,INC14761009,INC14761008,INC14761007,INC14761003,INC14761001,INC14761000,INC14761029,INC14761028,INC14761027,INC14761026,INC14761024,INC14761023,INC14761022,INC14761122,INC14761119,INC14761290</t>
  </si>
  <si>
    <t xml:space="preserve"> Broadband Success Dip- (D Vs D-7: 85 vs 138= 53) is 38.40%</t>
  </si>
  <si>
    <t>DTH Customer Experience Journey (Activation/Install)</t>
  </si>
  <si>
    <t>INC14765302</t>
  </si>
  <si>
    <t>00- 01:14</t>
  </si>
  <si>
    <t>DTH order provisioning was delayed for New orders of DTH .</t>
  </si>
  <si>
    <t>In this issue, DTH_OE was getting connection timeout error on Create API, which delaying DTH order provisioning. During troubleshooting, a connectivity issue was identified from DTH_OE to NovaWorks. It was found that the required firewall policy was missing for the associated IP (10.222.167.210), Due to the Recent VM Migration activity in which Production IP somehow migrated to test environment because of this firewall policy was revoked. To restore the incident, Firewall team reimplemented the necessary policies, after which DTH_OE repushed the pending orders and services were restored to normal.</t>
  </si>
  <si>
    <t>317  orders were impacted.</t>
  </si>
  <si>
    <t>CHG0178669</t>
  </si>
  <si>
    <t>Nova IQ SMS Journey, Nova IQ Voice Journey, Broadband Customer Experience Journey, DTH Customer Experience Journey, Postpaid Customer Experience Journey, Prepaid Customer Experience Journey, Prepaid Online Recharge Journey</t>
  </si>
  <si>
    <t>Nova IQ_SMS, Nova IQ_Voice, NovaWorks, Careshark, DPS, eCAF_Sim Swap, HB_CRM, LAPU_GT, LAPU_MT, M2M, Nokia OSS, Service Portal, Mitra</t>
  </si>
  <si>
    <t>INC14766155</t>
  </si>
  <si>
    <t xml:space="preserve">Multiple applications hosted in 62 DC observed service disruptions. </t>
  </si>
  <si>
    <t xml:space="preserve">In this issue, it was identified that one of the secondary intranet firewall in 62 DC went down due to which multiple applications observed service disruptions in 62 DC. However, applications got restored @14:04 Hrs without any technical intervention and as of now traffic is running on another firewall. </t>
  </si>
  <si>
    <t>Nova IQ, Broadband, Digital Acquisition, Digital Experience B2C, Prepaid, iOT</t>
  </si>
  <si>
    <t>INC14765513
INC14765529
INC14765478,INC14765479,Alert95164065,Alert95164066,Alert95164138,Alert95164137,Alert95164139,Alert95164224,Alert95164292,Alert95164229
Alert95164049, Alert95164061, INC14765589, Alert95164300,INC14765641,INC14765511</t>
  </si>
  <si>
    <t>Direct:
1)Type = Problem
Key = Node goes down_NovaTel_Central_DC
Device Name = BAL-NOIDA-SEC62-1A-FPR4140-INTRA-SERVICES.wr
Device IP = 10.222.45.98)
Message = Node is Down
Region = CENTRAL_Sector-62
Alert time: 2025-06-16 14:03
Event No: INC14765513
2)Type = Problem
Key = CPU High Utilization_NovaTel_Central_DC
DateTime = Monday, June 16, 2025 2:04 PM
Severity = Critical
Device Name = BAL-NOIDA-SEC62-1A-FPR4140/pri/act/Intranet
Device IP = 10.222.45.36)
Component Name = Current CPU Utilization is 79 %
Component Descripion = Firepower 4140 Security Module 36
Message = CPU Utilization is Greater Than 70%
Region = ${N=SwisEntity;M=Node.CustomProperties.City}
Alert time: 2025-06-16 14:04
Event No: INC14765529
Symptom:
1) Multiple Appd performance alert 
a)Mitra_PushNotification-Prepaid Retail Recharge Journey-Overall Response Time&amp;gt;200ms_Sev1
b)Mitra-Prepaid Retail Recharge Journey-Overall Avg ResponseTime 700ms_Sev-1
c)LAPU-Online Recharge Journey-MT_Hub2_Lapu-Overall Response time 1000ms_Sev-1
d)Mitra2_Phase_2-Prepaid Retail Recharge Journey-Overall Avg Response Time&amp;gt;700ms_Sev-1
e)LAPU-Online Recharge Journey-MT_Hub1_Lapu-Overall Response time 1000ms_Sev-1
f)XSafe_B2C-XSafe Customer Experience Journey-RS_appproxy.novatel.example:4145_Overall Response Time&amp;gt;1000ms_Sev-1
g)DTH_IMS-DTH New Customer Acquisition-OverallAvgResponseTime&amp;gt;1000ms_sev-1
h)ECAF-Prepaid SimSwap New Order Journey-ECAF_SIMSWAP-RS_paydigi.NovaTel.in:443 Error Rate is greater than 10%_Sev-1
Alert time: 2025-06-16 14:01 Hrs
Event No: INC14765478,INC14765479,Alert95164065,Alert95164066,Alert95164138,Alert95164137,Alert95164139,Alert95164224,Alert95164292,Alert95164229
2) Multiple Application  performance alert
Alert time :2025-06-16 14:03 Hrs
Event NO: Alert95164049, Alert95164061, INC14765589, Alert95164300,INC14765641,INC14765511</t>
  </si>
  <si>
    <t>6/16/2025 14:03
6/16/2025 14:04
6/16/2025 14:02
6/16/2025 14:01</t>
  </si>
  <si>
    <t>Open
6/16/2025 14:14
6/16/2025 14:10
6/16/2025 14:14</t>
  </si>
  <si>
    <t>LAPU_MT Success Dip: 4618 (D:120656 Vs D-7: 125274)
 LAPU_GT Success Dip: No Dip Observed (D vs D-7: 48589 Vs 43616)
 eCAF_Simswap Success Dip: 599 (D: 742 Vs D-7: 1341)
 NovaWorks- No Impact in terms of orders 
M2M- No Impact in terms of orders 
Nokia OSS- No Impact in terms of orders
 Service Portal : Total Hits: (D vs D-5: 274291 vs 383529:109238) is 28%. 
Nova IQ_Voice &amp; Nova IQ_SMS- TBC             DPS Success dip: 931 (D vs D-7: 13340 vs 14271) is 0.065%</t>
  </si>
  <si>
    <t>Broadband Customer Experience Journey, Black Customer Experience Journey, Postpaid Customer Experience Journey</t>
  </si>
  <si>
    <t>INC14773428</t>
  </si>
  <si>
    <t>Instant KCI SMS delivery was delayed for Broadband and Postpaid.</t>
  </si>
  <si>
    <t>In this issue, it was identified that BTFLY_KCI was not receiving response from the CLM end, which caused a delay in Instant KCI SMS delivery for Broadband and Postpaid. During troubleshooting, it was found that the bind count was missing, which prevented the CLM team from consuming messages. However, during the course of troubleshooting, issue got resolved without any technical intervention.</t>
  </si>
  <si>
    <t>95,000 pendency was observed.</t>
  </si>
  <si>
    <t>INC14781214</t>
  </si>
  <si>
    <t>CC advisors were unable to see customers data usage and graphs for Broadband.</t>
  </si>
  <si>
    <t>In this issue, Service portal team confirmed that they were getting 100% failure for "getDsl Data usage" API from iFactory end. iFactory team identified that some queries were running which got executed automatically. However, issue got mitigated and failures were reduced as of now. 
Additionally, application team has already raised a mail with iFactory team. They will check the logs and analyze the issue accordingly. The progress will be tracked over mail, and they will get fixed during lean hours.</t>
  </si>
  <si>
    <t>INC14779811,INC14779816,INC14779846,INC14779850</t>
  </si>
  <si>
    <t>Symptom:
1) Multiple alert
Host Name : sp_guardian_card_failure
URL : /guardian/api/v1/user/custom/NETWORK_USAGE_HISTORY_DAILY
URL : /guardian/api/v1/user/custom/DATA_CONSUMPTION_GRAPH_DAILY
URL : /guardian/api/v1/user/custom/MONTHLY_DATA_CONSUMPTION_GRAPH_BB
URL : /guardian/api/v1/user/custom/NETWORK_USAGE_HISTORY_MONTHLY
Alert Time: 17/06/2025 11:55 Hrs
Event No: INC14779811,INC14779816,INC14779846,INC14779850</t>
  </si>
  <si>
    <t>Service Portal Success Hit: (D vs D-3 : 659 vs 2733 : 2074) is 75.88%.</t>
  </si>
  <si>
    <t>INC#Awaited</t>
  </si>
  <si>
    <t>COCP activations were getting delayed as order getting stuck at EV validation.</t>
  </si>
  <si>
    <t xml:space="preserve">In this issue, eCAF Dev team  identified that after today's deployment (DIGP-7462), issue was observed in COCP activation orders stuck at EV validation, where Father's name was showing blank. To mitigate , eCAF Dev team initially rolled back the changes but issue still persisted, so team took some corrective action at their end for the release, post which issue got resolved. </t>
  </si>
  <si>
    <t>INC14783221
Alert95235709</t>
  </si>
  <si>
    <t>1)ECAF-COCP-CREATE-ORDER-PENDENCY MORE THAN COUNT 20 ALERT
Current Value : 26.0
Alert time:17.06.2025 15:30
Event No:INC14783221
2)digitalacq_ecaf_increase_failure_percentage
URL:/ecaf-postpaid-b2b/ecafPostpaidB2B/cocp/fetch/numbers/v1
Alert time:17.06.2025 15:47(fluctuating)
Event No:Alert95235709</t>
  </si>
  <si>
    <t>6/17/2025 15:30
6/17/2025 15:47</t>
  </si>
  <si>
    <t>6/17/2025 18:30
6/17/2025 15:52</t>
  </si>
  <si>
    <t>600 Orders.</t>
  </si>
  <si>
    <t>(DIGP-7462)</t>
  </si>
  <si>
    <t>INC14794009</t>
  </si>
  <si>
    <t xml:space="preserve"> Prepaid Acquisition was impacted in eCAF and Mitra.</t>
  </si>
  <si>
    <t>In this issue, during the troubleshoot it was identified that eCAF was unable to login into OCP cluster for Nginix, due to which Prepaid acquisition got impacted in eCAF and Mitra. To resolve the issue, LB team moved the traffic from OCP to VM of the Nginix. Post which improvement was observed and issue got resolved</t>
  </si>
  <si>
    <t>Alert95259354 , Alert95260866</t>
  </si>
  <si>
    <t>Direct:
1)Hostname:N2OCP-DCLUS-02-GLOO-VM
Trigger: Following Pod is in  - Failed state over ldap-sync - ldap-group-syncer-29169780-nf2kv
Trigger: https://console-openshift-console.apps.n2ocp-dclus-02.india.novatel.internal
Alert time:2025-06-18 02:51 Hrs
Incident:Alert95259354 , Alert95260866</t>
  </si>
  <si>
    <t>Prepaid Success Dip: (D vs D-7: 124 vs 2797= 2673) is 96%</t>
  </si>
  <si>
    <t>INC14798566</t>
  </si>
  <si>
    <t>IPTV installation impacted.</t>
  </si>
  <si>
    <t xml:space="preserve">In this issue, NovaWorks application was experiencing service errors due to an unusually high number of active connections on the i360 database, which impacted the IPTV activation. This connection surge caused performance degradation and disrupted normal functioning. To fix the issue, the DB team performed a controlled restart of the database to clear excessive connections. Post-restart, services resumed normal operation and the issue was resolved. </t>
  </si>
  <si>
    <t>INC14796142,INC14796139,Alert95281419</t>
  </si>
  <si>
    <t>Direct:
1)Hostname:10.223.161.41
sev-3 Trigger: Connections sum: Total number of connections is too high (over 85 in 5m)
Trigger Value: 98 %
Alert time:2025-06-18 11:33Hrs
Incident:INC14796142,INC14796139,Alert95281419</t>
  </si>
  <si>
    <t>567 orders was impacted.</t>
  </si>
  <si>
    <t xml:space="preserve"> The issue resurfaced again, NovaTel works application was facing errors because of too many active connections on the i360 database. database, which caused errors in the NovaWorks application. To fix it, the DB team restarted the database and increased the connection limits. After the restart, the load came under control and the application started working fine again. </t>
  </si>
  <si>
    <t>INC14797789,INC14797649</t>
  </si>
  <si>
    <t xml:space="preserve">Direct:
1)Hostname:10.223.161.41
sev-3 Trigger: Connections sum: Total number of connections is too high (over 85 in 5m)
Trigger Value: 98 %
Alert time:2025-06-18 13:23Hrs
Incident:INC14797789,INC14797649
</t>
  </si>
  <si>
    <t>352 orders was impacted.</t>
  </si>
  <si>
    <t>INC14801230</t>
  </si>
  <si>
    <t xml:space="preserve"> Requests processing was impacted in CGNAT Portal for Pan India intermittently.
</t>
  </si>
  <si>
    <t>In this issue, intermittent failures were observed for CDR and IPDR requests in CGNAT portal, which occurred post OCP upgrade in the Pune CGNAT cluster (under change CHG0182418). It is suspected that the issue might have triggered due to a version mismatch between master (4.16) and worker nodes (4.15). Case regarding the same has been raised with Redhat. Although no code-level changes were part of the upgrade, the application started facing Java descriptor errors. As a break-fix, a code-level change was implemented by the development team at the application level. Improvement was observed after the implementation, and the issue got resolved. Currently the system is under close monitoring.</t>
  </si>
  <si>
    <t>INC14800554</t>
  </si>
  <si>
    <t>1)Interface RX Errors  seen increased over pupc-w178.puocp-dart-pclus-01.india.novatel.internal-ens1f0
Host Name : PUOCP-DART-PCLUS-01
Sev_5,Current Value : 246068.0
Alert Time:2025-06-18 17:11 Hrs (Fluctuating)
Event No:INC14800554</t>
  </si>
  <si>
    <t xml:space="preserve"> 
2025-06-18 17:11:26</t>
  </si>
  <si>
    <t>Pan India CGNAT requests processing was impacted.</t>
  </si>
  <si>
    <t>CHG0182418</t>
  </si>
  <si>
    <t>INC0516767</t>
  </si>
  <si>
    <t xml:space="preserve">Cash drop transactions were failing in NFB-CMS due to an underlying application-level issue.
</t>
  </si>
  <si>
    <t xml:space="preserve"> In this issue, NFB-CMS team reported an issue wherein users were experiencing failures during the cash drop operation within the NFB-CMS application. During the initial troubleshooting phase, the issue auto-resolved without any manual intervention or configuration changes from any technical team.  </t>
  </si>
  <si>
    <t>Transaction Comparison: {D vs (D-7)}= 678-2228= 1550 (69.58%) (Cash drop Use case)</t>
  </si>
  <si>
    <t>APB_Payment_UPI, APB_Payment Cards</t>
  </si>
  <si>
    <t>INC0516835</t>
  </si>
  <si>
    <t>UPI transactions were intermittently impacted due to a high number of active connections on the UPI database.</t>
  </si>
  <si>
    <t>In this issue, UPI transactions were intermittently impacted due to a high number of active connections on the UPI database. During troubleshooting, the Database team identified a specific MasterCard query (6j0kfq2jqytsb) that was consuming excessive time. To mitigate the impact, the execution plan for the affected query was modified. Additionally, the Application team restarted the application nodes. Post that issue got resolved.</t>
  </si>
  <si>
    <t>For NFB-Payments-UPI (transaction dip): D - Total Debit Count: 1020919, D-1 - Total Debit Count : 1892719 (46.06%) Card inventory:- Failure count D: 2545 D-1 : 1</t>
  </si>
  <si>
    <t>Lead to Activation Order Journey</t>
  </si>
  <si>
    <t>INC14835726</t>
  </si>
  <si>
    <t xml:space="preserve">IPTV lead to activation/installation was impacted for Pan India.
</t>
  </si>
  <si>
    <t xml:space="preserve">In this issue, the IPTV STB device was marked as Xstream instead of Xstream_IPTV at Service Portal end in lead to activation flow. To fix the same Service Portal dev team made changes in the code, post which issue for new orders got resolved. 
For old cases, DTH OE team has reconciled all the impacted orders and has manually changed the STB Category and Type from Xstream to Xstream_IPTV in the OE system to clear the pendency. </t>
  </si>
  <si>
    <t>INC14812252</t>
  </si>
  <si>
    <t>Symptom:
1)IPTV_EDT_journey_alerting||10.248.40.65:9070, telemedia-task-manager-service
Host Name : IPTV_EDT_journey_alerting
Sev-3 Current Value : 28.0
Alert Time:2025-06-19 11:35Hrs 
Event No:INC14812252</t>
  </si>
  <si>
    <t>100 orders</t>
  </si>
  <si>
    <t>Nova App Experience Journey, Postpaid Payment Posting Journey, IOT Payment Posting Journey</t>
  </si>
  <si>
    <t>Nova App, DCAP, LAPU_MT, DPS, Selfcare_B2C</t>
  </si>
  <si>
    <t>INC14816842</t>
  </si>
  <si>
    <t>B2B and Postpaid Payment Posting was impacted on FX3.0 along with that bill account details fetching was impacted in Nova App.</t>
  </si>
  <si>
    <t>In this issue, error was observed from "BSL get billing account details" API for CU17/52/54 which further impacted the payment posting of B2B and Postpaid on FX3.0. To resolve the issue, BSL team took refresh of the impacted CU's Pods, post which issue got resolved.</t>
  </si>
  <si>
    <t>Postpaid, Prepaid, Digital Experience B2C</t>
  </si>
  <si>
    <t>P1/P1
P1
P1
P1
P1
P1
P1</t>
  </si>
  <si>
    <t>Alert95342616 ,Alert95342617/Alert95342652/INC14815149/INC14815131 /INC14815132
INC14815036,INC14815081
INC14815310
INC14815329,INC14815707
Alert95343237 
INC14815638
INC14815681,INC14815930</t>
  </si>
  <si>
    <t>1)Multiple FX High response time Alert: not able to call databaseService API on Multiple DB: FXPDCU52/54/17 
Alert Time:2025-06-19 14:52 Hrs
Event No:Alert95342616 ,Alert95342617/Alert95342652/INC14815149/INC14815131 /INC14815132
Symptom:
1)Multiple BSL_503_STATUS_CODE_ALERT_Trigger Threshold is Greater than  100
Host Name : BSL_5xx_StatusCode_Alert
CLUSTER_NAME : NonDMZ-Prod-Gloo-n1ocp-pclus-04
CLUSTER_NAME : NonDMZ-Prod-Gloo-n2ocp-pclus-04
Alert Time:2025-06-19 14:52 Hrs 
Event No:INC14815036,INC14815081
2)Host Name : DPS_Order_Service
Sev_4,Current Value : 46
Issue Start Time : 2025.06.19 15:00:59
API : BSL-MOBILITY-ADAPTER-V2
Alert Time:2025-06-19 15:01 Hrs 
Event No:INC14815310
3)Multiple 5XXFailurein10Minutes
Host Name : Channel-Backend-Alerts for NovaTel-billing
API : /bills
API : /billing/payment/v1/history/fetch
Alert Time:2025-06-19 15:08 Hrs
Event No:INC14815329,INC14815707  
4)Lapu BSL getBillingAccountDetails Error message count &gt; 10
Host Name : Lapu StatusCode wise alert in cap Gateway
Sev_3,Current Value : 11.0
Alert Time:2025-06-19 15:10 Hrs 
Event No:Alert95343237 
5)Alert Name:90thPercentilein10minutes
Host Name : Channel-Backend-Alerts-cx-billing
Sev_2,Current Value : 1971.2907405798167
API : /v1/history
Alert Time:2025-06-19 15:29 Hrs 
Event No:INC14815638
6)BTFLY_ATOM Task Wise Failure seen more than 3000
Sev_1,Current Value : 4741.0
TYPE : FX_failure
Alert Time:2025-06-19 15:33 Hrs 
Event No:INC14815681,INC14815930</t>
  </si>
  <si>
    <t>6/19/2025 14:52
6/19/2025 14:52
2025-06-19 15:01:06"
6/19/2025 15:08
6/19/2025 15:10
2025-06-19 15:29:01"
6/19/2025 15:33</t>
  </si>
  <si>
    <t>6/19/2025 14:53
Open
6/19/2025 15:16
6/19/2025 15:41
6/19/2025 15:15
6/19/2025 16:06
6/19/2025 15:50</t>
  </si>
  <si>
    <t>Postpaid Payment Posting: 24
B2B Payment Posting: 66
Selfcare_B2C - Total Hits:2300 ( D:19516 VS D-7: 17216 )
DPS: Success Hits: 3972 (D:80822 Vs D-7:84794)</t>
  </si>
  <si>
    <t>APB_eNACH</t>
  </si>
  <si>
    <t>INC0517702</t>
  </si>
  <si>
    <t>100% failure observed in NFB-eNACH mandate registration via Debit Card and Aadhaar due to non-receipt of OTP by customers during authentication.</t>
  </si>
  <si>
    <t>On 19th June 2025, starting at 15:00 Hrs., the NFB-eNACH team reported a complete failure (100%) in mandate registrations via Debit Card and Aadhaar, caused by customers not receiving OTPs required for authentication. During investigation, it was identified by the Growth Team that the issue stemmed from a recent migration of the eNACH SMS template delivery mechanism from Message Broker to Sky Vault, a change mandated by TRAI compliance. This migration inadvertently disrupted the OTP delivery process. To mitigate the issue, the Growth Team performed a rollback of the SMS template routing from Sky Vault back to the Message Broker. Additionally, with support from the DBA Team, the following query was executed on the GROWTH_USER.skyvault_template_config table in the Growth DB to remove the affected templates from the Sky Vault whitelist: UPDATE GROWTH_USER.skyvault_template_config SET whitelisted='N' WHERE TEMPLATE_CODE IN ('NETC_PROMOTER_TRAVELLER_PAY_LINK', 'ALERT_AUA_FAILED', 'NETC_PROMOTER_PAY_LINK', 'ECOM_OTP', 'ADDONS_TRAVELLER_RENEWAL_DEBIT','OTP_REKYC_ONBOARDING'); Following these corrective actions, the OTP delivery issue was resolved, and eNACH mandate registration services were restored.</t>
  </si>
  <si>
    <t>Approx. 2,000 eNACH mandate registrations via Debit and 600 via Aadhaar failed during the impact window.</t>
  </si>
  <si>
    <t>INC14822667</t>
  </si>
  <si>
    <t xml:space="preserve">Postpaid SMS delivery (Instant/Non-Instant KCI) was stuck in BTFLY_KCI application. </t>
  </si>
  <si>
    <t xml:space="preserve"> In this issue, During the troubleshooting, it was observed that BTFLY_KCI was not receiving response from the DLT end, resulting in Postpaid SMS deliveries (both Instant and Non-Instant KCI) getting stuck at the BTFLY_KCI. To mitigate the issue, DLT scrubbing was bypassed, which allowed the pendency to start clearing, thereby resolving the issue.</t>
  </si>
  <si>
    <t>Non-Instant- 58K , Instant - 180</t>
  </si>
  <si>
    <t>INC15018092</t>
  </si>
  <si>
    <t>Bundling was impacted for broadband with new IPTV orders for Delhi and Orissa circle.</t>
  </si>
  <si>
    <t>In this issue, It was identified that while merging existing Broadband with new IPTV for Delhi and Orissa circle, total amount was showing 1500 instead of 500. This issue triggered because of a new configuration implementation by eCAF Dev team. To mitigate this issue eCAF Dev team updated the configuration, post which issue got resolved.</t>
  </si>
  <si>
    <t>Success Dip (D vs D-7: 177 vs 174) is no dip.</t>
  </si>
  <si>
    <t>Broadband Customer Experience Journey, DTH Customer Experience Journey, Postpaid Customer Experience Journey, Prepaid Customer Experience Journey</t>
  </si>
  <si>
    <t>INC14820588</t>
  </si>
  <si>
    <t xml:space="preserve">CC advisors were not able to load data in Service Portal intermittently. </t>
  </si>
  <si>
    <t xml:space="preserve">In this issue, some fluctuations were observed at Service Portal end due to which intermittent failures were observed in while loading data in Service Portal. However, the issue got resolved without any technical intervention. </t>
  </si>
  <si>
    <t>Success Hits dip: 5188 (D: 20425 Vs D-3: 15237) dip of 25%</t>
  </si>
  <si>
    <t>Prepaid Customer Experience Journey (Activation/Install), Prepaid Customer Retail Acquisition Journey, Prepaid New Customer Acquisition-MNP Journey, Prepaid New Order Sim Swap Journey</t>
  </si>
  <si>
    <t>PACS, Mediation_IL, SkyVault, eCAF, IMS</t>
  </si>
  <si>
    <t>INC14838896</t>
  </si>
  <si>
    <t>Multiple DB went down at BLR DC leading impact on services of applications.</t>
  </si>
  <si>
    <t>In this issue, multiple applications were facing service disruption as multiple DB went down at BLR DC. Storage team confirmed that the issue triggered as the San Director Gen 5 C1-Rack at Bangalore location got rebooted twice. To fix this issue DB team along with Unix team worked together to get the services up and for IMS, DR was invoked and services are running fine on DR for IMS. Post sanity got confirmation that issue stands resolved.</t>
  </si>
  <si>
    <t>Digital Acquisition, Prepaid, ABGB</t>
  </si>
  <si>
    <t>P1
P1/P1/P1
P1</t>
  </si>
  <si>
    <t>"INC14819643 
INC14820363,INC14820309,INC14820292,INC14820374,INC14820149,INC14820141,INC14820434,INC14820433,INC14820358,INC14820339,INC14820313,INC14820376,Alert95356364,INC14820285,INC14820410,INC14820490
INC14820877"</t>
  </si>
  <si>
    <t>1)Product SN =1-80-148541 : ProductTrapData= Volume N1PL_PD_BTFCU49_Vol16_dest@vserver:8959685c-916f-11e9-8f7a-00a098ee4a36 is nearly full
 (using or reserving 90% of space and 0% of inodes)
IP:10.92.47.83
Alert Time:2025-06-19 20:06 Hrs
Event No:INC14819643 
Symptom:
1)Multiple DB down alerts on Pacs, mediation il,BTFLY_Billing, DTH_IMS,Skyvault, SDP_SE,
Alert Time:2025-06-19 20:45 Hrs 
Event No:INC14820363,INC14820309,INC14820292,INC14820374,INC14820149,INC14820141,INC14820434,INC14820433,INC14820358,INC14820339,INC14820313,INC14820376,Alert95356364,INC14820285,INC14820410,INC14820490
2)Hostname:sp_multitenant_api_failure
Trigger: High Failure in last 10M **** Total Count : 7388 
URL:https://mediation-gloo.novatel.example/ilws/InstantLinkSOA 
Alert Time:2025-06-19 21:09 Hrs 
Event NO:INC14820877</t>
  </si>
  <si>
    <t>6/19/2025 20:06
2025-06-19 20:45:12"
2025-06-19 21:09:06"</t>
  </si>
  <si>
    <t>6/19/2025 20:43
6/19/2025 22:21
6/19/2025 21:26</t>
  </si>
  <si>
    <t>Prepaid Acq-3641 orders,
7143 MNP failed cases
Simswap- 1464 Orders.</t>
  </si>
  <si>
    <t>Nova App Experience Journey, Lead to Activation Order Journey</t>
  </si>
  <si>
    <t>Nova App, SAFO</t>
  </si>
  <si>
    <t>INC14829694</t>
  </si>
  <si>
    <t>Leads were not created for all LOBs.</t>
  </si>
  <si>
    <t>In this issue, It was observed that Users were unable to check feasibility as call was not landing at omni services. Team suspected a recent change (CHG0183257) could have triggered the issue. To mitigate this issue, Central DevOps team rolled back the change, post which improvement observed and issue stands resolved.</t>
  </si>
  <si>
    <t>P2
P3
P4
P4</t>
  </si>
  <si>
    <t>INC14824346, INC14824416, INC14824480, INC14824551, INC14824604
Alert95372539
INC14826695,INC14826678
INC14826702</t>
  </si>
  <si>
    <t>1)Prepaid_V2L_DROP(D-7)
Host Name : AcquisitionExperience_FE_Prepaid
Sev-2 Current Value : 40.81
Alert time:2025-06-20 01:06Hrs(Fluctuating)
Event no:INC14824346, INC14824416, INC14824480, INC14824551, INC14824604
2)CHECKFEASIBILITY_omniwidget_service
sev-3 Trigger: Total Count : *UNKNOWN* |  Failure Count : *UNKNOWN* | Failure %:  *UNKNOWN* | Threshold: 10%
Trigger Name : Increase in 5XX Hits for CHECKFEASIBILITY
Tags: BOT_ID:-4171787308, SOP:https://confluence.novatel.example/x/jwSLE, ServiceNowApplication:Digital_Safo, Trigger Value: 10 
Alert time:2025-06-20 02:20Hrs
Event no:Alert95372539
3):FETCHPINCODESFORCITY_omniwidget_service
sev-4 Trigger: Count D~7: 292 | Count D: 53 | DIP %: 81.85 | Threshold: 25%
Alert time:2025-06-20 05:30Hrs
Event no:INC14826695,INC14826678
4)FETCHCITIES_omniwidget_service
severity: Warning
Trigger: Count D~7: 51416 | Count D: 11704 | DIP %: 77.24 | Threshold: 25%
Alert time:2025-06-20 05:34Hrs
Event no:INC14826702</t>
  </si>
  <si>
    <t>6/20/2025 01:06
6/20/2025 02:20
6/20/2025 05:30
6/20/2025 05:34</t>
  </si>
  <si>
    <t>6/20/2025 01:26
6/20/2025 02:25
6/20/2025 07:16
6/20/2025 07:14</t>
  </si>
  <si>
    <t>Absolute Numbers Loss:
For Broadband:-
Overall Leads loss ---&gt; 12,000 Leads.
For Postpaid:-
Overall leads loss. ---&gt; 2800 leads.
Feasible leads  ---&gt; 8400 Leads.</t>
  </si>
  <si>
    <t>CHG0183257</t>
  </si>
  <si>
    <t>NovaTel Advantage App</t>
  </si>
  <si>
    <t>INC14834827</t>
  </si>
  <si>
    <t>Customer Onboarding was impacted on NovaTel Advantage Application for Global customers.</t>
  </si>
  <si>
    <t>In this issue, Application team observed 504 gateway timeout error due to which Customer Onboarding was impacted on NovaTel Advantage Application and they were not able to telnet from source to destination. Firewall team resolved the connectivity issue by whitelisting these IPs (125.18.88.84/85/86), after which telnet succeeded and App dev team made some script level changes, post which issue got resolved.</t>
  </si>
  <si>
    <t>INC14829635,INC14829786</t>
  </si>
  <si>
    <t>1)Multiple:5XX_StatusCode_Gloo_API_CS
Trigger Name : Status Code[503] Count Greater than [500] in Last 10 Minutes
Tags: AUTHORITY:b2bpdenterprisebusiness.novatel.example
Alert time:2025-06-20 10:21
Event no:INC14829635/INC14829786</t>
  </si>
  <si>
    <t>New customer onboarding stuck on NovaTel Advantage Application</t>
  </si>
  <si>
    <t>INC14831284</t>
  </si>
  <si>
    <t>Prepaid activation delayed at dedupe success for south hub.</t>
  </si>
  <si>
    <t>In this issue, It was observed that Prepaid orders Activation were delayed for South hub only. PACS team confirmed that there will be little latency as this is running from DR. Orders will not fail but pendency may increase intermittently during peak hours. Further teams are actively monitoring for the PACS services.</t>
  </si>
  <si>
    <t>INC14829573, INC14829763, INC14829759, INC14829760</t>
  </si>
  <si>
    <t>1)Prepaid milestone pendency for dedupe_success is more than 100 in last 15 min
Host Name : Milestone_pendency_prepaid_ecaf
Sev-2 Current Value : 122.0
Alert time:2025-06-20 10:18Hrs
Event no:INC14829573, INC14829763, INC14829759, INC14829760</t>
  </si>
  <si>
    <t>1282 orders</t>
  </si>
  <si>
    <t>Nova App, ECHO</t>
  </si>
  <si>
    <t xml:space="preserve">Leads flow was impacted from Nova App to ECHO dialer. </t>
  </si>
  <si>
    <t xml:space="preserve">In this issue, Leads was getting created at Nova App but it was not flowing at the Call center. Application teams suspected earlier that the COM was sharing the Language as blank but at investigation, COM team confirmed that they were getting the Lead from the source without language. Further, there was a logic applied at COM end that post waiting for 15 Minutes, it will automatically share the lead to the LMS. During further troubleshooting, it was identified that in Frontend there was no mandate logic applied that it will not share the lead without language but from LMS to ECHO it was mandate that lead flow should be done with language only. For the restoration, growth and Product team will do the changes in logics which will be done post discussion. </t>
  </si>
  <si>
    <t xml:space="preserve">Approx. 19% leads is impacted </t>
  </si>
  <si>
    <t>INC14836968</t>
  </si>
  <si>
    <t>Ticket creation in Remedy was impacted intermittently.</t>
  </si>
  <si>
    <t>In this issue, ticket creation in Remedy was impacted intermittently. to resolve this, NSG_NOC team took sequential DB bounce on both nodes, followed by service refresh of application by application team, post which improvement was observed and issue got resolved.</t>
  </si>
  <si>
    <t xml:space="preserve">P1
P1
</t>
  </si>
  <si>
    <t>INC14834666
INC14835263,INC14835283</t>
  </si>
  <si>
    <t>1)Hostname:Remedy_TT_Trend_Based_On_Assignment_Alerts
severity: Average,Trigger: NOC_SDO
Alert Time:2025-06-20 16:16 Hrs
Event NO:INC14834666
2)Hostname:Remedy_queue_count
severity: Average
Trigger: Remedy_queue_count | Threshold count&gt;300
Alert time :2025-06-20 17:01 Hrs
Event No:INC14835263,INC14835283</t>
  </si>
  <si>
    <t>2025-06-20 16:16:46"
2025-06-20 17:01</t>
  </si>
  <si>
    <t>Open
6/20/2025 18:11</t>
  </si>
  <si>
    <t>Ticket creation was impacted intermittently.</t>
  </si>
  <si>
    <t>HB_CRM, HB_ATOM</t>
  </si>
  <si>
    <t xml:space="preserve"> INC14837362</t>
  </si>
  <si>
    <t>Broadband New/Change orders got stuck in HB_CRM.</t>
  </si>
  <si>
    <t>In this issue, broadband order flow from HB_CRM to HB_ATOM via ESB was impacted.Upon investigation, ESB team confirmed that maximum connections limit got breached for siebelpuser@HummingBirdVPN for a brief duration which triggered the issue. However, it got normal after sometime and issue got resolved.</t>
  </si>
  <si>
    <t>Account Creation- 6        
Network Change Order -1
New Registration -202
Pilot Number Change -1
PostToPre -1
PreToPost -5
Safe Custody -22
Involuntary Resume -80
Change of Bill Plan- 47
Change Order-356
InterCircle -5
IntraCircle -2
IntraCity -70</t>
  </si>
  <si>
    <t>NovaWorks, HB_ATOM, Nokia OSS</t>
  </si>
  <si>
    <t>INC14837413</t>
  </si>
  <si>
    <t>Broadband order provisioning was impacted.</t>
  </si>
  <si>
    <t xml:space="preserve">In this issue, Nokia team observed some failures for broadband provisioning orders which were getting failed at LDAP-2. Nothing was identified with no observations from any end. However, during the course of troubleshoot, the issue got resolved but action taken to resolve remains unknown.  </t>
  </si>
  <si>
    <t>INC14836931</t>
  </si>
  <si>
    <t>Hostname:NovaTel_Works alerts for Broad Band Journey
sev-2
Trigger Name : Task 2 not received for FTTH broadband orders
Trigger Value: 150
Alert time:2025-06-20 19:01 Hrs
Incident:INC14836931/INC14836889</t>
  </si>
  <si>
    <t xml:space="preserve"> 
2025-06-20 19:06:11</t>
  </si>
  <si>
    <t>300 order</t>
  </si>
  <si>
    <t>INC14852382</t>
  </si>
  <si>
    <t>Prepaid Retail recharges were impacted in Mitra.</t>
  </si>
  <si>
    <t>In this issue, Mitra was observing high response time due to which prepaid retail recharges got impacted. As a proactive step 50% of the Mreck traffic was moved to 62DC, post which some improvement was observed. Further, it was identified by Network team that post movement of traffic on Phase2 DC due to UPS activity, Internet link utilization became high. For the restoration, Mitra Traffic was also divided on both the DCs post which normal services got restored.</t>
  </si>
  <si>
    <t xml:space="preserve">Primary Root Cause:
Leg 01 – Specification 
Q1. Why service disruption observed for prepaid retail recharges? 
A1. Because Mitra application experienced high response times and increased packet drops at Phase 2 DC, leading to transaction failures and degraded performance. This directly impacted the prepaid retail recharge journey, causing service disruption for end users. 
Q2. Why high response time observed in Mitra at Phase 2 DC? 
A2. Because all Mitra application traffic, covering critical FQDNs - mitra.novatel.example (Acquisition) and mrec.novatel.example (Recharges) was proactively rerouted from Sector 62 DC to Phase 2 DC ahead of a planned UPS replacement activity for Source B, as a preventive strategy to avoid potential disruption. This sudden influx of traffic led to an unexpected surge in load, causing the Internet link at Phase 2 DC to saturate, which in turn degraded application performance. 
Q3. Why Phase 2 DC’s internet link saturated? 
A3. Because the internet link at phase 2 DC had a static capacity of only 5 Gig, which was insufficient to handle the migrated N1 resilience base traffic due to planned UPS replacement activity. The surge in load caused link utilization to exceed 80%, resulting in network congestion, increased response times and packet drops. 
Leg 02 – Detection 
Q1. Why the link bandwidth issue not flagged before traffic migration? 
A1. Because in previous instances, the Internet link bandwidth at Phase2 DC temporarily upgraded to 10 Gig through prior coordination with AES. However, during this migration, the necessary coordination did not take place effectively and the soft bandwidth upgrade not executed in time. As a result, the link continued to operate at its default capacity of 5 Gig, which was insufficient to handle the expected traffic load. 
Q2. Why the issue not detected promptly post-migration? 
A2. Because although a high utilization alert triggered shortly after the traffic migration, it was neither promptly acknowledged nor acted upon by network team. This delay in alert response contributed to the prolonged outage and extended the overall service impact. 
Reference Alert Details - 
Direct Alert: High Transmit Percent Utilization NovaTel_Central_DC 
Device Name = BAL-NDAPH-2-INT-NX9K-SEC 
Device IP = 10.5.60.79 
Component Name = Ethernet1/1 
Component Description = Secondary Internet Link (eBGP 59.144.68.197) 
Bandwidth: 5GB 
Message = Current Transmit percentage utilization is 80 % 
Alert time: 2025-06-21 16:20Hrs 
Event no: INC14849864 
Leg 03 – Systemic Failure 
Q1. Why the known limitation of link bandwidth not have a permanent fix? 
A1. Because network team was operationally dependent on AES for managing and upgrading Internet link capacity. Although an order for internet link bandwidth upscaling was placed over a year ago, the upgrade remained pending. Despite multiple escalations to service provider, the absence of a confirmed implementation timeline and lack of required backbone infrastructure to support upgrade, continued to rely on temporary workarounds during high-traffic events. 
Preventive Actions: 
• Upgrade Internet link bandwidth from 10 Gig to 20 Gig to handle peak load during infra activities. – Deepak (Open) – ETA July 08,2025 
• Plan backbone enhancement to 100 Gig for long-term scalability and infra readiness. – Deepak (Open) – ETA July 30, 2025 
• Ensure timely response to critical alerts, especially during planned infrastructure events and traffic migrations. – Deepak (Open)
</t>
  </si>
  <si>
    <t>PRB0044510</t>
  </si>
  <si>
    <t>P2
P2
P1
P1</t>
  </si>
  <si>
    <t>INC14849864
INC14849859
INC14851192
INC14851337, INC14851332, INC14851425, INC14851420</t>
  </si>
  <si>
    <t>Direct
1)High Transmit Percent Utilization_NovaTel_Central_DC
Device Name = BAL-NDAPH-2-INT-NX9K-SEC
Device IP = 10.5.60.79
Component Name = Ethernet1/1
Component Descripion = ### Secondary Internet Link (eBGP 59.144.68.197) Bandwidth: 5GB
Message = Current Transmit percentage utilization is 80 % 
Alert time:2025-06-21 16:20Hrs
Event no:INC14849864
Symptom
1)High Transmit Percent Utilization_NovaTel_Central_DC
Device Name = BAl-NDAPH2-Q9-N9364-BORDER-LEAF-2
Device IP = 10.242.30.24 Component Name = Ethernet1/41
Component Descripion = Connected to Riverbed Span
Message = Current Transmit percentage utilization is 94 % 
Alert time:2025-06-21 16:20Hrs
Event no:INC14849859
2)AppDynamics_Appd-Saas_Mitra-Phase2_Mitra_Phase_2-Prepaid Retail Recharge-OverallAvgResponseTime&gt;700ms_Sev-1
Alert time:2025-06-21 18:14Hrs
Event no:INC14851192
3)Multiple mitraNon200Phase2 Alerts
Host Name : mitraNon200Phase2
Sev-3 KEY : /MitraApp/rechargeServices/recharge/searchROffers/v1
DOC_COUNT : 5211
Alert time:2025-06-21 18:23Hrs
Event no:INC14851337, INC14851332, INC14851425, INC14851420</t>
  </si>
  <si>
    <t>6/21/2025 16:20
6/21/2025 16:20
6/21/2025 18:14
6/21/2025 18:23</t>
  </si>
  <si>
    <t>6/21/2025 16:38
Open
6/21/2025 18:46
Open</t>
  </si>
  <si>
    <t>Success Hits Dip : 67595 (D: 167635 vs D-7: 235230) is 28%</t>
  </si>
  <si>
    <t>iOT Customer Experience Journey</t>
  </si>
  <si>
    <t>M2M, BTFLY_ATOM</t>
  </si>
  <si>
    <t>INC14863965</t>
  </si>
  <si>
    <t>M2M bulk orders were stuck at BTFLY_ATOM</t>
  </si>
  <si>
    <t>In this issue the M2M bulk orders were stuck at BTFLY_ATOM, due to which pendency increased. Further to resolve the issue BTFLY_ATOM team restarted the services, Post which improvement was observed and orders got cleared in manual repush. Following this, issue got resolved.</t>
  </si>
  <si>
    <t>INC14859051 
INC14859489</t>
  </si>
  <si>
    <t>1)BTFLY_ATOM_TASK_WISE_FAILURE_ALERT||Task Wise Failure seen more than 3000
Current Value : 12284.0
TYPE : FX_failure
Alert time -  2025.06.22 07:33
Event no -  INC14859051 
2)BTFLY ATOM OVERALL FAILUE ALERT||Overall Failure Pendency seen more than 5000
Current Value : 19948.0
Alert time - 2025.06.22 08:34
Event no -  INC14859489</t>
  </si>
  <si>
    <t>6/22/2025  7:33:00 AM
6/22/2025  08:34:00 AM</t>
  </si>
  <si>
    <t>6/22/2025  7:51:00 AM
6/22/2025  09:40:00 AM</t>
  </si>
  <si>
    <t>M2M disconnection orders- 15000
M2M New Registration orders- 3000
M2M safe custody orders- 700</t>
  </si>
  <si>
    <t>INC14877278</t>
  </si>
  <si>
    <t>Customers were not able to receive FRC SMS intermittently for MNP post porting success.</t>
  </si>
  <si>
    <t>In this issue, FRC SMS were getting stuck in a pending state, preventing customers not receiving FRC SMS after successful MNP porting. As a temporary workaround, the eCAF team manually marked the records as successful and PACS team re-triggered the SMS, post which issue got resolved.
For a permanent fix, eCAF Dev team will be working on backend-level changes.</t>
  </si>
  <si>
    <t>Customers were not able to receive FRC SMS.</t>
  </si>
  <si>
    <t>INC14865276</t>
  </si>
  <si>
    <t>Prepaid activation were getting delayed for PACS South.</t>
  </si>
  <si>
    <t xml:space="preserve"> During the troubleshooting, the PACS team identified that a number of problematic orders were stuck in the processing queue, which led to a backlog specifically impacting the South hub. To address this, the team performed an application refresh. Following the refresh activity, the stuck orders started clearing successfully, and the order flow was gradually restored for the South region.</t>
  </si>
  <si>
    <t>INC14864479</t>
  </si>
  <si>
    <t>Symptom:
1)PACS Success Pendency Increased at ECAF
Host Name : Ecaf_Nirvana_Pacs_Pendency_Hub_Wise
Sev-3 Current Value : 1088.0
Alert time - 2025.06.22 18:09
Event no -INC14864479</t>
  </si>
  <si>
    <t>3000 orders stuck at PACS success</t>
  </si>
  <si>
    <t>INC14881406</t>
  </si>
  <si>
    <t>CC advisors were unable to raise SR for all LOBs.</t>
  </si>
  <si>
    <t>In this issue, Service Portal was getting error from Case API due to which CC advisors were unable to raise SR for all LOBs. Upon investigation, CASE dev team confirmed that issue triggered due to prerequisite configuration changes before the jira deployment. To resolve, CASE dev team rolled back the config. changes, post which issue stands resolved.</t>
  </si>
  <si>
    <t xml:space="preserve">Primary Root Cause: 
Leg 01 – Specification 
Q1. Why were multiple customer experience journey impacted? 
A1. Because call center advisors were unable to raise SRs through Service Portal due to 400 and 500 errors from the downstream Case and Interaction API. This caused the SR flow to halt across multiple LOBs (Postpaid, DTH, Prepaid, and Broadband) thereby impacting various customer experience journeys. 
Q2. Why did the downstream Case and Interaction API throw 400 and 500 errors? 
A2. Because the validation API failed due to a configuration mismatch triggered by the Jira-based deployment (Jira ID: INP-15144), which migrated Case Framework UI services from HTTP to HTTPS as per Infosys security mandates. The downstream API was incompatible with the new configuration, preventing successful connections establishment and resulting in immediate failures. 
Q3. Why did the validation API fail due to a configuration mismatch? 
A3. Because the deployment YAML file was configured with a hardcoded port value of 8082, which did not align with the expected production port 9095. As a result, the validation API attempted to establish connections using the incorrect port, leading to service connection failures and validation errors during deployment. 
Q4. Why was the incorrect port used in the production YAML? 
A4. Because the pre-production YAML, which used port 8082 was reused in production without updating the environment-specific configuration. As a result, the application attempted to bind to an incorrect port, causing service failures and crashes in the production environment. 
Q5. Why was the YAML not correctly updated for production? 
A5. Because the production configuration was expected to be manually updated but the pre-production YAML was directly copied without applying the necessary environment-specific changes. This oversight led to incorrect settings being deployed in the production environment. 
Leg 02 – Detection 
Q1. Why manual misconfiguration not identified before production rollout? 
A1. Because environment-specific sanity checks were not conducted during deployment, allowing the misconfiguration to go unnoticed. 
Q2. Why configuration differences between pre-prod and production not validated? 
A2. Because the deployment process lacked configuration comparison step. This gap led to false assumptions that pre-prod and prod environments were identical, despite known historical variances. 
Q3. Why pre-production sanity testing missed, especially for a critical change? 
A3. Because critical validation steps, including pre-production sanity testing were bypassed for this deployment, indicating a breakdown in adherence to standard testing protocols for high-risk changes. 
Leg 03 – Systemic Failure 
Q1. Why was deployment YAML reused from pre-prod without modification for production? 
A1. Because configuration management was performed manually, relying on copy-paste practices instead of automated environment-specific templates. This increased the risk of human error and environment mismatches. 
Q2. Why did the overall outage become difficult to manage in terms of restoration and rollback? 
A2. Because the deployment was executed through Jira, bypassing the formal Change Management process (Service Now + CAB). As a result, critical aspects such as risk assessment during peak business hours, deployment planning and rollback procedures were not properly documented or reviewed. Cross-team visibility was limited, as the operations team does not monitor Jira-based changes. The absence of enforced change controls and pre-deployment sanity checks resulted in delayed issue detection and rollback making the overall outage difficult to manage.
Preventive Actions: 
• Schedule deployments for critical applications during low-traffic or non-peak hours to reduce potential business impact and provide adequate time for validation. – Ranjan/Amit (Open)
• Implement structured coordination with operations and business teams during deployment windows to enable real-time issue detection and resolution. - Ranjan/Amit (Open)
• Ensure all changes undergo the full Change Review Board (CAB) process, including impact analysis, risk assessment, and documented rollback plans. - Ranjan/Amit (Open)
• Mandate cross-verification of deployment changes with all relevant stakeholders to ensure awareness, alignment, and identification of potential risks. - Ranjan/Amit (Open)
• Adopt automated configuration management using environment-specific templates. Implement validation scripts to compare pre-prod and prod configurations before deployment to eliminate manual copy-paste errors and ensure identical configurations across environments. - Ranjan/Amit(Open)
</t>
  </si>
  <si>
    <t>PRB0044513</t>
  </si>
  <si>
    <t>P3
P3
P5
P1</t>
  </si>
  <si>
    <t xml:space="preserve">INC14879912 
INC14879907
Tg Alert
Alert95579240 </t>
  </si>
  <si>
    <t>1) Hostname:SRListing
Trigger: Gateway timeout at downstream. Please try again after sometime.
Alert time:2025.06.23 20:00 Hrs
Incident:INC14879912 , 
2)Hostname:ValidationFrameworkv2
Trigger: Unable to serve your request. Please try later
Alert time:2025.06.23 20:00 Hrs
Incident:INC14879907
3)Status Code[400] Count Greater than [1000] in Last 10 Minutes
Host Name : StatusCode_Gloo_API_Informational_Alert
Sev_5,Current Value : 1274.0
CLUSTER_NAME : NonDMZ-Prod-Gloo-n2ocp-pclus-04
Alert Time:2025.06.23 20:02: Hrs
Incident :  Tg Alert
4)Hostname:sp_guardian_raiseSRViaCase_failure
Trigger: High Failure in last 10M  Total Count : 1584   Failure Count : 162  Failure % : 10.23 
Alert Time:2025.06.23 20:23 Hrs
Incident :  Alert95579240</t>
  </si>
  <si>
    <t>2025-06-23 20:00
2025-06-23 20:00
2025-06-23 20:02
2025-06-23 20:23</t>
  </si>
  <si>
    <t>2025-06-23  21:42
2025-06-23 21:36
2025-06-23 21:22
2025-06-23 20:29</t>
  </si>
  <si>
    <t>Success Dip for Create SR: (D vs D-7: 258 vs 478 : 220) is 46%.</t>
  </si>
  <si>
    <t>INP-15144,INP-14214,INP-15104,INP-14582,INP-15418,INP-15408,INP-15414109:28 PM</t>
  </si>
  <si>
    <t>Black Acquisition Journey, Broadband New Customer Acquisition Journey, Nova App Experience Journey, Prepaid Online Recharge Journey, Prepaid New Order Sim Swap Journey, DTH Recharge Journey</t>
  </si>
  <si>
    <t>Nova App, eCAF, DPS, eCAF_Sim Swap, eCAF_eDSL, OneNova</t>
  </si>
  <si>
    <t>INC14891464</t>
  </si>
  <si>
    <t xml:space="preserve">Acquisition, Payments, Recharges and utilities pay via NovaTel app was impacted. </t>
  </si>
  <si>
    <t>In this issue, Recharges and utilities via NovaTel app/Web: Simswap, Broadband, and Black acquisition were impacted. As multiple 503 error alert for Kong, DPS, and Nova App was observed, due to which dip was seen in SR and transactions. Initially DPS team took backend service refresh and configurational changes were done at app layer but no improvement was observed. Further to resolve the issue Internal Kong bounce was taken, post which improvement was observed and failure started decreasing. Following this issue got resolved.</t>
  </si>
  <si>
    <t xml:space="preserve">Primary root cause:
Specification Leg-01
Q1: Why there was an issue encountered with several applications which led impact towards multiple Journeys?
Ans: Because, there was an issue reported with Prepaid recharges and utility payments through the Nova App/WEB;Simswap, Broadband, and Black acquisition via payment link were impacted which led impact towards multiple Journeys. 
Q2: Why there was an issue with Prepaid recharges and utility payments?
Ans: During the checkout process, users were unable to access the payment options page because the Payment Options service wasn’t responding. As a result, no payment methods were shown for any transactions users were initiating from the checkout page.
Q3: Why payment option services were not responding?
Ans: Because, DPS team observed significantly increased response times for the paydigi (Payment Options service) APIs and there were DPS New payments Mongo status failed and active connection increased alert on MongoDB Cluster: paymentoptionsdb1. 
Q4: Why there was high response time for Paydigi API?
Ans: Because, there was 503 error alerts for paydigi API on payment-internal-kong-community server and It was identified that the internal Kong server experienced performance degradation which affected both incoming and outgoing connections. Because of this, the Payment Options service became slow and couldn’t handle requests properly, leading to a major slowdown and service disruption in the Payment Options service.
Q5: Why there was performance issue with internal Kong server?
Ans:  During drilling down the issue, there were Page faults and spike observed on internal kong server VMs which lead to increase the latency on rendering the response of services. They noted that the garbage collection time was impacting the page faults which means your system doesn’t have enough memory and IO error rate was also high for both Read and write.
Q6: Why there were page faults seen on Kong server?
Ans: Further discussion revealed, there was a spike observed on VM cluster too. However, kong server performance was degraded as it was running out of memory and started using the disk instead of cache. Since cache was full on Kong server it was throwing out the data due to which the payment services got impacted. However, internal Kong servers were restarted, which resolved the issue and restored the Payment Options service API response time back to normal. 
Q7:Why Internal kong server had memory issues?
Ans: While investigation the issue,  DPS team identified there is a memory management limitations bug (#11003, #12217) in version 2.6.0 of Kong Community Edition, there are known problems with how memory is handled, especially when it's run inside virtual machines. This often leads to something called "page faults," which basically means the system struggles to access memory properly.
Detection Leg- 02 
Q1: Why page fault and memory issues was not detected proactively?
Ans: Because, there was no sign/alert of page vaults on kong servers VM which could indicate the Memory Leaks issue with Kong 2.6.0 version.
Q2: Why the alerts were not configured on kong servers?
Ans: Because, page fault alerts are not a part of standard alerting system. Hence, this was not configured on both internal and external kong servers.
Systemic leg-03
Q1: Why the system allowed bug in production servers?
Ans: Since, there was a community version of Kong servers instead of Enterprise edition, there was no support from OEM to detect the issue sooner. Additionally, If we had upgraded the Kong version from 2.6 to latest 3.9 earlier; this issue outage could have been avoided.
Observations:
• DPS Team took multiple actions initially to fix the issue but nothing worked (restarted all payment-option services, pg-service instances, apb-service instances and re-bounced payment-option services, increased pool size, timeouts for payment-options service, rate-limiting modifications and new servers for scaling payment-options. However, issue got fixed post restart of internal Kong services.
Preventive Actions: 
• Memory augmentation for Kong servers from 24 to 32 GB – Closed Sathish Pathak/Arvind Kumar
• Upgradation of the Kong community server from current 2.6 to latest 3.9  Internal Kong ETA : 15th July , 202 and External Kong ETA : 22 July , 2025-Open Sachin Rana
• Onboarding of the DT on the production Kong server ETA 18th July , 2025- Open Utkarsh Panwar
• Upscaling the infra  for both the Engineering and Operations teams for the DT project. ETA : 4th July, 2025- Open Sachin Rana
• Implement static response mechanisms within Kong to deliver predefined client responses during service disruptions. 21st July , 2025 (TBD)-Open Sachin Rana
• Consolidated Dashboards for DPS services -Open Sachin Rana
• Configure timeout thresholds in DPS services to automatically terminate requests exceeding predefined rendering time limits, preventing resource exhaustion and improving system stability. ETA : 3rd July , 2025-Open Sachin Rana
• Upgrading the kong server from Community edition to Enterprise -Open Sachin Rana ETA TBD
• Onboarded the Page faults alerts on both internal and external kong server VM- Closed Sachin Rana
• Review the reactor framework for payment services- Open Sachin Rana
• Removing deep health check from DPS services : TBD
</t>
  </si>
  <si>
    <t>PRB0044514</t>
  </si>
  <si>
    <t>TG Alert
TG Alert
P1
P1
P1
P1</t>
  </si>
  <si>
    <t>TG Alert
TG Alert
INC14886807, INC14887016, INC14887366, INC14886910, INC14886912, INC14887021, INC14886945, INC14887004, Alert95605996, INC14887449
INC14886694, INC14886739, INC14886734, INC14886733, INC14886726
INC14886735, INC14886725, INC14886766
Alert95605230
Alert95607243</t>
  </si>
  <si>
    <t>Symptom:
1) Multiple Alerts
a) subscription-10.14.190.148 - status failed (1) -- Actuator is Down
Business Group: DIGITAL ACQUISITION
Alert Start time : 24/06/25 09:21
Event No : TG Alert
b)dps-new-payments-Mongo - status failed (1) -- Connected to MongoDB Cluster: paymentoptionsdb1
Node 10.222.166.110:27017 
Alert Start Time: 24/06/25 09:22
Event No : TG Alert 
c) multiple BBPS alert
Alert Name: Overall Dip in BBPS_V2/ Net Banking/ Postpaid SR/ Prepaid Service/ PG Service/ UPI Success Rate/ DTH SR/ Posting Service/ QR Code Success Rate/ Fixed Line SR
Alert Start Time: 24/06/25 09:30
Event No : INC14886807, INC14887016, INC14887366, INC14886910, INC14886912, INC14887021, INC14886945, INC14887004, Alert95605996, INC14887449
2) Multiple active connection alert
a) Active connection has increase threshold is greater than 1500
Host Name : 10.222.XXX.XX, 10.241.XXX.XX, 
Alert Start time : 24/06/25 09:22
Event No : INC14886694, INC14886739, INC14886734, INC14886733, INC14886726
b) High 503 error on 10.241.88.91 || Threshold is greater than 25|
Host Name : 10.241.XX.XX
Alert Start time : 24/06/25 09:22
Event No : INC14886735, INC14886725, INC14886766
3) Appd alert
a) ECAF-Prepaid New Order Simswap Journey-ECAF_SIMSWAP-RS_POS 10.5.221.141:8005 Error Rate is grater than 20%_Sev-1
Alert start time: 2025-06-24 09:20 Hrs (Fluctuating)
Event No: Alert95605230
a)ECAF-Prepaid SimSwap New Order Journey-ECAF_SIMSWAP-RS_paydigi.NovaTel.in:443 Error Rate is greater than 10%_Sev-1
Alert start time : 2025-06-24 10:11 Hrs 
Event No : Alert95607243</t>
  </si>
  <si>
    <t>TG Alert
TG Alert
6/24/2025 9:30
6/24/2025 9:22
6/24/2025 9:22
6/24/2025 9:20</t>
  </si>
  <si>
    <t>TG Alert
TG Alert
6/24/2025 9:42
6/24/2025 9:34
6/24/2025 10:16
6/24/2025 9:21</t>
  </si>
  <si>
    <t>Product Bug</t>
  </si>
  <si>
    <t>Success dip- Broadband (D vs D-7: 2465 vs 2722= 257) is 9%
Homes: (D vs D-7: 2624 vs 3066= 442) is 14%.
Simswap : (D vs D-7: 20494 Vs 21613= 1119) is 5%.
Prepaid Recharges:1.5 Lac
DTH Recharges:5000
Utilities &amp; Payments: 1 Lac</t>
  </si>
  <si>
    <t>INC14890904</t>
  </si>
  <si>
    <t>Broadband installation/provisioning orders were impacted.</t>
  </si>
  <si>
    <t>In this issue, Task2 pendency was observed due to Broadband installation orders were impacted. To resolve the issue, NovaWorks team repushed the orders and triggered some event, post which issue got resolved.</t>
  </si>
  <si>
    <t>INC14889953, INC14890138</t>
  </si>
  <si>
    <t>Symptom:
1) Task 2 not received for FTTH broadband orders
Host Name : NovaTel_Works alerts for Broad Band Journey
Alert Start time: 24/06/2025 13:16 Hrs
Event No: INC14889953, INC14890138</t>
  </si>
  <si>
    <t>Tag Change orders (FTTH + MOP) - 183.</t>
  </si>
  <si>
    <t>DTH Customer Experience Journey, Black Customer Experience Journey</t>
  </si>
  <si>
    <t>DCAP, OneNova</t>
  </si>
  <si>
    <t>INC14895336</t>
  </si>
  <si>
    <t>Black and DTH NCA Payment posting was impacted.</t>
  </si>
  <si>
    <t>In this incident, issue was observed in Homes Payment Breakup API which further impacted the Black Payment posting and DTH NCA orders in DCAP. During the troubleshooting, errors were observed from BSL end, to mitigate this issue BSL team took POD refresh of CU10, post which improvement observed and issue got resolved.</t>
  </si>
  <si>
    <t>p1
P1
P1
P1
P1
P1</t>
  </si>
  <si>
    <t>Tg alert
INC14894571
INC14894640,INC14894639,INC14894638
INC14894661,Alert95631323
Alert95631607
Alert95631607,INC14894805</t>
  </si>
  <si>
    <t xml:space="preserve">1)FX High response time in last 60 min executeProcedure(): database service API on DB: PDK6CU10
Host Name : BSL Billing Acc Details API FX DB High Response
Sev_3,Current Value : 65.0 
Alert time: 2025.06.24 18:49 Hrs
Incident:Tg alert
Symptom:
1) OneNova-Digital Customer Experience Journey-Homes-RS_bsl-prod.india.novatel.internal_
Overall Error rate is greater than 5%_Sev-1
Alert time:2025-06-24 18:52 Hrs
Incident:INC14894571
2)Multiple BSL_501_STATUS_CODE_ALERT_Trigger Threshold is Greater than  100
Host Name : BSL_5xx_StatusCode_Alert
Sev_3,Current Value : 2011.0
CLUSTER_NAME : NonDMZ-Prod-Gloo-n2ocp-pclus-04
Alert time:2025-06-24 18:55 Hrs
Incident:INC14894640,INC14894639,INC14894638
3)Multiple 5XXFailurein10Minutes
Host Name : Channel-Backend-Alerts-cx-billing
Sev_2,Current Value : 24.104154060520603
API : /bills
API : /billing/payment/v1/history/fetch
Alert time:2025-06-24 18:58 Hrs
Incident:INC14894661,Alert95631323 
4)High ADVANCE_PAYMENT_FAILURE in last 30 min
Host Name : DCAP_NCA_JOURNEY_FAILURE_ALERT
Sev_2,Current Value : 124.0
TYPE : advance_payment_failure 
Alert time:2025-06-24 19:14 Hrs
Incident:Alert95631607
5)Multiple Dcap OCP 4 High Failures being Observed for home_fail in last 15minutes
Sev_2,Current Value : 151.0
Name : Homes Payment Posting Failure
Source : home_fail
Alert time:2025-06-24 19:14 Hrs
Incident:Alert95631607,INC14894805
</t>
  </si>
  <si>
    <t>2025.06.24 18:49:29
6/24/2025 18:52
2025-06-24 18:55:18"
6/24/2025 18:58
6/24/2025 19:14
6/24/2025 19:14</t>
  </si>
  <si>
    <t>2025.06.24 19:49:25
6/24/2025 19:26
Open
6/24/2025 19:38
6/24/2025 19:24
6/24/2025 19:24</t>
  </si>
  <si>
    <t>DTH NCA : 143 Payments were pending.</t>
  </si>
  <si>
    <t>LAPU_GT, LAPU_MT, Mitra</t>
  </si>
  <si>
    <t>INC14897636</t>
  </si>
  <si>
    <t>Prepaid Retail and Online recharges, Voice and Data services were impacted for Kolkata circle.</t>
  </si>
  <si>
    <t>In this issue, LAPU observed failures from NSG_NOC (IN Side) wherein out of 8 SDP 2 SDP were impacted which resulted in around 50% voice, data and recharges failures in Kolkata. Voice and data was restored by component bypass at IN end. NSG_NOC (IN Side) bypassed both the SDPs from CCN. As a workaround to restore recharges, NSG_NOC (IN team) recreated databases on both SDP nodes, post which the issue got resolved.</t>
  </si>
  <si>
    <t xml:space="preserve">P1
P1
P1
</t>
  </si>
  <si>
    <t>TG alert
TG alert
TG alert</t>
  </si>
  <si>
    <t>1)Host Name : LapuGT_UCIP-Error_v1
UCIP ERROR count &gt; 100||for responseCode: 100
Current Value : 404.0
CIRCLE : KOL
Alert Time:2025.06.24 20:53 Hrs
Incident:TG alert
Symptons:
1)Lapu MT Transaction Failure||for Circle KOL where count is greater than 25 in last 5 min
Current Value : 88.0
CIRCLENAME : KOL
Alert Time:2025.06.24 20:38 Hrs
Incident:TG alert
2)Host Name : Mitra_connection_offline_trends , Sev: P3
Current Value : 67.0
Alert Time:2025.06.24 20:41 Hrs
Incident:TG alert</t>
  </si>
  <si>
    <t>2025.06.24 20:53 
2025.06.24 20:3
2025.06.24 20:41</t>
  </si>
  <si>
    <t>Open
Open
2025.06.24 21:51:06</t>
  </si>
  <si>
    <t>LAPU_MT: 14K recharges impacted.
LAPU_GT: 8268 recharges impacted.</t>
  </si>
  <si>
    <t>Broadband Customer Experience Journey, DTH Customer Experience Journey, Prepaid Customer Experience Journey, Postpaid Customer Experience Journey</t>
  </si>
  <si>
    <t>Avaya_CMS</t>
  </si>
  <si>
    <t>INC14919137</t>
  </si>
  <si>
    <t>CC Advisors were unable to login into Avaya_CMS.</t>
  </si>
  <si>
    <t>In this issue, it was identified that a fluctuation was observed on MPLS link, due to which CC Advisors were unable to login into Avaya_CMS. However, the link auto-restored without technical intervention, and  the issue got resolved.</t>
  </si>
  <si>
    <t>LAPU_MT, LAPU_GT</t>
  </si>
  <si>
    <t xml:space="preserve">INC14901793 </t>
  </si>
  <si>
    <t>Online and retail recharges were impacted.</t>
  </si>
  <si>
    <t>In this issue, LAPU observed failures from NSG_NOC (IN Side) for LAPU_GT and LAPU_MT Nodes, due to which online and retail recharges were impacted intermittently. During troubleshooting, it was identified that there was no anomaly from network end. However, the issue got resolved without any technical intervention.</t>
  </si>
  <si>
    <t>TG Alert
TG Alert
P1</t>
  </si>
  <si>
    <t>TG Alert
TG Alert
INC14901044/INC14901089</t>
  </si>
  <si>
    <t>Symptom  : 
1)Lapu MT Transaction Failure
CIRCLENAME : UPE
BuisnessField : Prepaid Retail Recharge Journey
Alert time : 2025.06.25 06:01
Event No : TG Alert
2)High API response time in last 10 mins
SUBTYPE : postpaidbillpay
BuisnessField : Prepaid Online Recharge Journey
Alert time : 2025.06.25 06:05
Event No : TG Alert
3)Ping Check Trigger for 10.45.55.252 /10.55.202.27 h1n1
Host Name : 10.222.197.222
Application : lapu
Alert time :2025-06-25 06:06
Event No : INC14901044/INC14901089</t>
  </si>
  <si>
    <t>TG Alert
TG Alert
2025-06-25 06:06</t>
  </si>
  <si>
    <t>TG Alert
TG Alert
2025-06-25 06:51</t>
  </si>
  <si>
    <t>LAPU_MT - 769 Recharges Impacted
LAPU_GT -225 Recharges Impacted</t>
  </si>
  <si>
    <t>eCAF_EKYC, eCAF_Sim Swap</t>
  </si>
  <si>
    <t>INC14917409</t>
  </si>
  <si>
    <t>Prepaid and Postpaid acquisition was impacted via eKYC</t>
  </si>
  <si>
    <t xml:space="preserve">In this issue, Prepaid and Postpaid acquisition was impacted as both Face Auth and BMD in eCAF were not working. However, dKYC was working fine. The issue was identified at UIDAI’s end and concern was raised to them. Post necessary action from UIDAI, eKYC services started working fine, and the issue got resolved. </t>
  </si>
  <si>
    <t>Prepaid : 4219(DvsD-7:11660-15879) is 26% dip.
Postpaid: 81(DvsD-7:79-160) is 50% dip.
Simswap: 530(DvsD-7:485-1015) is 52 % dip.</t>
  </si>
  <si>
    <t>INC14918215</t>
  </si>
  <si>
    <t>ROP process was impacted.</t>
  </si>
  <si>
    <t>In this issue, DARTS team observed an issue during password change for multiple CUs (23/24/25/26/28/29/30), due which critical ROP processes were impacted. Further, it was identified that a DB patching was conducted for reported CUs which triggered the issue. To resolve this, Oracle-DBA team performed a Database Vergos for the reported CUs, post which the issue stands resolved.</t>
  </si>
  <si>
    <t>Gross Add, AIO, Tablueau and critical business KPIs were impacted.</t>
  </si>
  <si>
    <t>Chatbot</t>
  </si>
  <si>
    <t>INC14920656</t>
  </si>
  <si>
    <t xml:space="preserve">Chatbot functionality was not working intermittently. </t>
  </si>
  <si>
    <t xml:space="preserve">In this issue, chatbot functionality was intermittently impacted due to errors from NovaTel_IQ platform. To mitigate the issue, NovaTel_IQ WhatsApp team performed server restart  after which improvement was observed. Post monitoring, services were found stable and issue stands resolved. </t>
  </si>
  <si>
    <t xml:space="preserve"> Approx, 10k users impacted.</t>
  </si>
  <si>
    <t>INC14924601</t>
  </si>
  <si>
    <t>Black and IPTV acquisition was impacted.</t>
  </si>
  <si>
    <t>In this issue, It was identified that IPTV acquisition and Black orders with IPTV were impacted. Issue was triggered because of the new release which was done for 5% traffic of black Bundling for new stores. To mitigate this issue, POQteam rolled it back, post which issue got resolved.</t>
  </si>
  <si>
    <t xml:space="preserve"> INC14923322 , INC14923321,INC14923217</t>
  </si>
  <si>
    <t>1)ecom_order_checkout_service_audit_logs  | VALIDATE_ELIGIBILITY High Failure in last 10M | Total Count : 866 |  Failure Count : 226 | FailurePercentage %: 26.1 | Threshold: 25%
Alert time : 2025-06-26 16:06 Hrs 
Event No : INC14923322 , INC14923321,INC14923217</t>
  </si>
  <si>
    <t>2025.06.26 16:01</t>
  </si>
  <si>
    <t>2025.06.26 16:12</t>
  </si>
  <si>
    <t>12 Orders were impacted.</t>
  </si>
  <si>
    <t>Selfcare_B2C, Service Portal</t>
  </si>
  <si>
    <t>INC14928577</t>
  </si>
  <si>
    <t>CC advisors were unable to fetch details for broadband customers associated with CU20.</t>
  </si>
  <si>
    <t>In this issue, high response time was observed due to which CC advisors were unable to fetch details for broadband customers associated with CU20 as baseline was created at BSL with wrong plan. To resolve the issue, App DBA team, dropped that incorrect baseline and created a new profile, post which errors reduced and issue got resolved.</t>
  </si>
  <si>
    <t>P3
P1
P3
P1
P2
P2</t>
  </si>
  <si>
    <t>INC14925972
INC14926006
INC14926036 , INC14926035
INC14926068
INC14926147
INC14926213</t>
  </si>
  <si>
    <t>Direct 
1)BSL Billing Acc Details API FX DB High Response | FX High response time in last 60 min exception(): not able to call databaseService API on DB: PDK6CU20
Alert Time - 2025-06-26 19:51Hrs
Event No -INC14925972
Symptom  
1)HOMES_OneNova-Digital Customer Experience Journey-Homes-RS_bsl-prod.india.novatel.internal_Overall Error rate is greater than 5%
Alert Time - 2025-06-26 19:57Hrs
Event No - INC14926006
2)BSL_5xx_StatusCode_Alert | Current Value : 132.0 | AUTHORITY : bsl-prod.india.novatel.internal
Alert time - 2025.06.26 20:00Hrs
Event No -INC14926036 , INC14926035
3)HOMES_OneNova-Digital Customer Experience Journey-Homes-BT_/payment-manage/homes_ResponseTime is greater than 500ms
Alert time - 2025-06-26 20:04Hrs
Event No - INC14926068
4)5XXFailurein10Minutes| cx_Plan | API - /v1/current-plan
Alert Time - 2025-06-26 20:12Hrs
Event no - INC14926147
5) Recharges Journey - Thanks App | Recharges - Landing Page||Full Page Failure Percentage &gt; 7  | Current Value : 7.56
Alert time - 2025-06-26 20:17Hrs
Event No - INC14926213</t>
  </si>
  <si>
    <t xml:space="preserve">2025.06.26 19:51
2025.06.26 19:57
2025.06.26 20:00
2025.06.26 20:04
2025.06.26 20:12
2025.06.26 20:17
</t>
  </si>
  <si>
    <t>2025.06.26 21:26
2025.06.26 20:24
2025.06.26 20:31
2025.06.26 20:24
2025.06.26 20:32
2025.06.26 20:39</t>
  </si>
  <si>
    <t>Service Portal Success Hits Dip : No Dip (D: 34881 vs D-7: 25661)
Selfcare_B2C Success Hits Dip : No Dip (D: 909464 vs D-1: 891720)</t>
  </si>
  <si>
    <t>Nova App Experience Journey, Postpaid Payment Posting Journey, Black Customer Experience Journey</t>
  </si>
  <si>
    <t>Nova App, DCAP, OneNova, Service Portal</t>
  </si>
  <si>
    <t>INC14928694</t>
  </si>
  <si>
    <t xml:space="preserve">Payment posting for Postpaid was impacted and users were unable to Pay bill via Nova App.
 </t>
  </si>
  <si>
    <t xml:space="preserve">In this issue, OneNova, Service Portal, and Nova App were getting high response time from BSL end and bsl was getting from FX end, due to which Payment posting for Postpaid was impacted. During troubleshooting it was identified that a best plan replication of query being performed by Accenture DBA team as per Amdocs dba recommendation for 37 CUs to fix the issue. Further Accenture DBA team fixed the Query for impacted CU01 CU02 CU03 and CU04 on prior and afterwards for all the FX CUs, Post which the failures reduced and issue got resolved.
</t>
  </si>
  <si>
    <t>Digital Experience B2C, Postpaid, Digital Acquisition</t>
  </si>
  <si>
    <t>P1
p1
P1
p1
P1
P1</t>
  </si>
  <si>
    <t>INC14927712 
INC14927784,INC14927783,INC14927838
INC14927854 
Alert95753729
Alert95753902,Alert95753919,Alert95753949
INC14928044</t>
  </si>
  <si>
    <t>1)FX High response time in last 60 min exception(): not able to call databaseService API on DB: PRDK6CU1
Host Name : BSL Billing Acc Details API FX DB High Response
Sev_3,Current Value : 1824.0
Alert time:2025-06-26 22:41 Hrs
Incident:INC14927712 
Symptom:
1)Multiple BSL_503_STATUS_CODE_ALERT_Trigger Threshold is Greater than  100
Host Name : BSL_5xx_StatusCode_Alert
Sev_3,Current Value : 120.0
Issue Start Time : 2025.06.26 22:50:43
CLUSTER_NAME : NonDMZ-Prod-Gloo-n2ocp-pclus-04
CLUSTER_NAME : NonDMZ-Prod-Gloo-n1ocp-pclus-04
Alert time:2025-06-26 22:50 Hrs
Incident:INC14927784,INC14927783,INC14927838 
2)5XXFailurein10Minutes
Host Name : Channel-Backend-Alerts-cx-billing
Sev_2,Current Value : 12.632509376170104
API : /bills
Alert time:2025-06-26 22:58 Hrs
Incident:INC14927854 
3)OneNova-Digital Customer Experience Journey-Homes-RS_bsl-prod.india.novatel.internal_
Overall Error rate is greater than 5%_Sev-1
Alert time:2025-06-26 23:03 Hrs
Incident:Alert95753729
4)Multiple sp_multitenant_api_failure
URL:https://hawkeye.novatel.example/QuotaTrigger/services/getRemainingBalance
URL:http://internal-kong.india.novatel.internal/cx/billing/bills
URL : http://internal-kong.india.novatel.internal/cx/billing/bills/insights/v2
Alert time:2025-06-26 23:07 Hrs
Incident:Alert95753902,Alert95753919,Alert95753949
5)postpaid service thanks ---- Bill Widget Failure Percent ----
Host Name : Services Journey - Thanks App
Sev_1,Current Value : 20.89
SOP : https://NovaTel.atlassian.net/l/cp/bqHRcEPQ
Alert time:2025-06-26 23:12 Hrs
Incident:INC14928044</t>
  </si>
  <si>
    <t>" 
2025-06-26 22:41:58"
2025-06-26 22:50:48"
2025-06-26 22:58:38"
6/26/2025 23:03
6/26/2025 23:07
2025-06-26 23:12:38"</t>
  </si>
  <si>
    <t>6/27/2025 0:27
6/27/2025 0:01
6/26/2025 23:34
6/26/2025 23:10
6/26/2025 23:31
6/26/2025 23:34</t>
  </si>
  <si>
    <t xml:space="preserve"> Postpaid Payment Posting- 94.
Service Portal Success Dip- (D vs D-5: 832 Vs 1177=  345)
Nova App Success hits- (D vs D-5: 1861 Vs 335944= 334083)</t>
  </si>
  <si>
    <t>INC14928733</t>
  </si>
  <si>
    <t>Prepaid and Postpaid reports were impacted</t>
  </si>
  <si>
    <t xml:space="preserve">In this issue, Darts was unable to consume fetch Data from Golden Gate through ESB . During troubleshooting it was identified that the quota was breached for the queue due to which Golden Gate was unable to publish and Darts was not able to consume, as an OS upgradation activity (CHG0181660) was going on at Darts end. After the OS upgradation got completed the queue got cleared and issue got resolved. 
</t>
  </si>
  <si>
    <t xml:space="preserve">INC14927321 </t>
  </si>
  <si>
    <t>Hostname:SOLACE_VPN_SPOOL_QUOTA_ALERTS_FOR_BSP
severity: High
QUEUENAME:TelemediaSiebelGGDartsQ_10
VPN_NAME:HummingBirdVPN
Trigger Value: VPN
Alert time:2025-06-26 21:59 Hrs
Incident:INC14927321</t>
  </si>
  <si>
    <t xml:space="preserve"> 
2025-06-26 21:59:38</t>
  </si>
  <si>
    <t>35 reports</t>
  </si>
  <si>
    <t>CHG0181660)</t>
  </si>
  <si>
    <t>DARTS, MIS_Reporting</t>
  </si>
  <si>
    <t xml:space="preserve">INC14958577 </t>
  </si>
  <si>
    <t>Multiple reports were impacted.</t>
  </si>
  <si>
    <t>In this issue, DARTS team observed some anomalies at DRCU80 DB, impacting multiple jobs are getting failed for DARTS and related reports generation, mostly for Postpaid, were impacted. DB team transferred archive from Prod to DR but no improvement was observed. Further DB Team proceed with manual BCV sync for DR, post which services resumed normally and the issue stands resolved.</t>
  </si>
  <si>
    <t>Analytics, Postpaid</t>
  </si>
  <si>
    <t>Darts: 30 Jobs</t>
  </si>
  <si>
    <t>INC14977237</t>
  </si>
  <si>
    <t xml:space="preserve">Broadband installations/provisioning orders at task 1 were impacted. </t>
  </si>
  <si>
    <t>In this issue, Broadband installation orders were stuck at Task1 in Nokia_OSS due to blank responses and "Read time out" errors from ZTE_NMS. To mitigate, Nokia_OSS team applied a configuration bypass after which order pendency started clearing. However, the exact resolution action is still unknown. Nokia_OSS team will share more OLT IP details with NSG for further analysis.</t>
  </si>
  <si>
    <t>Broadband installation orders: 310.</t>
  </si>
  <si>
    <t>NovaWorks, Ecom, eCAF, Service Portal</t>
  </si>
  <si>
    <t>INC14977494</t>
  </si>
  <si>
    <t>Lead creation for Postpaid, Broadband, B2B and Black was impacted.</t>
  </si>
  <si>
    <t>In this issue, initially it was reported that lead creation was impacted for multiple LOBs. On further checking it was identified that one compute node of EXADATA of Omnicart was impacted due to hardware failure. To mitigate the issue that compute node was isolated, post which issue got resolved.</t>
  </si>
  <si>
    <t>P1
P1
P1
P1
P1
P1
P1
P1</t>
  </si>
  <si>
    <t xml:space="preserve">INC14976314           
INC14976151
INC14976142 
INC14976141
INC14976232
INC14976316
INC14976445
INC14976552  </t>
  </si>
  <si>
    <t xml:space="preserve">
1)ping response on IP 10.241.32.35 is down error message "ping timeout"
Alert time:30-06-2025 15:34
Event No:INC14976314
Symptoms:
1)Multiple ecom_lead CREATE_LEAD High Failure in last 10MTotal Count: 6480 |Failure Count : 1296 | FailurePercentage %: 20 | Threshold 15%
Current Value : 15.25
Alert time:30-06-2025 15:25
Event No:INC14976151,INC14976142,INC14976141
2)Multiple Omnicart siebel EAI error for 10.241.98.96/
URL:https://novaworld.webhook.office.com/webhookb2/75da893c-4997-43b0-8c1d-494bbe2d23da@62b68197-d09d-449c-8371-cb98bba2b401/IncomingWebhook/db376388a11e477185950ccfc9ac90f6/e0f794c5-0059-4f0a-a634-beb5ac620f57, component:Count alert
Trigger Value: 22
Alert time:30-06-2025 15:26
Event No:TG alert
3)Omnicart siebel EAI error for 10.241.97.223 - /d01/LEADCART/ses/ECAFCART/applicationcontainer/logs/siebel_1.log - SBL-BPR-00162||Omnicart siebel EAI error for 10.241.97.223 - 
Current Value : 30.0
Alert time:30-06-2025 15:31
Event No:INC14976232
4)sp_guardian_raiseFTRViaCX_failure
Sev_2,Current Value : 3007
URL : /guardian/api/v1/user/custom/raiseFtrViaCX
alert time :2025-06-30 15:34 Hrs
Event NO :INC14976316
5)Channel-Backend 5XXFailurein10Minutes| cx_complaints Failure Perc : 27.212162623846943 % || Failure count : 1488 
url- https://opsanalytics.novatel.example/d/a5bedbe7-371a-4e99-ac1a-3aa9e28d01e0
Current Value : 27.212162623846943
Alert time:30-06-2025 15:44
Event No:INC14976445
6)High Failure in last 10min
Host Name : CART APIs Failure
Sev_3,Current Value : 100.0
Alert time:2025-06-30 15:54 Hrs
Incident:INC14976552
</t>
  </si>
  <si>
    <t xml:space="preserve"> 2025-06-30 15:34:54
2025-06-30 15:25:38
2025-06-30 15:26:38
2025-06-30 15:26:43
2025-06-30 15:31:18
2025-06-30 15:34:53
2025-06-30 15:44:28
2025-06-30 15:54:33</t>
  </si>
  <si>
    <t>open
2025-06-30 15:38:47
2025-06-30 15:38:37
2025-06-30 15:38:25
2025-06-30 16:40:22
2025-06-30 15:50:39
2025-06-30 16:23:03
2025-06-30 16:39:33</t>
  </si>
  <si>
    <t>Dip in lead generation(DvsD-7:2561-2907) 346 leads.</t>
  </si>
  <si>
    <t>MAMO 1.0</t>
  </si>
  <si>
    <t>INC14979477</t>
  </si>
  <si>
    <t>Retailers were unable to view the Roaming offers for North Circle.</t>
  </si>
  <si>
    <t xml:space="preserve">In this issue, retailers were unable to view the offers for roaming recharges as there was a migration(CHG0184170) done at MAMO end yesterday night for East circle but same changes were not done at MAMO 2.0 end due to which issue got triggered. For the restoration, MAMO 2.0 Dev team is made Kong level configuration changes and migrated traffic to new IPs shared for East Hub post which issue got resolved. </t>
  </si>
  <si>
    <t xml:space="preserve"> Alert95954109
INC14978504</t>
  </si>
  <si>
    <t>1) [Alerting] Mitra Services  ERROR Trend alert 
Metrics:
No Offer at Mamo for retailer: 539.000
alert time :2025.06.30 18:00 Hrs
Event NO :Tg Alert
2)Hostname:autofillNon200WebLayer
severity: Average
Trigger: High Failures in last 10minutes
REQUEST.KEYWORD:/mitra/fiscal/recharge/subscribeRoffer/postpaid, 
alert time :2025-06-30 18:33 Hrs
Event NO :Alert95954109
3)Hostname:MAMO API FAILURE
severity: Average
Trigger: HIGH FAILURE IN LAST 15 MINS
Alert time :2025-06-30 18:40 Hrs
Event NO :INC14978504,INC14978504</t>
  </si>
  <si>
    <t>2025-06-30 18:33:43
2025-06-30 18:40:03</t>
  </si>
  <si>
    <t>2025-06-30 18:43:43  
2025-06-30 18:59:14</t>
  </si>
  <si>
    <t>No dip in recharges, No major impact.</t>
  </si>
  <si>
    <t>CHG0184170</t>
  </si>
  <si>
    <t xml:space="preserve">INC0524225 </t>
  </si>
  <si>
    <t>Transaction failures were observed in the NFB-CMS application for multiple partners.</t>
  </si>
  <si>
    <t>In this issue, NFB-CMS was getting high response time which led to fund transfer failures for multiple partners. During troubleshooting it was identified by the database team, that there was a specific Old SQL query (SQL_ID: 655hnr9v9y6as) on the CMS.CMS_PAYMENTS table. This query was performing a full table scan instead of using an index, causing performance degradation. To resolve the issue TechOps team, restartied the CMS, TPConnect, Formbuilder, and TPConnect Resthead services, which resulted in service improvement. Post which issue got resolved.</t>
  </si>
  <si>
    <t>For NFB-CMS: 
Use case fund Transfer Mode: - 
Retailer Tez Portal: Success: 66.61% Failure: 33.39%
Retailer App: Success: 58.31% Failure: 41.69%
OBCMS: Success: 96.75% Failure: 3.25%</t>
  </si>
  <si>
    <t>DTH Change Order Journey</t>
  </si>
  <si>
    <t>DTH_OM</t>
  </si>
  <si>
    <t xml:space="preserve">INC14981905   </t>
  </si>
  <si>
    <t>Change Orders for DTH Black Accounts were getting Stuck.</t>
  </si>
  <si>
    <t>In this issue, the Change orders for DTH black accounts were stuck at DTH_OM, the jobs were getting failed at their end as deadlock was observed due to a Long running query. Although, there was no customer impact as the orders were getting repushed by DTH_OM team. However the issue was intermittent, the jobs started running on retrial by DTH_OM team and no failures were observed further. Post this, Issue got resolved.</t>
  </si>
  <si>
    <t>INC14980561/INC14980761
INC14980569 / INC14980780
INC14980624/INC14980824 /INC14980626/INC14980625</t>
  </si>
  <si>
    <t>Symptom:
1) Butterfly_Solace_Queue
Trigger: DTH Postpaid Solace Alert COBPResQ
Alert time : 2025-06-30 22:10
Event no :INC14980561/INC14980761 (fluctuating)
2)DTH_SOLACE_ALERTS
Trigger: COBPResQ
Trigger Name : High spool count in last 10 min
Alert time : 2025-06-30 22:12
Event no : INC14980569 / INC14980780 (fluctuating)
3)Multiple MilestoneWisePendencyAlert
A) Pendency observed on milestone CAS_MULTIAUTH_DONE (550.0)
B) Pendency observed on milestone ORDER_COMPLETED_IN_VECTOR_UNBARRED (2340.0)
C) Pendency observed on milestone UPDATED_IN_SIEBEL (2350.0)
Alert time : 2025-06-30 22:18
Event no : INC14980624/INC14980824 /INC14980626/INC14980625 (fluctuating)</t>
  </si>
  <si>
    <t>6/30/2025 22:10
6/30/2025 22:12
6/30/2025 22:18</t>
  </si>
  <si>
    <t>6/30/2025 22:30
6/30/2025 22:32
6/30/2025 22:33</t>
  </si>
  <si>
    <t>800 DTH orders pendency</t>
  </si>
  <si>
    <t>INC14992300</t>
  </si>
  <si>
    <t xml:space="preserve">Prepaid and Postpaid acquisition was impacted via eKYC </t>
  </si>
  <si>
    <t>In this issue, 504 gateway connection error was observed from UIDAI, which triggered the issue. However, it was resolved automatically without any technical intervention resulting in services running normally and the issue stands resolved. Further, ESB_UIDAI team has raised a mail to UIDAI and is actively monitoring the services.</t>
  </si>
  <si>
    <t>Postpaid : (DvsD-7:911 vs 805) is no dip. Prepaid: (DvsD-7:18716 vs 17266) is no dip. Simswap: (DvsD-7:2447 vs 4585) 2138 orders.</t>
  </si>
  <si>
    <t>INC0524966</t>
  </si>
  <si>
    <t>DMT sender registration was impacted.</t>
  </si>
  <si>
    <t xml:space="preserve">In this issue, the remittance-registration-services application was encountering "Unable to acquire JDBC connection" errors from the database. As a result, DMT sender registration was being impacted. During analysis, the Database team identified a data type mismatch between the database and the application. Specifically, the database column is of type VARCHAR2, whereas the application was passing the value as a number. Due to this mismatch, the index was not utilized, and the query (adgtx1vv58gv0) was performing a full table scan, leading to performance degradation. As an immediate remediation, The Development team increased the database connections from 10 to 20 and restarted the application service, but no improvement was observed. The Database team took a data backup and truncated the Volt database table DMT_KYC_EVENT_AUTH_LOG under Change Request CHG0005862. The Development team will raise a formal Change Request (CR) to ensure data type alignment between the application and the database to prevent such issues. </t>
  </si>
  <si>
    <t>For NFB-Payments-DMT Partner Success Count Comparison: {D-1 - (D)} = 62695 - 56951
For NFB-Payments-DMT Retailer Success Count Comparison: {D-1 - (D)} = 14966 - 9064 = 5902 (39.44%)</t>
  </si>
  <si>
    <t>INC14998173</t>
  </si>
  <si>
    <t xml:space="preserve">Multiple reports were impacted. </t>
  </si>
  <si>
    <t xml:space="preserve"> In this issue, two DARTS servers (10.5.232.47 and 10.5.232.39) became unresponsive due to high CPU utilization. The Unix team restarted node 10.5.232.47, post which it recovered. For 10.5.232.39, recovery attempts failed initially, so a case was raised with Veritas. As per their advice, the Unix team restarted the cluster service, after which the server and services came up successfully, and the issue got resolved.</t>
  </si>
  <si>
    <t>INC14997227
Alert96027629
INC14997102 ,Alert96026292</t>
  </si>
  <si>
    <t>Direct:
1)Hostname:10.5.232.47 | High CPU utilization (over 99.99% for 30m) 
Alert time: 2025-07-02 04:32  Hrs
Incident: INC14997227
2)ping response on IP 10.5.232.47 is down error message "ping timeout"_10.5.232.47
Alert time: 2025-07-02 04:54  Hrs
Incident: Alert96027629
3)ping response on IP 10.5.232.39 is down error message "ping timeout"_10.5.232.39
Alert time: 2025-07-02 04:04:59  Hrs
Incident: INC14997102 ,Alert96026292</t>
  </si>
  <si>
    <t>7/2/2025  4:32:00 AM
7/2/2025  4:54:00 AM
7/2/2025  4:04:00 AM</t>
  </si>
  <si>
    <t>7/2/2025  4:57:00 AM
7/2/2025  5:02:00 AM
7/2/2025  4:44:00 AM</t>
  </si>
  <si>
    <t>500 jobs impacted.</t>
  </si>
  <si>
    <t>Postpaid Customer Experience Journey (Activation/Install), Prepaid Customer Experience Journey (Activation/Install)</t>
  </si>
  <si>
    <t>INC15018305</t>
  </si>
  <si>
    <t>Prepaid and Postpaid provisioning was impacted for South as issue at NSG end.</t>
  </si>
  <si>
    <t>In this issue, anomalies were observed in one of the HLR (NSG) blade in South due to which prepaid and postpaid provisioning got impacted for South in Mediation_IL. To mitigate, Mediation_IL team blocked the impacted IPs and redirected the traffic to healthy one, post which issue got mitigated.</t>
  </si>
  <si>
    <t>Prepaid, Postpaid</t>
  </si>
  <si>
    <t>INC15017810,INC15017813,INC15017814,INC15017817,INC15017818,INC15017819,INC15017820,INC15017821</t>
  </si>
  <si>
    <t>Symptom:
1)Multiple Telnet Connectivity Issue
Multiple Port Down from last 10 min 
ip-10.92.xx.xx,10.96.xx.xx,10.13.xx.xx,10.5.xx.xx,10.56.xx.xx,
Alert time :03-07-2025  14:33
Event no:INC15017810,INC15017813,INC15017814,INC15017817,INC15017818,INC15017819,INC15017820,INC15017821</t>
  </si>
  <si>
    <t>APB_OBCMS</t>
  </si>
  <si>
    <t>INC0527110</t>
  </si>
  <si>
    <t>Out of 32 OBCMS Partners, three partners were not able to do transections.</t>
  </si>
  <si>
    <t>In this issue, three partners “PARNAV ONLINE SOLUTIONS PVT LTD_CMS_NEW, CHAMPION SOFTWARE TECHNOLOGIES LIMITED_CMS &amp; EZYPAY ONLINE SERVICES PRIVATE LIMITED_CMS" were unable to perform OBCMS transactions, reporting that the page was not loading for Open Banking (OB) partners. The issue occurred post-implementation of Change Request CHG0005754 “CMS Enhancement H-Vault || OB Web Plugin, CMS Auth Plugin, Bulk API, OB CMS FE”. Following the change, although transactions were processing for some partners, others continued facing issues due to incomplete data sync in Aerospike. To resolve the issue, the Middleware team manually synchronized the missing data for the impacted partners. Post this action, the issue was resolved and OBCMS transactions resumed normal processing.</t>
  </si>
  <si>
    <t>For NFB- OBCMS Transections Dip: {D-1 - (D)} = 994 - 676 = 320 (32.19%)</t>
  </si>
  <si>
    <t xml:space="preserve">CHG0005754 </t>
  </si>
  <si>
    <t>Nova IQ SMS Journey</t>
  </si>
  <si>
    <t>Nova IQ_SMS</t>
  </si>
  <si>
    <t>INC15042986</t>
  </si>
  <si>
    <t>SMS delivery was impacted for North Hub.</t>
  </si>
  <si>
    <t>In this issue, Nova IQ_SMS team was experiencing read timeout error from DLT end resulting in SMS failures during the scrubbing process. DLT team identified that the Kafka service for North 5 had gone down at night due to high load. To mitigate the issue, DLT team restarted the kafka services, post which issue got resolved.</t>
  </si>
  <si>
    <t>INC15040321 ,INC15040323,INC15040329,INC15040326,INC15040327
INC15042425</t>
  </si>
  <si>
    <t>Direct :
1)Multiple High CPU utilization
Multiple Hostname:n1cs1vlpabdldlta0020/29/27/31/26/28/04/03
Alert time: 2025-07-05 01:57
Event No:INC15040321 ,INC15040323,INC15040329,INC15040326,INC15040327,NC15040299
Symptoms:
1)Hostname:IQ SMS MDR
Overall Delivery Rate of Messages is less than 70%
Alert time: 2025-07-05 07:08
Event No:INC15042425</t>
  </si>
  <si>
    <t>7/5/2025  1:57:00 AM
7/5/2025  1:57:00 AM
7/5/2025  1:57:00 AM
7/5/2025  1:57:00 AM
7/5/2025  1:57:00 AM
7/5/2025  07:08:00 AM</t>
  </si>
  <si>
    <t>7/5/2025  8:12:00 AM
7/5/2025  8:07:00 AM
7/5/2025  8:07:00 AM
7/5/2025  8:07:00 AM
7/5/2025  8:07:00 AM
open</t>
  </si>
  <si>
    <t>2% SMS delivery rate was impacted.</t>
  </si>
  <si>
    <t>Prepaid New Customer Acquisition-MNP Journey, Postpaid New Customer Acquisition-MNP Journey</t>
  </si>
  <si>
    <t>INC15043945</t>
  </si>
  <si>
    <t>PORT-IN requests for MNP impacted</t>
  </si>
  <si>
    <t>In this issue, users reported errors during MNP Port-in requests for customers applying after the 90-day period. Jupiter team identified blocking sessions in their script, which were cleared by the DBA team. To mitigate the issue, Jupiter team performed data purging, after which services resumed normal operation and the issue was resolved.</t>
  </si>
  <si>
    <t>6308 failed requests</t>
  </si>
  <si>
    <t>INC15063949</t>
  </si>
  <si>
    <t>CC Advisors were unable to login into HB_CRM.</t>
  </si>
  <si>
    <t>In this issue, HB_CRM team observed a component mixout at one of the 14 nodes, which triggered the issue. To resolve it, HB_CRM Admin team performed a restart of the affected component. Post-restart, the issue was successfully resolved.</t>
  </si>
  <si>
    <t>Alert96287911
Alert96288722
Alert96288721</t>
  </si>
  <si>
    <t xml:space="preserve">1)Multiple HBCRM URI Response Alert
URI_PATH : /HBCRM/app/siebel/ecom/enu
URI_PATH : /HBCRM/app/ecom/enu
Trigger Value: 105
Alert time: 07-07-2025 01:18(fluctuating)
Event No:Alert96287911/Alert96288722/Alert96288721
</t>
  </si>
  <si>
    <t>2025-07-07 01:18:18
2025-07-07 01:38:18
2025-07-07 01:38:18</t>
  </si>
  <si>
    <t>2025-07-07 01:23:18
2025-07-07 01:38:18
2025-07-07 01:38:18</t>
  </si>
  <si>
    <t>HB_CRM login was impacted.</t>
  </si>
  <si>
    <t>INC15085504</t>
  </si>
  <si>
    <t xml:space="preserve"> In this issue the Prepaid activation orders were getting stuck at EV_Success milestone. During troubleshooting it was identified that, eCAF tablespace was not able to extend as it has reached the maximum limit of datafiles due to which eCAF was getting Tablespace error from DB end. To mitigate the issue DBA team, resized the datafiles in Tablespace, post which pendency decreased and issue got resolved. Additionally, Application Team need to plan purging on this tablespace &amp; details are shared over the email.</t>
  </si>
  <si>
    <t>Alert95313722 
INC15066388
Alert96298948</t>
  </si>
  <si>
    <t>1)Tablespace [ECAF] is [98.24 percent] full
Alert time: 2025-06-19 02:34 Hrs 
Event No: Alert95313722  (Ticket was forcefully close )
Symptom:
1)Prepaid milestone pendency for ev_success is more than 100 in last 15 min
Trigger Value: 109
Alert time: 07-07-2025 06:46 Hrs
Event No:INC15066388
2)ECAF-DEDUPE ResponseTime &gt; 2000ms Severity 2 min 18 s
Alert time: 2025-07-07 07:08 Hrs 
Event No: Alert96298948</t>
  </si>
  <si>
    <t>6/19/2025 2:34
2025-07-07 06:46:33"
7/7/2025 7:08</t>
  </si>
  <si>
    <t>6/19/2025 2:57
7/7/2025 7:24
7/7/2025 7:45</t>
  </si>
  <si>
    <t>Prepaid Order pendency-  648</t>
  </si>
  <si>
    <t>INC15210056</t>
  </si>
  <si>
    <t>Prepaid acquisition was impacted intermittently.</t>
  </si>
  <si>
    <t>In this issue, it was observed that while punching the prepaid acquisition orders "Sim information insert" error was observed for intermittent orders in frontend. "Unique constraint" error was seen which is a genuine error. It was identified that there are around 400 nos. already blocked at IMS but duplicate requests were coming in to block same nos. for which these errors were observed. PACS/IMS team is sharing the list of these numbers with eCAF and manual reconciliation will be done. As of now the errors are reduced and no major issue seen.</t>
  </si>
  <si>
    <t xml:space="preserve">Primary root cause:
Specification Leg – 01
Q1- Why there was an intermittent service degradation experience in Prepaid New Customer Acquisition Journey?
Ans: Because, An intermittent issue towards prepaid acquisitions was observed while punching the acquisitions orders. Below errors were observed in eCAF application “ "Error in inserting Sim information in PACS inventory-ORA-00001: Unique constraint" This had an effect on the journey mentioned above. However, error was intermittent in nature and genuine.
Q2: Why eCAF application was getting an intermittent error “ Unique constraint"?
Ans: “Unique constraint" error was coming from PACS downstream application as a duplicate requests for same number/ MSISDN was getting received by FE’s retailers which was already block in PACS systems however, a success confirmations response was not getting deliver timely to retailer from eCAF system which encourage them to retrial.
Q3: Why Fe’s/Retailers was getting a sluggish response for already blocked number’s?
Ans: During the sample validations it was figure out that there was a table space issue was observed in eCAF databases early in the morning(07:00 to 07:40 hrs) and this was the cascading effect of that issue.
Q4: Why there was a table space issue observed on eCAF database?
Ans: As per discussion with database team, it was identified that tablespace was reached the maximum limit of datafiles(1023) and it can’t be scale up until purging. To fix the same a resized the datafiles in tablespace was required.
Detection Leg 02
Q1: Why table space issue not get address prior before it’s got exhausted?
Ans: Discussion further revelated that, table space alerts were configured for at(85-95%) and Sev1 alert get generated on 2025-06-19 02:34:31 as per standard process however, not get address in a proper manner. “Incident get generated and reached to DBA team, DBA team just added the comment “due to max file not able to add datafile but there is lot of space 493 GB is free” and resolve the incident. -Further an email communication was mark to respective team to take it further which ultimately resulted in this circumstance.” 
Systemic leg-03
Q1: Why this table space issue led to this overall outage?
Ans: A full tablespace in a database system can lead to various problems, including application errors, performance degradation, and potential data loss. When table space get full applications attempting to write new data or modify existing data will encounter errors. Operations that rely on the tablespace, such as data retrieval and modification, may experience significantly slower response times or timeout issues which was happened in this case.
Preventive actions:-
• Data purging activity need to be perform in regular intervals to free space on tables (provision_txn, provision_consumer_data, mob_request_logging, npit_log, sim_swap_repush) Closed – Ravi
• Alert Incident should not be closed in case another team have to work upon and transfer to the respective BIN for end to end closer on timely manner, being a critical database ,email communication would an additional approach. Open Gaurav
• Being a crit-sit  database for acquisition ,Alert threshold need to be revisit and If any modifications required set accordingly. Open Gaurav
</t>
  </si>
  <si>
    <t>PRB0044521</t>
  </si>
  <si>
    <t>Prepaid Success Dip: No dip (D vs D-7: 14605 vs 11564: -3041).</t>
  </si>
  <si>
    <t>INC15071438</t>
  </si>
  <si>
    <t>CE team unable to access Postpaid customers Billing reports.</t>
  </si>
  <si>
    <t>In this issue, users reported that they are unable to login to Butterfly reports UAT portal triggering the issue. Further, to resolve the issue, DARTS team performed a password reset for darts_visualization user, followed by configuration changes at the application end, post which the services restored normally and the issue stands resolved.</t>
  </si>
  <si>
    <t>INC14937044</t>
  </si>
  <si>
    <t>1)user Id : darts_visualisation will expire on 2025-07-02.
Destination System : darts_visualisation
Destination IP :  10.5.9.121
Category : App User
LOB : NovaTel-Business
Application : DTH
SSL Certificate Domain : 
Alert time :2025-06-27 15:00 Hrs
Event NO :INC14937044</t>
  </si>
  <si>
    <t>CC advisors unable to download Postpaid reports</t>
  </si>
  <si>
    <t>INC15076086</t>
  </si>
  <si>
    <t>Instant SMS for Broadband was not getting delivered.</t>
  </si>
  <si>
    <t>In this issue, BTFLY_KCI team reported that they were observing '701' errors from DLT end. The issue triggered post DLT scrubbing was enabled (which was disabled since 2 months) as per standard business process and TRAI guidelines but the URLs were not whitelisted at DLT end which should have been done by BTFLY_KCI team prior the enabling of DLT scrubbing. As a mitigation step, Bumblebee team bypassed DLT after obtaining approvals from the business, after which the pendency started getting cleared and was fully cleared by 21:40 Hrs, resolving the issue.</t>
  </si>
  <si>
    <t>Approx. 48K pendency</t>
  </si>
  <si>
    <t>INC15076672</t>
  </si>
  <si>
    <t>Customers were not able to get DLR status of SMS delivered through Nova IQ_SMS.</t>
  </si>
  <si>
    <t xml:space="preserve"> In this issue, Nova IQ_SMS was observing time out errors while fetching data from DB for SMS DLR due to which intermittent failures were being observed for DLR of SMS. As of now, DBA team increased the thread-wise redo logs from 4 per thread to 8. Also, auto-stats gather jobs were disabled, post which improvement was observed and issue got resolved.</t>
  </si>
  <si>
    <t>Customers were not able to fetch DLR status of SMS delivered.</t>
  </si>
  <si>
    <t>VDI</t>
  </si>
  <si>
    <t>INC15088013</t>
  </si>
  <si>
    <t>Users were not able to login in VDI.</t>
  </si>
  <si>
    <t>In this issue, users reported that they were automatically logged out of VDI and were not able to login again. VDI team identified that VDI URL went out of sync and to resolve this VDI team re-synced the URL manually, post which services restored normally.</t>
  </si>
  <si>
    <t>DC Network</t>
  </si>
  <si>
    <t>INC15085107</t>
  </si>
  <si>
    <t>Symptom:
1)Hostname:10.241.40.31
Trigger: High swap memory utilization &gt; (90% for Last 15m)
Alert Start Time: 08/07/2025 11:57 Hrs
Event No: INC15085107</t>
  </si>
  <si>
    <t>25+ users impacted</t>
  </si>
  <si>
    <t>INC15086832</t>
  </si>
  <si>
    <t xml:space="preserve">CC advisors were unable to fetch details for all LOBs.
</t>
  </si>
  <si>
    <t>In this issue, Service Portal was initially not working for all LOBs. Upon investigation, a disruption was observed on the Guardian service, which may have caused the issue. However, no manual intervention was required as the issue auto-resolved shortly after. Services are now accessible and functioning as expected.</t>
  </si>
  <si>
    <t>Service Portal Success Dip- (D vs D-4: 3283 Vs 3758 = 475) is 12.63%.</t>
  </si>
  <si>
    <t>APB_Fast Tag, APB_NETC</t>
  </si>
  <si>
    <t>INC0529856</t>
  </si>
  <si>
    <t>FASTAG ACQ portal report generation is failing due to domain authentication issues between the application server and AD-integrated user accounts.</t>
  </si>
  <si>
    <t xml:space="preserve"> In this issue, FASTAG ACQ portal report generation was failing due to domain authentication issues between the application server and AD-integrated user accounts. Respective technical teams were engaged to investigate the root cause. However, during the course of troubleshooting, the issue auto-resolved without any explicit intervention or configuration change from the domain or infra teams.</t>
  </si>
  <si>
    <t xml:space="preserve"> Reports for all 300 tolls and parking plazas was</t>
  </si>
  <si>
    <t>APB_REKYC</t>
  </si>
  <si>
    <t xml:space="preserve">INC0529765 </t>
  </si>
  <si>
    <t xml:space="preserve">ReKYC service in NFB was impacted due to the ongoing migration from Message Broker to DLT/Skyvault, causing disruption in message processing.
</t>
  </si>
  <si>
    <t>In this issue, ReKYC service disruption in Nova Payments Bank was attributed to the ongoing migration of SMS processing from the legacy Message Broker infrastructure to the new DLT-compliant Skyvault platform. During this transition, message delivery and processing were temporarily impacted, resulting in a failure of ReKYC-related communications essential for customer account verification. The disruption was identified as a consequence of pending template migration, which prevented successful SMS triggering. With active coordination between the Growth team and the ReKYC development team, the relevant SMS templates were successfully migrated to Skyvault. Post-migration validation confirmed restoration of message flow, and ReKYC account creation processes resumed normal operation from 20:00 Hrs. onwards.</t>
  </si>
  <si>
    <t>NFB-Rekyc Account Dormancy Comparison:{D vs (D-7)}=3-244=241 (98.77% decrease in ReKYC Account Dormancy compared to last week.)</t>
  </si>
  <si>
    <t>ECHO</t>
  </si>
  <si>
    <t>INC15097870</t>
  </si>
  <si>
    <t>ECHO dialer login was Impacted for Altruist Chennai, OICS Kolkata, Leeway New Delhi, Adroit Noida centers.</t>
  </si>
  <si>
    <t>In this issue, Database nodes 10.222.172.22/23  was impacted, due to which ECHO dialer logins were affected. Additionally, 2 out of 4 VMs on node 10.222.172.23 were down, and one FRA disk was missing on both nodes. As part of the recovery action, the VM team and storage team map the FRA disk to the database. After that node 10.222.172.22 got recovered and application connected successfully.10.222.172.23 node having problem so VM team/OS team took server reboot after that second node came up and all services were restored successfully.</t>
  </si>
  <si>
    <t>INC15097140
INC15097158
INC15097190
INC15097202</t>
  </si>
  <si>
    <t>Direct:
1)ping response on IP 10.222.172.22 is down error message "ping timeout"_10.222.172.22
Alert time - 2025.07.09 07:39
Event no -  INC15097140
2)The database status is UNKNOWN
Node- N1VL-PD-DTHOBD01 10.222.172.22 
App- Echo_Inhouse_ Obd
Alert time - 2025.07.09 07:40
Event no -  INC15097158
Symptom:
1)Session Count|| SCAN-DTHOBDPRD.india.novatel.internal
Current Value : 925.0
Alert time - 2025.07.09 07:44
Event no -  INC15097190
2)INACTIVE Sessions is greater than 70
Host Name : SCAN-DTHOBDPRD.india.novatel.internal
Current Value : 927.0
Alert time - 2025.07.09 07:46
Event no - INC15097202</t>
  </si>
  <si>
    <t>7/9/2025 7:39
7/9/2025 7:40
7/9/2025 7:44
7/9/2025 7:46</t>
  </si>
  <si>
    <t>7/9/2025 8:16
7/9/2025 9:03
7/9/2025 9:08
7/9/2025 9:02</t>
  </si>
  <si>
    <t>Impacted call - 12,510
Total impacted advisor count- ~1000</t>
  </si>
  <si>
    <t>INC15101890</t>
  </si>
  <si>
    <t>Black acquisition was impacted.</t>
  </si>
  <si>
    <t>In this issue, it was identified that while applying promotion, agents were getting an error of advance payment mismatch for black orders punching. However, issue got autoresolved without any manual intervention.</t>
  </si>
  <si>
    <t>227 orders.</t>
  </si>
  <si>
    <t>Black Customer Experience Journey, DTH Change Order Journey</t>
  </si>
  <si>
    <t>DCAP, OneNova, DTH_OM</t>
  </si>
  <si>
    <t>INC15106650</t>
  </si>
  <si>
    <t>Payment posting was impacted for Black DTH customers and change orders for DTH Black Accounts were getting stuck.</t>
  </si>
  <si>
    <t>During deployment activity (CHG0185831), the application team encountered a locking issue on the bmf table (CU16). Upon analysis, DBA team identified that Multiple concurrent sessions for the same sql were locking each other which led to the locking condition. Once the query execution completed, the services resumed normal operation, and the issue was resolved.</t>
  </si>
  <si>
    <t>DTH, Postpaid, Digital Acquisition</t>
  </si>
  <si>
    <t xml:space="preserve">P3
P1
P1
P2
P2
P3
</t>
  </si>
  <si>
    <t>INC15106181
INC15106121
INC15106122
INC15106230,INC15106232
INC15106234
INC15106328,INC15106326</t>
  </si>
  <si>
    <t>Direct
1)BSL Billing Acc Details API FX High response time in last 60 min exception(): not able to call databaseService API on DB: PDK6CU16
Alert Start Time: 2025-07-09 21:32 Hrs
Event No: INC15106181
Symptom:
1)OneNova  Homes-RS_bsl-prod.india.novatel.internal_Overall Error rate is greater than 5% 
Alert Start Time: 2025-07-09 21:30  Hrs
Event No: INC15106121
2)OneNova-Digital Customer Experience Journey-Homes-BT_/payment-manage/homes_ResponseTime is greater than 500ms
Alert Start Time: 2025-07-09 21:30:42 Hrs
Event No: INC15106122
3)Dcap OCP 4 High Failures being Observed for home_fail in last 15minutes  | Trigger Value: 110
Alert Start Time: 2025-07-09 21:34 Hrs
Event No: INC15106230,  INC15106232
4)Channel-Backend-Alerts-cx-billing | 5XX | /bills | Failure Perc : 44.927966781742249 % || Failure count : 21860 
Alert time -  2025.07.09 21:38 
Event No - INC15106234
5)Multiple DTH  MilestoneWisePendencyAlert  |
 MILESTONENAME : CAS_MULTIAUTH_DONE
MILESTONENAME : VECTOR_UPDATE_ERROR
Alert time : 2025.07.09 21:48 Hrs
Event No -INC15106328 , INC15106326</t>
  </si>
  <si>
    <t>7/9/2025 21:32
7/9/2025 21:30
7/9/2025 21:30
7/9/2025 21:34
7/9/2025 21:38
7/9/2025 21:48</t>
  </si>
  <si>
    <t>7/9/2025 21:51
7/9/2025 21:49
7/9/2025 21:49
7/9/2025 22:08
7/9/2025 21:58
7/9/2025 21:57</t>
  </si>
  <si>
    <t>128- Payment Posting
675- Change Orders</t>
  </si>
  <si>
    <t>CHG0185831</t>
  </si>
  <si>
    <t>INC0530517</t>
  </si>
  <si>
    <t>NFB-SBA was observing low conversion rate in SBA account opening due to Mitra portal open web page was not loading.</t>
  </si>
  <si>
    <t xml:space="preserve">In this issue, the NFB-SBA Team informed that they were observing a low conversion rate in SBA account opening. During the troubleshooting, NFB-Network informed that last night there was a change deployed under this change no. CHG0006059, post that Mitra portal open web page was not loading due to this SBA conversion rate was dropped. Hence, to restore the issue, the NFB-Network Team rolled back the changes after the SBA conversion rate improved, and the issue was resolved. </t>
  </si>
  <si>
    <t>Alert96461795,Alert96459899,Alert96459349,Alert96458961</t>
  </si>
  <si>
    <t>Symptom:
1)SBA Account Creation Alert
New Application Count :9 
Account Created Count :1 
Conversion Rate:11% 
Note: The Conversion Rate has significantly decreased to 11% in Last 5 minute.
Alert Start Time: 10/07/2025 06:18 Hrs
Event No: Alert96461795,Alert96459899,Alert96459349,Alert96458961</t>
  </si>
  <si>
    <t>For NFB-SBA Account Creation Comparison-{D vs (D-7)= 250-431=181(42% dip in account creation)</t>
  </si>
  <si>
    <t>CHG0006059</t>
  </si>
  <si>
    <t>INC0530660</t>
  </si>
  <si>
    <t>NEFT transactions in the NFB-AEPS application were failing with error code PM0001: “Sorry, transaction details do not exist.”</t>
  </si>
  <si>
    <t>In this issue, the NFB-AePS Team has reported that NEFT transactions were failing with error code PM0001 (“Sorry, transaction details do not exist”). During the troubleshooting, the NFB-CMS Team has raised a priority case with Oracle to expedite deeper diagnosis and remediation for a permanent solution. As a workaround, the Oracle Team implemented a corrective action after that the PM0001 error code had been coming from 19:30 Hrs., and the issue was resolved.</t>
  </si>
  <si>
    <t xml:space="preserve">Total transactions = Failed + Success
= 12984 + 12641
= 25625
Success percentage = (Success / Total) × 100
= (12641 ÷ 25625) × 100
≈ 49.36%
Failure percentage = (Failed / Total) × 100
= (12984 ÷ 25625) × 100
≈ 50.64%
Around 12984 NEFT transactions failed due to a downstream processing error, triggering bulk reversal and reconciliation.
</t>
  </si>
  <si>
    <t>Device Nucleus</t>
  </si>
  <si>
    <t>INC15120302</t>
  </si>
  <si>
    <t>Broadband activation was impacted as initial password not getting delivered.</t>
  </si>
  <si>
    <t xml:space="preserve">In this issue, it was identified by the DLT team that the header used had incorrect formatting, which resulted in error 803. To mitigate the issue, CLM team (Bumblebee) bypassed the DLT scrubbing process. After implementing this action, the issue was resolved and password delivery to Field Engineers has been restored. </t>
  </si>
  <si>
    <t>10137 Total hits.</t>
  </si>
  <si>
    <t>INC15118179</t>
  </si>
  <si>
    <t>Broadband installation was impacted.</t>
  </si>
  <si>
    <t>In this issue, broadband installation journey got impacted in Nokia_OSS GIS. Upon investigation, storage team confirmed that one of the storage FC ports was having errors due to hardware issue identified on the impacted port. To restore, storage team disabled that port and GIS team brought their services up, post which orders started getting processed and issue got resolved.</t>
  </si>
  <si>
    <t>INC15115873
INC15020145
INC15117669</t>
  </si>
  <si>
    <t>Symptom:
1)Average of Queue monitoring length in last 1 Hr
Host Name : GIS_queue_monitoring_length Elastic
Current Value : 223.0
Alert time:2025-07-10 16:30 Hrs
Incident:INC15115873
2)Multiple NovaTel work ||Orders stuck at Tag change State - FTTH broadband orders
INSTANCE : 10.5.31.145:9091
Alert time:2025-07-10 16:36 Hrs
Incident:INC15020145,INC15020144,INC15117547
3)Multiple port down alert from 
IP : 10.222.232.238 Port: 8181
IP : 10.222.232.239 Port: 8181
IP : 10.222.232.235 Port: 3012
IP : 10.222.232.208 Port: 61636
IP : 10.223.142.51Port: 1590
Alert time:2025-07-10 16:45 Hrs
Incident:INC15117669,INC15117667,INC15117686,INC15117684,INC15117725</t>
  </si>
  <si>
    <t>7/10/2025  14:30
7/10/2025  17:36
7/10/2025  16:43</t>
  </si>
  <si>
    <t>7/10/2025  14:40
7/10/2025  17:46
7/10/2025  17:08</t>
  </si>
  <si>
    <t>700 Orders</t>
  </si>
  <si>
    <t xml:space="preserve">INC15116545  </t>
  </si>
  <si>
    <t>FTA reports were impacted for Assam and NESA Circle.</t>
  </si>
  <si>
    <t>The issue triggered as L3 timestamp was showing junk value error for file creation in DARTS. Upon investigation two impacted records were found with incorrect date-month format, for which eCAF team updated L3 timestamp in those records post which, reports have started processing and impact got mitigated.</t>
  </si>
  <si>
    <t xml:space="preserve">Quarter-Hourly FTA Reports were impacted. </t>
  </si>
  <si>
    <t>Nova App Experience Journey, Black Customer Experience Journey, DTH Customer Experience Journey, DTH Recharge Journey, Postpaid Payment Posting Journey</t>
  </si>
  <si>
    <t>Nova App, DCAP, Selfcare_B2C</t>
  </si>
  <si>
    <t>INC15125393</t>
  </si>
  <si>
    <t>DTH recharges and payment posting for postpaid DTH ( black) was impacted.</t>
  </si>
  <si>
    <t>In this issue, it was observed that DCAP, Selfcare_B2C and Nova App were getting failure from DTH_Vector biller API. Further, it was found that the three servers(10.13.61.117/118/119) out of 4 were showing down at LB. To fix the same, DTH team took Service restart of the impacted nodes post which the servers status came up, failures reduced and issue got resolved.</t>
  </si>
  <si>
    <t>P1/P1/p1
P1/P1
P1</t>
  </si>
  <si>
    <t>INC15123187,INC15123251,INC15123250,INC15123265
INC15123260,INC15123258 
INC15123359</t>
  </si>
  <si>
    <t>1) Multiple 5XXFailurein10Minutes 
API : /v1/current-plan
API : /dth/catalogue/getbasepacks
API : /dth/catalogue/getpacks
API : /dth/catalogue/getuserdetails
Alert time :2025-07-11 01:32 Hrs
Event NO :INC15123187,INC15123251,INC15123250,INC15123265 
2)Multiple Recharges - DTH Page
Host Name : Recharges Journey - Thanks App
Sev_2,Current Value : 23.93
SOP : https://NovaTel.atlassian.net/wiki/spaces/CP/pages/116670087/DTH Recharges
Alert time :2025-07-11 01:39 Hrs
Event NO :INC15123260,INC15123258  
3)Host Name : DCAP_DTH_FLOW_FAILURE_ALERT
Sev_3,Current Value : 134.0
Alert time :2025-07-11 01:54 Hrs
Event NO :INC15123359</t>
  </si>
  <si>
    <t>7/11/2025 1:32
2025-07-11 01:39:03"
7/11/2025 1:54</t>
  </si>
  <si>
    <t>7/11/2025 2:42
7/11/2025 3:09
7/11/2025 2:34</t>
  </si>
  <si>
    <t>Postpaid payment posting failure= 260
DTH prepaid- D Vs D-7: 8 vs 240= 232
Selfcare Failure count- d Vs d-1: 22950 vs 2000= 20950</t>
  </si>
  <si>
    <t>Black Customer Experience Journey, DTH Customer Experience Journey, DTH Customer Experience Journey (Activation/Install), DTH Recharge Journey, DTH Dunning Order journey, DTH Change Order Journey</t>
  </si>
  <si>
    <t>Nova App, NovaWorks, DTH Vector, DTH_MBOSS, DTH_OE, LAPU_DTH, Selfcare_B2C, Service Portal, DCAP, IPTV, UDP_Dunning</t>
  </si>
  <si>
    <t>INC15129144</t>
  </si>
  <si>
    <t>Acquisition for DTH, IPTV and Black along with Payment Posting for postpaid DTH (black) and DTH recharges were impacted.</t>
  </si>
  <si>
    <t>Issue resurfaced as Multiple applications related to DTH recharges, payment posting for Black journey and DTH account creation were getting failure from DTH_Vector biller API. Further, it was found that the three servers (10.13.61.117/118/119) out of 4 for application port 20005 were showing down behind the LB, due to which issue re-triggered. Further, To mitigate the issue, teams switchover the traffic from N1 to N2, post application team brought application servers up and the issue got resolved.</t>
  </si>
  <si>
    <t xml:space="preserve">Primary Root Cause: 
Specification Leg – 01
Q1: Why there was an issue encountered with several applications which led impact towards multiple Journeys?
Ans: Because, there were failures observed for Black Payment posting, DTH recharges, DTH Resumption orders, DTH/IPTV/Black Change order, DTH/Black Acquisition orders and Black installations orders. These failures led to disruptions across several customer journeys.
Q2: Why there were failures observed for DTH  recharges, Black payment posting and Black/DTH acquisition orders?
Ans: As per inputs received, multiple applications DCAP, Nova App, Selfcare_B2C, Service Portal, DTH_Vector, DTH_OE, UDP_Dunning, DTH_Mboss which calls DTH getVectorMaster API (http://dthbiller.novatel.example:80/AIWebServices/services/vectorPROD/accounts/{accountId}/detail/getVectorMasterData) for retrieving complete customer information, including historical and upcoming recharges, customer name and address, IPTV box details, and customer type were getting failures .This details are essential to process  acquisition, resumption, payment processing,  Black installations orders.
Q3: Why there were failures from DTH_vector API?
Ans:  Users encountering “validation failed” error during DTH/IPTV and Black payment posting transactions.. Upon further investigation, DTH_vector 3 out of 4 App nodes were unable to establish communication with the load balancer located at the 62 Data Center (DC).However, to fix the issue team decided to shift the traffic from 62 DC to phase 2 DC and post this action , Application team took restart of App jobs and changed the pointing at application layer. 
Q4: Why DTH vector Application nodes were unable to communicate with LB ?
Ans: During investigation, it was found they was a traffic spike at DTH PackInfo backend API, due to this the failures were increased which choked the connectivity between DTH vector app nodes and Load balancer.
Q5: Why there was a spike captured at Pack info API?
Ans: Further investigation uncovered that, traffic surge was due to unnecessary callbacks from HDMI connections in local TVs, even in standby mode, these increased in traffic were generating hits and causing the issue.
Q6: Why the sudden increase in traffic originating from HDMI connections?
Ans: Upon thorough investigation, it was determined that there was no sudden increase in traffic; the traffic pattern had remained consistent since November 2024. However, as per contract it was planned to publish max 250 TPS from XSTREAM to DTH but due to unnecessary callbacks triggered by HDMI connections, the TPS went from 500 to 700 from Nov itself, which is identified as the root cause of the issue.
Detection Leg 02
Q1: Why did this issue not occur earlier despite the traffic spike being present since November 2024?
Answer: Because, on outage day, 4 out of one DTH_Vector application node was undergoing hardware refresh maintenance, resulting in traffic being handled by three nodes. When the traffic surged to approximately 500-700 TPS, the remaining three nodes were unable to handle the increased load, leading to failures.
Systemic leg-03
Q1: Why this unusual traffic movement was not captured before by the system?
Ans: The unusual traffic movement went unnoticed because there were no alerts in place to track traffic spikes on the DTH_Vector and XSTREAM systems. Due to this monitoring gap, teams couldn’t detect the issue proactively or take timely action to quickly restore the services.
Q2: Why DTH account creation issue were still reported post resolution which impacted Black acquisition orders?
Ans: Because, after shifting the traffic from 62 to N2 DC; the secondary DB was made to primary DB and DTH_CRM team started getting failures. To fix it, they restarted services for all five EAI Object Managers components and the user interface journeys so they could connect to the DTH_Vector database after the failover. 
Preventive Actions:
• Rate Limiter Implementation: A rate limiter has been implemented and deployed on Xstream backend to help manage traffic towards Vector. Same rate limiter will be implemented on the front-end to reduce the load on the Xstream backend. Open (Prince Midha)
• Alert System for Surges: Configure the alerts for surges in traffic for Vector, specifically for get vector master and other critical APIs. Open (Suhaas)
• Xstream team should create an SOP and inform their downstream and upstream about any front-end releases and expected TPS to monitor for high traffic surges. Open (Prince Midha)
• Sync API Failure Alert: Implement an alert for sync API failures at the Siebel side and establish an SOP for rolling refreshes in case of failures. Open (Ritesh Jaiswal)
• Xstream team should onboard with the change management process and going forward follow it rigorously. Open ( Prince Midha)
• LOW end TV devices to be setup as a part of testing equipment to ensure testing includes local and assembled TVs to identify potential issues with HDMI callbacks Open (Prince Midha)
• Rate limiter at Gloo end- DTH team will explore the feasiblity with Gloo team to implement a rate limiter for get vector master API to protect the system from surges. Open (Suhaas)
</t>
  </si>
  <si>
    <t>PRB0044518</t>
  </si>
  <si>
    <t>Digital Acquisition, DTH, Digital Experience B2C, Postpaid, Xstream, Prepaid</t>
  </si>
  <si>
    <t>P1
P1
P1
P1
P1
P1
P4</t>
  </si>
  <si>
    <t>Alert96512511 / Alert96512542
INC15125873/INC15125872/INC15125888
INC15125882
INC15125881
INC15125900/ INC15125908/ INC15126005
INC15126041 / INC15126055/ INC15126054
INC15126363</t>
  </si>
  <si>
    <t>Symptoms:
1)Multiple Appd alerts
A)DTH_MBOSS-DTH New Customer Acquisition-OverallAvgResponseTime is greater than 300ms_Sev-1
B)Prism-DTH Recharge Journey-Overall Avg ResponseTime is greater than 500ms_Sev-1
Alert time  : 2025-07-11 07:49
Event No : Alert96512511 / Alert96512542
2) sp_multitenant_api_failure
A)URL:http://dthbiller.novatel.example/AIWebServices/services/vectorPROD/accounts/{{accountId}}/detail/getVectorMasterData
Alert time :2025-07-11 07:52
Event NO :INC15125873/INC15125872/INC15125888
3)VECTOR_High_Exception_Alert
Trigger: VECTOR_High_Exception_30_in_Hour
JOURNEY:Vector API Call
Alert time :2025-07-11 07:53
Event NO :INC15125882
4)High DTH_FAILURE alert in last 15 min
Host Name : DCAP_DTH_FLOW_FAILURE_ALERT
Alert time : 2025-07-11 07:54
Event No: INC15125881
5)Multiple Api 5XXFailurein10Minutes
API : /dth/catalogue/getbasepacks
API : /dth/catalogue/getuserdetails
API : /dth/catalogue/getpacks
API : /services/common/recharge/v2/packs/DTH/RECHARGE
Alert time : 2025-07-11 07:57
Event NO : INC15125900/ INC15125908/ INC15126005
6)Multiple Recharges Journey - Thanks App
Trigger: Full Page Failure Percentage &gt; 5
Alert time : 2025-07-11 08:10
Event NO : INC15126041 / INC15126055/ INC15126054
7)Node -- Description  -Mboss Alert | High LAPU Recharge Failure | Upstream: LAPU Downstream: Mboss | Threshold:20 % | Status: FAILED | Current Failure: 100.00
Alert time : 2025-07-11 08:50 
Event No : INC15126363</t>
  </si>
  <si>
    <t>7/11/2025 7:49
7/11/2025 7:52
7/11/2025 7:53
7/11/2025 7:54
7/11/2025 7:57
7/11/2025 8:10
7/11/2025 8:50</t>
  </si>
  <si>
    <t>7/11/2025 7:55
7/11/2025 9:21
7/11/2025 10:13
7/11/2025 8:19
7/11/2025 8:18
7/11/2025 9:48
7/11/2025 9:55</t>
  </si>
  <si>
    <t>Service Portal Hits: (D vs D-7: 14811 vs 23143: 8332).
DCAP Payment Posting: 2867 failures.
NCA Payment Pendency for DTH: 126
UDP_Dunning: 1302 orders
NovaWorks installation Impacted: 176 orders
Nova App Success Hits: (D vs D-7: 5205401 vs 5741422: 536021).     DTH Vector: (D vs D-7: 6192 vs 17363: 11171) is 64.33% recharge transactions impacted.
IPTV/Homes/DTH (Including UDP) Change Order: (D vs D-7: 3158 vs 7165: 4007) is 55.94%.
DTH Resumption Orders: (D vs D-7: 4170 vs 15317: 11147) is 72.77%.</t>
  </si>
  <si>
    <t>DTH New Customer Acquisition Journey, DTH Customer Experience Journey, Black Acquisition Journey, Black Customer Experience Journey</t>
  </si>
  <si>
    <t>DTH_OE, eCAF, Ecom</t>
  </si>
  <si>
    <t>INC15129038</t>
  </si>
  <si>
    <t>DTH account creation was impacted intermittently.</t>
  </si>
  <si>
    <t>In this issue, Users reported that they were facing error for account creation for DTH due to which Black acquisition was intermittently impacted. Further DTH_CRM team moved the services to healthy node 205 out of 2 (205 &amp; 206), followed by WPM component restart, post which some success was observed. To resolve the issue, DTH_CRM team took services restart for all 5 EAI Object Managers and UI journeys, post which services became normal and issue stand resolved.</t>
  </si>
  <si>
    <t>RCA Awaited</t>
  </si>
  <si>
    <t>PRB0044519</t>
  </si>
  <si>
    <t>P1
TG Alert</t>
  </si>
  <si>
    <t>INC15126256
TG Alert</t>
  </si>
  <si>
    <t>Symptom:
1)Host Name : DTH Seibel to UCM_Create_Account
Business Group : PostPaid_Telemedia_All_ALert
Alert Start Time: 11/07/2025 08:38 Hrs
Event No: INC15126256
2)Host Name : digitalacq_ecaf_dip_in_api_hits
Url_Volume_Dip_Alert||Threshold&gt;80%
Business Group : AIRCOP_CUSTOM_MONITORING
URL : /ecaf/orchestrator/payment/validateCartPayment
Alert Start Time: 11/07/2025 08:52 Hrs
Event No: TG Alert</t>
  </si>
  <si>
    <t>7/11/2025 8:38
TG Alert</t>
  </si>
  <si>
    <t>7/11/2025 9:15
TG Alert</t>
  </si>
  <si>
    <t>Black success Dip (D vs D-7): (417 vs 1492) is 1075 orders</t>
  </si>
  <si>
    <t>DCAP, LAPU_MT, BTFLY_ATOM</t>
  </si>
  <si>
    <t>INC15131772</t>
  </si>
  <si>
    <t>B2B Payment Posting was impacted.</t>
  </si>
  <si>
    <t xml:space="preserve">In this issue, time-out errors were observed from "BSL get billing account details" API for CU25-CU31 which impacted payment posting of B2B. Upon investigation, it was identified that some plan fix was implimented by DBA on these CUs at 15:30 Hrs. post which these errors were observed. To resolve this, DBA team dropped the baseline of these plans on impacted CUs, post which errors started decreasing and issue go resolved. </t>
  </si>
  <si>
    <t>P1
P2
P1
P3</t>
  </si>
  <si>
    <t>INC15131078,INC15131070
INC15131126,INC15131123,INC15131115,INC15131363,INC15131367,INC15131478
INC15131213,INC15131232
INC15131064</t>
  </si>
  <si>
    <t xml:space="preserve">1)Multiple High I/o percentage in last 10 min
 io_wait_cu26-IP : 10.14.109.189 
io_wait_cu31- IP : 10.13.63.111
Alert Time:2025-07-11 15:50 Hrs 
Event : INC15131078,INC15131070
Symptom:
1)Multiple  5XX_StatusCode_Gloo_API_CS
AUTHORITY : getinvoicehistory-service.bsl-prod.india.novatel.internal
AUTHORITY : getinvoicehistory-service.bsl-prod.india.novatel.internal
AUTHORITY : paymentdetailsservice.bsl-prod.india.novatel.internal
AUTHORITY : getusagesummary.bsl-prod.india.novatel.internal
AUTHORITY : getirpackdetails.bsl-prod.india.novatel.internal
Alert Time:2025-07-11 15:51 Hrs 
Event No:INC15131126,INC15131123,INC15131115,INC15131363,INC15131367,INC15131478
2) 5XXFailurein10Minutes| CX_USAGE 
API : /v2/ir/usage
5XXFailurein10Minutes| cx_billing 
API : /bills
Alert Time:2025-07-11 15:51 Hrs 
Event No:INC15131213,INC15131232
3)Lapu BSL getBillingAccountDetails Error message count &gt; 10
Host Name : Lapu StatusCode wise alert in cap Gateway
Current Value : 40.0
Alert Time:2025-07-11 15:51 Hrs 
Event No:INC15131064
</t>
  </si>
  <si>
    <t>7/11/2025  3:50:00 PM
7/11/2025  3:50:00 PM
7/11/2025  3:51:00 PM
7/11/2025  3:51:00 PM
7/11/2025  3:52:00 PM
7/11/2025  4:11:00 PM
7/11/2025  4:12:00 PM
7/11/2025  4:21:00 PM
7/11/2025  3:58:00 PM
7/11/2025  4:00:00 PM
7/11/2025  3:50:00 PM</t>
  </si>
  <si>
    <t>7/11/2025  4:50:00 PM
7/11/2025  4:50:00 PM
7/11/2025  4:52:00 PM
open 
7/11/2025  4:52:00 PM
7/11/2025  4:41:00 PM
7/11/2025  5:01:00 PM
open
7/11/2025  4:28:00 PM
7/11/2025  4:10:00 PM
7/11/2025  4:45:00 PM</t>
  </si>
  <si>
    <t>DCAP- 147 B2B failed payments.
BTFLY_ATOM- B2B New order- 433
B2B change- 40
B2B PreToPost-25</t>
  </si>
  <si>
    <t>INC15140954</t>
  </si>
  <si>
    <t>Customers were not able to fetch DLR status of SMS delivered through Nova IQ_SMS.
Customers were not able to fetch DLR status of SMS delivered through Nova IQ_SMS.</t>
  </si>
  <si>
    <t>In this issue, Nova IQ_SMS was experienced timeout errors while fetching data from the database for SMS DLR, resulting in customers being unable to retrieve DLR status and users facing issues accessing data via UI. Further, DBA team identified high CPU utilization, contentions and long running sessions. To mitigate the issue, DBA team killed problematic sessions and implemented a plan change for SELECT queries at the backend, post which issue stands resolved.
Additionally as a precaution, DBA team has also identified some queries that can cause contentions in future, IQ team is working internally to optimize these queries.</t>
  </si>
  <si>
    <t>INC15139536,INC15139485</t>
  </si>
  <si>
    <t>1)High CPU utilization | ISSUE STARTED
Trigger Value: 96.9 %
Alert time: 2025-07-12 08:07
Event No:INC15139536,INC15139485</t>
  </si>
  <si>
    <t>7/12/2025  8:12:00 AM
7/12/2025  8:07:00 AM</t>
  </si>
  <si>
    <t>7/12/2025  8:57:00 AM
7/12/2025  8:57:00 AM</t>
  </si>
  <si>
    <t>Prepaid Customer Retail Acquisition Journey, Prepaid New Order Sim Swap Journey</t>
  </si>
  <si>
    <t>INC15141560</t>
  </si>
  <si>
    <t>In this issue, Prepaid acquisition was impacted intermittently as eKYC was getting intermittent error from UIDAI. To resolve this, concern regarding same was raised to UIDAI for which UIDAI team took corrective action at their end, post which issue stands resolved.</t>
  </si>
  <si>
    <t>INC15139974</t>
  </si>
  <si>
    <t>1)ECAF^Brodband Acquisition^Anomaly^Disaster^ECAF-ekyc-service-Failure Rate &gt; 40%
Alert time: 2025-07-12 09:11:49
Event No:INC15139974</t>
  </si>
  <si>
    <t>7/12/2025  13:54:00 PM</t>
  </si>
  <si>
    <t>Prepaid success Dip (D vs D-7): 482 (57913 vs 58395) is 1%. Simswap success Dip (D vs D-7): 6141 (7379 vs 13520) is 45%</t>
  </si>
  <si>
    <t>INC15146128</t>
  </si>
  <si>
    <t xml:space="preserve">Wallet was not available on Nova App.  
</t>
  </si>
  <si>
    <t xml:space="preserve"> NovaTel app was facing 98% failures on the bank wallet API, causing wallet details to not appear. To fix this, the Load Balancer between NovaTel and NFB servers was bypassed, and a server restart was done from the application end. Post sanity checks, services were found to be stable. Issue is resolved and system is under monitoring. Also, NFB team has raised this case with TAC team for analysis.</t>
  </si>
  <si>
    <t>NC15140473
INC15140472</t>
  </si>
  <si>
    <t>1)Multiple DPS_APB_SERVICE ||High 429 Failure for WALLET-DETAILS-ADAPTER
Current Value : 4261
Alert time: 2025-07-12 10:09
Event No:INC15140473,INC15140472</t>
  </si>
  <si>
    <t xml:space="preserve">2025-07-12 10:09:33
</t>
  </si>
  <si>
    <t>DPS success dip: 32877(D vs D-7: 3344 vs 36221) is 90% dip.</t>
  </si>
  <si>
    <t>Black Customer Experience Journey, Nova App Experience Journey</t>
  </si>
  <si>
    <t>Nova App, OneNova, Service Portal</t>
  </si>
  <si>
    <t>INC15146148</t>
  </si>
  <si>
    <t>Black unbundling was impacted, along with users were not able to check outstanding balance via Nova App and Service Portal.</t>
  </si>
  <si>
    <t>n this incident, Homes Payment Breakup API was observing failures from BSL. Upon investigation BSL team confirmed that high CPU utilisation was observed for 3 pods of CU10. For this,  BSL team took refresh of those pods, post which improvement observed and issue got resolved.</t>
  </si>
  <si>
    <t xml:space="preserve">INC15144072
INC15131232,INC15144196 , INC15144283
INC15144158, INC15144156, INC15144155, INC15144154, INC15144152
INC15144163
</t>
  </si>
  <si>
    <t>1)OneNova-Digital Customer Experience Journey-Homes-RS_bsl-prod.india.novatel.internal_Overall Error rate is greater than 5%
Alert time - 2025.07.12 15:55
Event no - INC15144072
2)5XXFailurein10Minutes| CX_USAGE 
API : /v2/ir/usage
5XXFailurein10Minutes| cx_billing 
API : /bills
5XXFailurein10Minutes| cx_Plan 
API : /v1/current-plan
Alert time - 2025.07.12 16:00Hrs
Event no -INC15131232 , INC15144196 , INC15144283
3) Multiple Gloo 5XX_StatusCode_Gloo_API_CS
AUTHORITY : billingassetdetailsservice.bsl-prod.india.novatel.internal
AUTHORITY : getbillingaccountdetails.bsl-prod.india.novatel.internal
AUTHORITY : getinvoicehistory-service.bsl-prod.india.novatel.internal
Alert time - 2025.07.12 16:01:27
Event no - INC15144158, INC15144156, INC15144155, INC15144154, INC15144152
4)OneNovaTel_PaymentSplitApi_Failure | API_NAME : PAYMENTBREAKUP
Alert time - 2025.07.12 16:04
Event no - INC15144163</t>
  </si>
  <si>
    <t>2025-07-12 15:55:29
2025-07-11 16:00:08
2025-07-12 16:01:33
2025-07-12 16:04:33</t>
  </si>
  <si>
    <t>2025-07-12 16:27:29
2025-07-11 16:10:03
2025-07-12 16:12:33
2025-07-12 16:14:33</t>
  </si>
  <si>
    <t>Service Portal Success Hits dip: No dip (D vs D-7: 1161 vs 972) Nova App Success Hits dip: No dip (D vs D-5: 435,448 vs 299,359)</t>
  </si>
  <si>
    <t>Prepaid Customer Retail Acquisition Journey, Prepaid New Order Sim Swap Journey, Prepaid Customer Experience Journey</t>
  </si>
  <si>
    <t>eCAF, eCAF_Sim Swap, PACS, IMS, Service Portal</t>
  </si>
  <si>
    <t>INC15146140</t>
  </si>
  <si>
    <t xml:space="preserve">FTR and Prepaid acquisition was impacted For North Region.  </t>
  </si>
  <si>
    <t>In this issue, it was identified that both PACS IMS DB (10.14.59.36/37) were down. Upon investigation, it was found that both DB were in a down state. To recover the services, the Unix team performed a server restart from their end. After the restart, Both DB came up gradually, and the issue was resolved successfully.</t>
  </si>
  <si>
    <t xml:space="preserve">Primary Root Cause:
Leg 01 – Specification 
Q1. Why service disruption observed for Prepaid Acquisition Journey in the North Region? 
A1. Because IMS application was unable to establish connections with the database. This was due to the simultaneous and abrupt failure of both DB instances (10.14.59.36 and 10.14.59.37), which impacted multiple dependent application services including eCAF, eCAF SimSwap, Service Portal, and PACS. 
Q2. Why both database instances crash simultaneously? 
A2. Because the Oracle Database services on both instances crashed when the shared memory mount point (/dev/shm) became unavailable. This mount point is critical for Oracle operations, and its loss led to an immediate failure of the database processes on both nodes. 
Q3. Why mount /dev/shm become unavailable? 
A3. During a planned multi-pathing remediation activity (a prerequisite for SAN director replacement), two mount points (/backup1 and /data/dynatrace) left commented out in the /etc/fstab file. Later, a Linux engineer attempted to restore these mount points using the mount -a command, which inadvertently triggered are mount of /dev/shm due to an incorrect entry in the existing configuration. 
Q4. Why “mount –a” command remount /dev/shm incorrectly? 
A4. Because the/etc/fstab file on the database server contained a misconfigured entry for /dev/shm, using "none" instead of the required "tmpfs" as the file system type. When the mount -a command executed to mount all file systems, this incorrect entry caused /dev/shm to be unmounted and remounted improperly. This action disrupted the shared memory segment actively accessed by Oracle, leading to a crash of the database services.
Leg 02 – Detection
Q1. Why “mount –a” command executed on production database servers during business hours? 
A1. Because the available Linux engineer missed uncommenting the mount point entries (/backup1and /data/dynatrace) in /etc/fstab after the multi-pathing pre check activity and later attempted to restore them by running mount -a during business hours. 
Q2.Why misconfiguration of mount /dev/shm go unnoticed? 
A2. Because the critical misconfiguration persisted due to a lack of visibility and validation for mount configurations, absence of automated checks and risk governance practices on the legacy infrastructure. 
Q3. Why no validation mechanism in place for /etc/fstab? 
A3. Because the affected database servers run on legacy RHEL 7 infrastructure, which excluded from existing automation and configuration compliance mechanisms used to validate mount configurations. 
Q4. Why no review or checklist to verify /etc/fstab changes? 
A4. Because there is no standard SOP or peer review checklist in place for validating file system configuration changes on database servers following maintenance activities.
Leg 03 – Systemic Failure
Q1. Why mount /dev/shm incorrectly configured with none entry in /etc/fstab? 
A1. Because it is a known limitation arising from a legacy misconfiguration in the RHEL 7 database infrastructure. The /dev/shm entry was incorrectly set to none instead of required tmpfs. This issue has persisted over time and is known to affect approximately 300 other database servers with similar /etc/fstab mount misconfigurations.
Preventive Actions: 
• Replace entry "none" with “:tmpfs” in /etc/fstab file system for mount /dev/shm. - Amit Bajpai – Open
• Run a scan to identify inappropriate FSTAB (File System Table) entries on RHEL 7 DB servers (~300+ servers) where /dev/shm misconfigured. - Amit Bajpai - Open (Scan performed, plan in progress under change)
</t>
  </si>
  <si>
    <t>PRB0044520</t>
  </si>
  <si>
    <t xml:space="preserve">
P1
P1
P1
P1
P1</t>
  </si>
  <si>
    <t xml:space="preserve">
INC15144731, INC15144733, INC15144732,INC15144730,INC15144642
INC15144771, INC15144796
INC15144776
INC15145066
INC15144702</t>
  </si>
  <si>
    <t>1)ora.storage has 1 instances in OFFLINE State
Alert time - 2025-07-12 16:51Hrs
Event No - INC15144686
1)Multiple Internal error (ORA 600 [ksm_mga_pseg_cbk_attach:map_null]) detected in /u02/app/oracle/diag/rdbms/imschddb/IMSCHDDB1/alert/log.xml at time/line number: Sat Jul 12 16:48:23 2025/28470
Alert time - 2025-07-12 16:51Hrs
Event No - INC15144731, INC15144733, INC15144732,INC15144730,INC15144642
2) The database is Down 
NODE- N1VL-PD-IMS03 10.14.59.36
Node - N1VL-PD-IMS04 10.14.59.37
Alert time - 2025-07-12 16:59Hrs
Event No - INC15144771, INC15144796
Symptom: 
1)sp_multitenant_api_failure  |  High Failure in last 10M  Total Count : 903 Failure Count : 273 
Alert time -2025-07-12 16:58Hrs
Event no - INC15144776
2)Channel-Backend-Alerts-Complaints  |5XX | /v1/ftr | Failure Perc : 25.728237076948982 % || Failure count : 1396
Alert time  - 2025-07-12 17:14Hrs
Event No - INC15145066
3)PACS-SCHD-High Number of Active Connections_Sev-1 
Alert Time - 2025-07-12 16:55Hrs
Event No - INC15144702</t>
  </si>
  <si>
    <t>2025-07-12 16:51:02
2025-07-12 16:59:06
2025-07-12 16:58:28
2025-07-12 17:14:28
2025-07-12 16:55:27</t>
  </si>
  <si>
    <t xml:space="preserve">Open
2025-07-12 18:06:01
2025-07-12 17:08:28
2025-07-12 17:44:53
2025-07-12 17:07:30
</t>
  </si>
  <si>
    <t>Prepaid success dip: 1426(D vs D-7: 25293 vs 26719 ) is 5% dip.
SimSwap success dip: 3538(D vs D-7: 3410 vs 6948) is 51% dip.
FTR : (D vs D-7: 25867 vs 14894) is no dip.</t>
  </si>
  <si>
    <t>INC15164943</t>
  </si>
  <si>
    <t xml:space="preserve">Payment posting for non -NovaTel recharges and utility bills were getting delayed. 
</t>
  </si>
  <si>
    <t>In this issue, connectivity errors between the Nova App and backend services were initially observed, leading to Payment posting for non -NovaTel recharges and utility bills were getting delayed. As part of the mitigation, the NFB Network team applied Proxy Maximum Segment tuning as recommended by the F5 OEM, which resulted in immediate performance improvement. However, considering security posture and risk assessment, this change was rolled back. Subsequently, the OneConnect profile was enabled on the F5 device by NFB Network team, after which connectivity fully stabilized and the issue got resolved.</t>
  </si>
  <si>
    <t>INC15163920,INC15163919,INC15163918,INC15163917
INC15163961,INC15164222,INC15164259,INC15164289
TG ALERT</t>
  </si>
  <si>
    <t>1)Multiple DPS_APB_SERVICE
API : CREATE-BBPS-ORDER
API : CREATE-BBPS-ORDER-ADAPTER
API : BBPS-PAYMENT-STATUS
API : BBPS-PAYMENT-STATUS-ADAPTER
Alert time :2025-07-14 00:04 Hrs
Event NO :INC15163920,INC15163919,INC15163918,INC15163917
2)Multiple Full Page Failure Percentage &gt; 10 
Host Name : Recharges Journey - Thanks App
Sev_1,Current Value : 12.89
Alert time :2025-07-14 00:09 Hrs
Event NO :INC15163961,INC15164222,INC15164259,INC15164289
3)Host Name : lapumt_partnerwise_avg_elapsedtime_v1
Sev_3,Current Value : 73.49
PARTNER : balbbps
Alert time :2025-07-14 00:09 Hrs
Event NO :TG ALERT</t>
  </si>
  <si>
    <t>7/14/2025 0:04
7/14/2025 0:09
7/14/2025 0:09</t>
  </si>
  <si>
    <t>7/14/2025 0:17
7/14/2025 0:28
2025.07.14 00:19:47</t>
  </si>
  <si>
    <t>NovaTel app success dip: 16022(D vs D-7: 128873 vs 112851) is 14% dip.</t>
  </si>
  <si>
    <t>INC15167607</t>
  </si>
  <si>
    <t>Customers were unable to fetch bill details from Nova App.</t>
  </si>
  <si>
    <t>In this issue, NovaTel app was experiencing high response time from BSL end. Further, BSL team attempted to mitigate the issue by performing a pod refresh for CU 28, but no improvement was observed. To resolve the issue, Backup team cancelled the ongoing incremental &amp; archival backup, post which issue got resolved.</t>
  </si>
  <si>
    <t xml:space="preserve">
P1
P1</t>
  </si>
  <si>
    <t>INC15166148
INC15166224</t>
  </si>
  <si>
    <t>1)FX High response time in last 60 min executeProcedure(): database service API on DB: PDK6CU28
Host Name : BSL Billing Acc Details API FX DB High Response
Sev_3,Current Value : 160.0
Alert time :2025-07-14 05:18 Hrs
Event NO :INC15166148 
Symptoms:
1)Host Name : Channel-Backend-Alerts-cx-billing 
Sev_2,Current Value : 6.0557037296139216
API : /bills
Alert time :2025-07-14 05:28 Hrs
Event NO :INC15166224</t>
  </si>
  <si>
    <t>7/14/2025 5:18
2025-07-14 05:28:41"</t>
  </si>
  <si>
    <t>Open 
Open</t>
  </si>
  <si>
    <t>Nova App Success Hits: (D vs D-6: 831559 vs 1153602: 322043) is 27.91%.</t>
  </si>
  <si>
    <t xml:space="preserve">INC15166858 </t>
  </si>
  <si>
    <t xml:space="preserve">Segmented offer benefit was impacted for North and East Hub. </t>
  </si>
  <si>
    <t xml:space="preserve">In this issue, DARTS service was disrupted after both nodes were upgraded to Veritas patch version 3100 after a recent change(CHG0185612), which caused instability. To resolve the issue, team downgraded both nodes to the more stable patch version 2700. After performing a service refresh post-downgrade, the application started working fine from one node. On the second node, services will be started after a short monitoring period to ensure stability. The issue is now mitigated, and stand resolved. </t>
  </si>
  <si>
    <t xml:space="preserve">P1
</t>
  </si>
  <si>
    <t xml:space="preserve">INC15167661,INC15166753,INC15166049,INC15164395
</t>
  </si>
  <si>
    <t>Hostname:10.5.232.83
severity: Warning
Trigger: 10.5.232.83 has been restarted uptime is less than 10m
Member of Host Group:Analytics_DARTS_Abinitio_Infra
Alert time :2025-07-14 06:03 Hrs
Event NO :INC15166473</t>
  </si>
  <si>
    <t xml:space="preserve">2025-07-14 08:58:11
</t>
  </si>
  <si>
    <t xml:space="preserve">2025-07-14 09:08:11
</t>
  </si>
  <si>
    <t>fulfillment processing 200 jobs  failed</t>
  </si>
  <si>
    <t>CHG0185612</t>
  </si>
  <si>
    <t>INC0532643</t>
  </si>
  <si>
    <t>UPI Switch transaction failed with errorCode=PH5129 and downstreamCode=PHL001 due to downstream limit check validation error: message="Limit check failed! Please try again later."</t>
  </si>
  <si>
    <t xml:space="preserve"> In this issue, Intermittent UPI transaction failures on NFB’s platform, returning error code PH5129 (“Limit check failed! Please try again later”), triggered urgent troubleshooting. The PaymentsHub team, following Network guidance, first disabled the proxy‑MSS option on Load Balancer 10.241.252.74 (CR CHG0006241) — yet the issue persisted, raising doubts about whether network-level tuning alone was sufficient. To enable deeper traceability, the team then activated hash value logging via standard change CHG0006255. As a tactical workaround, API traffic for /scc/limit/s2s FQDN was changed from consumers‑rnm.int.novabank.com:5050 to aeps.int.novabank.com:5055, followed by a controlled restart of PaymentHub servers during off‑peak hours. This yielded partial recovery, with transaction success rates improving. currently system was under observation.</t>
  </si>
  <si>
    <t>INC15167450</t>
  </si>
  <si>
    <t>1)DPS_APB_SERVICE 
Sev-4 Current Value : 109
API : PAYMENT-REQ-ID
Alert Start Time: 2025-07-14 08:27Hrs
Event No:INC15167450</t>
  </si>
  <si>
    <t xml:space="preserve"> For NFB-PAYMENTS-UPI Total Transactions Comparision:27,963,979 Success Transactions: 27963979 (99.45%) Failure Transactions: 155014 (0.55%) </t>
  </si>
  <si>
    <t xml:space="preserve"> CHG0006255</t>
  </si>
  <si>
    <t>INC15169338</t>
  </si>
  <si>
    <t>Multiple reports were impacted for Homes payment failure.</t>
  </si>
  <si>
    <t>In this issue, DARTS team reported that data for homes payment profile was not being received from the source end. To address this, MongoDB team created a new user (dartsReadUser) in a different collection, although user already existed in the Homes profile. Later, DARTS team modified the date syntax, after which the data retrieval began working correctly, post which issue got resolved.</t>
  </si>
  <si>
    <t>INC15167661,INC15166753,INC15166049,INC15164395</t>
  </si>
  <si>
    <t>1)Hostname:MongoDB Node 10.5.244.122
Trigger: MongoDB: mongod process has been restarted (uptime &lt; 10m)
Trigger Value: 2m 32s
Alert Start Time: 2025-07-14 01:03 Hrs (Fluctuating)
Event No: INC15167661,INC15166753,INC15166049,INC15164395</t>
  </si>
  <si>
    <t>Only one report is impacted for homes payment profile.</t>
  </si>
  <si>
    <t>INC15175335</t>
  </si>
  <si>
    <t xml:space="preserve">Broadband Fault Repair SR closure was impacted in NovaTel Work application due to EDT error. </t>
  </si>
  <si>
    <t>In this issue, AW team confirmed that they were getting errors from an API (https://dtinternalkong.india.NovaTel.itm/multi-tenant/s2s/user/rest/v1.0/scenario/execute) of Service Portal due to which one of the parameter was not getting closed at EDT task for Fault Repair SRs. However, the issue was intermittent and SRs were getting closed in retrial. Upon investigation, it was identified that the issue has occured due to a configuration change under which pointing of API was changed. To resolve this, Service Portal team rolled back the pointing, post which errors got dessolved.</t>
  </si>
  <si>
    <t>P3
P1</t>
  </si>
  <si>
    <t>TG Alert
Alert96698774</t>
  </si>
  <si>
    <t>Symptom:
1)Unexpected low load
37 requests/min impacted
by a decrease to 37 requests/min
Service method: http://broadband.novaworld.in:8282/XstreamFiber/v1/reboot_times
Root cause | Web service
RouterManagementNetworkController
Alert time :2025-07-14 15:18
Event No :TG Alert
1)Hostname:Downstream-Channel-Backend-Alerts-cx-network
Trigger: cx-network | 5xx | https://hbatomdn-prod.novatel.example/routermanagement/getCpeStatus
Alert Start Time: 2025-07-14 17:45
Event No:Alert96698774</t>
  </si>
  <si>
    <t>7/14/2025  15:18
7/14/2025  17:45</t>
  </si>
  <si>
    <t>7/14/2025 18:53
7/14/2025 18:05</t>
  </si>
  <si>
    <t>9117 failure hits</t>
  </si>
  <si>
    <t xml:space="preserve"> INC15177247</t>
  </si>
  <si>
    <t xml:space="preserve"> CC advisors were facing issues in MOP scenario.</t>
  </si>
  <si>
    <t>In this issue, CC advisors were facing issue in MOP scenario for Broadband as failures were being observed by the Service Portal team on getCurrentChannelValue and getAccessPointInfo APIs from Device Nucleus. It was identified that two nodes of ACS (EmbedUR) had gone down. To restore services, ACS team(EmbedUR) performed load distribution, after which the errors reduced and the issue was resolved.</t>
  </si>
  <si>
    <t>P3
P1
P2</t>
  </si>
  <si>
    <t>TG Alert
INC15175596/INC15175692/INC15175917
INC15175890</t>
  </si>
  <si>
    <t xml:space="preserve">Symptom:
1)ConnectedDeviceController
Failure rate increase
645 requests/min impacted
by a failure rate increase to 0.99 %
Service method: All methods affected
Root cause
Web request service
broadband-rest.novatel.example on port 443
Alert time : 2025-07-14 20:58
Event No : TG Alert
2)Multiple sp_multitenant_api_failure
A)URL:https://hbatomdn-prod.novatel.example/routermanagement/getCurrentChannelValues
B)URL:https://hbatomdn-prod.novatel.example/routermanagement/getAccessPointInfo
C)URL:/guardian/api/v1/user/custom/BROADBAND_DEVICE_DETAILS_NEW
Alert Start Time: 2025-07-14 21:01
Event No:INC15175596/INC15175692/INC15175917
3)Channel-Backend-Alerts-cx-network
A)API : /router/info
B) API: /router/devices
Alert Start Time: 2025-07-14 21:23
Event No: INC15175890
</t>
  </si>
  <si>
    <t xml:space="preserve">7/14/2025 20:58
7/14/2025 21:01
7/14/2025 21:23
</t>
  </si>
  <si>
    <t>Open
7/14/2025 21:50
7/14/2025 21:52</t>
  </si>
  <si>
    <t>Success Hits Dip: 2509(D vs D-4: 91,991 vs 89,482)</t>
  </si>
  <si>
    <t xml:space="preserve"> INC15177449</t>
  </si>
  <si>
    <t>Customers were unable to fetch wifi connection details and perform action related to it on Nova App intermittently.</t>
  </si>
  <si>
    <t>In this issue, high CPE sessions were observed from the ACS end, resulting in failures seen by the Nova App team on wifiEnableOrDisable, resetCredentials, getCpeStatus, optimizeWifiChannelCheck, and getConnectedDevices APIs from HB_Atom. The CPE sessions reduced without any technical intervention, and the issue got resolved.</t>
  </si>
  <si>
    <t>P2
P2
P3
P2</t>
  </si>
  <si>
    <t>INC15176872
INC15176926
INC15176934,INC15176933
INC15176967, INC15176965, INC15176929, INC15176963, INC15177029</t>
  </si>
  <si>
    <t>Direct
1)ACS_PORT DOWN ALERT 
Issue: Port 8103 is down on 10.14.78.250
Application: ACS_TR_069
Port: 8103 Count: 0
Alert Start Time: 2025-07-14 22:53Hrs
Event No:INC15176872
Symptom:
1)ACS FTACS User Session Count is too high||FTACS
Host Name : ACS Session Count
Sev-2 Current Value : 7887.0
IP : 10.223.131.90
Alert Start Time: 2025-07-14 23:01Hrs
Event No:INC15176926
2)Hostname:ACS_Resource_Use_Sessions
sev-3 Trigger: Resource Use Sessions Current Utilization on ACS is High
Trigger Value: 8327
Alert Start Time: 2025-07-14 23:02Hrs
Event No:INC15176934,INC15176933
3)Multiple Channel-Backend-Alerts-cx-network Alerts
sev-2 Trigger: 90th Responce time | 
A)API : /router/credentials
B)API : /router/bandblock/schedules
C)API: /router/devices
D)API : /router/optimize
E)API : /router/bandblock/schedules
Alert Start Time: 2025-07-14 23:03Hrs
Event No:INC15176967, INC15176965, INC15176929, INC15176963, INC15177029</t>
  </si>
  <si>
    <t>7/14/2025 22:53
7/14/2025 23:01
7/14/2025 23:02
7/14/2025 23:03</t>
  </si>
  <si>
    <t xml:space="preserve">7/14/2025 23:03
7/15/2025 01:01
7/15/2025 01:02
7/14/2025 23:43
</t>
  </si>
  <si>
    <t>Success Hits Dip: 6.45% dip (D vs D-7: 42,234 vs 45,148)</t>
  </si>
  <si>
    <t>APB_FS-Investment</t>
  </si>
  <si>
    <t>INC0533263</t>
  </si>
  <si>
    <t xml:space="preserve">For NFB-FS the Prismic API'S are not working for FD &amp; DG gold.  </t>
  </si>
  <si>
    <t xml:space="preserve">The NFB‑FS team observed that the Prismic APIs for FD and DG gold functionality were unresponsive. Initially, the team performed a service restart, but the issue persisted. A deeper investigation by TechOps uncovered that the URL "NovaTelpaymentsbank_cdn_prismic_io" Prismic SSL certificate had expired on July 14, 2025 23:59 Hrs. Upon renewing the certificate, API responsiveness was restored and normal service resumed. Hence issue got resolved. </t>
  </si>
  <si>
    <t>For NFB-FS-Investment Success Transactions Dip Comparison for Gold: {D vs (D-7)}= 0- 304=304 (100% drop in Success transaction)
For NFB-FS-Investment Success Transactions Dip Comparison for FD booking: {D vs (D-7)}= 0- 46=46 (100% drop in Success transaction)</t>
  </si>
  <si>
    <t>eCAF, eCAF_eDSL, Ecom, OneNova, Nova App</t>
  </si>
  <si>
    <t>INC15182381</t>
  </si>
  <si>
    <t xml:space="preserve">Black and Broadband Acquisition was impacted. </t>
  </si>
  <si>
    <t xml:space="preserve">In this issue, it was identified that the broadband order creation was getting impacted due to errors received by eCAF from the HB_CRM end. Further analysis revealed that last night, Plan federation changes were made at the HB_CRM end by RA team, which led to the issue. HB_CRM team has rolled back those changes, after which the pendency started clearing gradually. Post rollback, services have stabilized and the issue stands resolved. </t>
  </si>
  <si>
    <t>INC15180651</t>
  </si>
  <si>
    <t>Symptom:
1)Broadband milestone pendency alert in last 10 min || ORDER_CREATION_FAILED
Host Name : Milestone_pendency_broadband_ecaf
Alert Start Time: 15/07/2025 7:32 Hrs
Event No: INC15180651, INC15180760</t>
  </si>
  <si>
    <t xml:space="preserve">432 Order pendancy
Black : (DvsD-7: 8-43) 35 orders dip.
</t>
  </si>
  <si>
    <t>Prepaid Customer Retail Acquisition Journey, Prepaid New Customer Acquisition-MNP Journey</t>
  </si>
  <si>
    <t>INC15197288</t>
  </si>
  <si>
    <t xml:space="preserve"> Few XFE's were facing DSA errors in prepaid acquisition for few numbers in Orissa Circle.</t>
  </si>
  <si>
    <t xml:space="preserve"> In this issue, few failures from DSA end were seen during prepaid acquisition in Mitra application for Orissa circle. Initially it appeared to be an inventory mismatch issue at DSA end for a particular series, wherein Orissa home series were tagged as Bihar in DSA. Further it was identified that few MNP numbers were getting "Number not active error" as well . To mitigate the issue DSA team revalidated the mismatch cases and One_NMS team manually cleared the impacted MNP numbers, which can be re-punched by the XFEs.</t>
  </si>
  <si>
    <t>100 MNP numbers
Prepaid Success Dip (D vs D-7 :165722 Vs 160760= 4962) is 0 % dip.</t>
  </si>
  <si>
    <t>NovaWorks, HB_ATOM</t>
  </si>
  <si>
    <t>INC15184616</t>
  </si>
  <si>
    <t>Broadband install orders and FR journey was impacted intermittently.</t>
  </si>
  <si>
    <t xml:space="preserve">In this issue, users reported that they were facing problem during installation of Broadband orders. Further, it was identified that intermittently some devices were getting error from ACS during health check post installation which were getting cleared in retries. Further,  to resolve this, ACS team took a node refresh for all friendly devices as a precautionary measures following which, the issue stands resolved. </t>
  </si>
  <si>
    <t>Broadband : 423 orders impacted.</t>
  </si>
  <si>
    <t>Nova IQ Customer Experience Journey</t>
  </si>
  <si>
    <t>INC15212908</t>
  </si>
  <si>
    <t xml:space="preserve">Latency is observed while uploading the call recordings for few customers which is further impacting downloading intermittently. </t>
  </si>
  <si>
    <t xml:space="preserve"> In this issue, few customers of Nova IQ Voice were facing a latency of 10–15 minutes while uploading call recordings. Upon investigation, it was identified that there was a spike in CPU utilization as the nodes were being over utilized which was further identified that it was due to multiple retries of requests. Later nothing was found at storage(NetApp) end and case was also raised. However, the improvement was observed, when the work load reduced. Application team have re-enabled the workload and system was working as per expectation and it is under observation.</t>
  </si>
  <si>
    <t>INC15187067 ,INC15186909 Alert96755943, Alert96756102</t>
  </si>
  <si>
    <t>Symptom:
1)IQ S3 Download Failures alert | Count : 2245.5  
Alert time:2025-07-15 17:39 Hrs( fluctuating )
Incident : INC15187067 ,INC15186909 Alert96755943, Alert96756102</t>
  </si>
  <si>
    <t>Delhivery customers were facing intermittent issue with CDR Recording.</t>
  </si>
  <si>
    <t xml:space="preserve">Prepaid MNP acquisition was impacted in Orissa circle intermittently.
</t>
  </si>
  <si>
    <t xml:space="preserve"> In this issue, XFEs were getting "Response Error from backend DSA" on prepaid MNP cases in Orissa circle. To mitigate, One_NMS team did the configuration changes, post which errors reduced and issue got resolved.</t>
  </si>
  <si>
    <t>17 Orders</t>
  </si>
  <si>
    <t>Broadband New Customer Acquisition Journey, Prepaid Customer Retail Acquisition Journey, Prepaid New Order Sim Swap Journey, Postpaid New Customer Acquisition Journey, Black Acquisition Journey</t>
  </si>
  <si>
    <t>NovaWorks, eCAF_eDSL, eCAF_Sim Swap, Mitra</t>
  </si>
  <si>
    <t>INC15219947</t>
  </si>
  <si>
    <t>Acquisition for all the LOBs were impacted as CROs were not able to close the intent task.</t>
  </si>
  <si>
    <t>In this issue, CROs were not able to close the intent task which further impacted the acquisition for all LOBs. Upon investigation, it was identified that one configuration change was done at NovaWorks due to which issue triggered. To resolve the issue, NovaWorks team rolled back the change post which improvement observed for new orders and for stuck cases team will manually close the task.</t>
  </si>
  <si>
    <t>TG_Alert</t>
  </si>
  <si>
    <t>Symptom:
1)Multiple Failure rate increase
26.8 requests/min impacted
by a failure rate increase to 31 %
Service method: viewTaskDetail
Web services:
TaskController - d*c-task-manager-service-*
AgentRoleSelectionController - d*c-task-manager-service-*
ViewTaskController - d*c-task-manager-service-canary-*
EventController - d*c-task-manager-service-*
Alert time: 2025-07-15 18:54 Hrs
Incident :  TG Alert</t>
  </si>
  <si>
    <t>AW:-approx 650 intent tasks were pending
Success Dip for Broadband : 79 (D:639 vs D-7: 718)
Success Dip for Prepaid : 394 (D: 22249 Vs D-7: 22643) 
Success Dip for Postpaid : No Dip (D:1171 Vs D-7: 1096)
Success Dip for Simswap: 2763 (D: 3238 Vs D-7: 6001)
Success Dip for Homes : No Dip (D: 588 Vs D-7: 470)</t>
  </si>
  <si>
    <t>ARW-219664</t>
  </si>
  <si>
    <t>INC0533902</t>
  </si>
  <si>
    <t xml:space="preserve">Observed high DB connection utilization on UPI Issuer service, causing intermittent transaction impact. </t>
  </si>
  <si>
    <t xml:space="preserve"> In this issue, the NFB-PAYMENTS-UPI team informed that they were getting high DB connection utilization on UPI Issuer Service, causing intermittent transaction impact. During the troubleshooting, NFB-DBA team informed that they were getting inactive and blocking sessions for UPI DB, so, to resolve the issue, they cleared the inactive session and also killed the blocking session for this query (SELECT count(*) FROM UPIIH.MANDATE_HISTORY WHERE UMN = :1 and OPERATION_TYPE = :2 AND ENTITY = and STATUS in (:4) and SEQ_NUM = :5). After that, improvement was observed and the issue got resolved.</t>
  </si>
  <si>
    <t>P4
P1
P4</t>
  </si>
  <si>
    <t>INC15191605, Alert96772405, Alert96772495, Alert96772546
Alert96774719,INC15192242
INC15192179, INC15192178, INC15192177, INC15192176, INC15192247</t>
  </si>
  <si>
    <t>Symptom:
1)DPS QuickSilver Transaction ALERT| ISSUE:Dip seen in SR in last 10minutes|
PAYMENT MODE:UPI| Success:49.40%| Total:4184|Threshold:50% Min total hits &gt;4000
Alert time:2025-07-16 01:12Hrs
Incident :  INC15191605, Alert96772405, Alert96772495, Alert96772546
2)NFB-SEWA UPI Services are Down 10.241.244.126
Alert time:2025-07-16 02:15Hrs
Incident :Alert96774719,INC15192242
3)Hostname:DPS_APB_SERVICE
sev-4 Trigger: High 500 Failure for WALLET-PROFILE
Trigger Value:548
Alert time:2025-07-16 02:19Hrs
Incident:INC15192179, INC15192178, INC15192177, INC15192176, INC15192247</t>
  </si>
  <si>
    <t>7/16/2025  1:12
7/16/2025  2:15
7/16/2025  2:19</t>
  </si>
  <si>
    <t>7/16/2025  1:22
7/16/2025  2:20
7/16/2025  2:34</t>
  </si>
  <si>
    <t>Intermittent UPI transactions were impacted.</t>
  </si>
  <si>
    <t xml:space="preserve">In this issue, issue resurfaced where users reported issue while activation post installation orders but were getting cleared in retries. Further, ACS team has raised a TAC case with OEM for the permanent resolution of this issue. </t>
  </si>
  <si>
    <t>252 orders impacted</t>
  </si>
  <si>
    <t>INC15199093</t>
  </si>
  <si>
    <t>Multiple reports are impacted for Homes payment profile.</t>
  </si>
  <si>
    <t xml:space="preserve"> In this issue, DARTS was not receiving data from the Homes MongoDB end. It was impacting a single report, which in turn was affecting the consolidated billing report for Homes. To mitigate this issue, MongoDB team has suggested some query-level changes and application team updated the query post which issue got resolved. </t>
  </si>
  <si>
    <t>Single report is impacted which impacting consolidate report for homes billing.</t>
  </si>
  <si>
    <t>INC15199485</t>
  </si>
  <si>
    <t>Prepaid Activation was delayed intermittently.</t>
  </si>
  <si>
    <t>In this issue, it was observed that activation of Prepaid orders was delayed intermittently after Dedupe success as eCAF team observed high response time for a queue by which orders are pushed from eCAF to PACS post dedupe success. Further, To resolve this, eCAF team repushed the stuck orders which cleared the pendency followed by a service refresh, post which, the services resumed normally and the issue stands resolved.</t>
  </si>
  <si>
    <t xml:space="preserve">Tg alert
INC15197937
Alert96797931 </t>
  </si>
  <si>
    <t>Symptom:
1)EndpointMessageListener [orionpacs-service-canary]
ECAF_PACS-OverallAvgResponseTime&gt;1500ms
Alert time:2025-07-16 14:40 Hrs
Incident:TG alert
2)ECAF TOTAL TIMEOUT EXCEPTION
 High rate of Timeout exceptions in ECAF for Service : oriondedupe-service
Alert time:2025-07-16 14:47 Hrs
Incident:Alert96797931
3)ECAF_PREPAID_EKYC_MILESTONE_ORACLE
PREPAID_EKYC_MILESTONE dedupe_success having high count
Current Value : 276.0
Alert time:2025-07-16 14:50 Hrs
Incident:INC15197937,INC15197935</t>
  </si>
  <si>
    <t>7/16/2025  2:40:00 PM
7/16/2025  2:50:00 PM
7/16/2025  2:47:00 PM</t>
  </si>
  <si>
    <t>7/16/2025  4:32:00 PM
7/16/2025  3:25:00 PM
7/16/2025  2:56:00 PM</t>
  </si>
  <si>
    <t xml:space="preserve">Activation delayed for 288 orders </t>
  </si>
  <si>
    <t>INC15208715</t>
  </si>
  <si>
    <t>Users were unable to login ARCOS intermittently.</t>
  </si>
  <si>
    <t>In this issue, DB team identified that internal application API queries were causing an increase in active sessions, leading to intermittent login failures in ARCOS. To mitigate the issue, ARCOS team shifted traffic from N2 to N1, and DB team switched the database node from 10.241.162.121 to another node 10.241.162.123., but session buildup reoccurred on the new node. However, the sessions were automatically cleared after some time, and services stabilized without manual intervention.</t>
  </si>
  <si>
    <t>P4
P2</t>
  </si>
  <si>
    <t>INC15208101
Alert96841408,Alert96841669,Alert96842133</t>
  </si>
  <si>
    <t>Direct
1)MySQL_Server has slow queries on 10.241.162.121
Alert time:2025-07-17 10:38 Hrs
Incident:INC15208101
Symptom
1)Multiple Arcos URL Web Test Failure Alert
Alert time:2025-07-17 10:37 Hrs
Incident:Alert96841408,Alert96841669,Alert96842133</t>
  </si>
  <si>
    <t>7/17/2025   10:38:00 PM
7/17/2025  10:37:00 PM</t>
  </si>
  <si>
    <t>7/17/2025  11:03:00 PM
7/17/2025  10:44:00 PM</t>
  </si>
  <si>
    <t>Multiple users were unable to login ARCOS.</t>
  </si>
  <si>
    <t xml:space="preserve"> Latency was observed while uploading the call recordings for few customers and  impacting downloading intermittently. </t>
  </si>
  <si>
    <t xml:space="preserve"> Issue retriggered where few customers of Nova IQ_Voice experienced latency of 10–15 minutes while uploading call recordings. While troubleshooting, a case was  raised with the Storage (NetApp) team to fix this. Further, to restore, Cassandra services was stopped on Node 6, post which no latency was observed. Currently, system is under continuous monitoring and analysis is in progress with NetApp for the same.</t>
  </si>
  <si>
    <t>INC15210403</t>
  </si>
  <si>
    <t>1)IQ S3 Download Failures alert | Count : 2200.2
Alert time:2025-07-11 13:54 Hrs
Incident :INC15210403</t>
  </si>
  <si>
    <t xml:space="preserve"> Delhivery customers were facing intermittent issue with CDR Recording.</t>
  </si>
  <si>
    <t>INC15215002</t>
  </si>
  <si>
    <t xml:space="preserve">Non -NovaTel recharges and utility bills via Nova App was impacted </t>
  </si>
  <si>
    <t xml:space="preserve"> In this issue, NovaTel Payment Bank team made a port change from https://consumers-rnm.int.novabank.com:5050 to 5151, due to which DPS/Selfcare services started facing issues. To address this, DPS/Selfcare team shared their source IPs for whitelisting, which NFB team processed accordingly. Once the IPs were whitelisted, the DPS/Selfcare team repointed the service to the new port (5151) and initiated a sequential restart of the application pods. After restarting all the servers, the service started functioning normally. Currently, the system is stable and under monitoring. The issue stands resolved. </t>
  </si>
  <si>
    <t xml:space="preserve">P1
P1
P1
P1
</t>
  </si>
  <si>
    <t>INC15209327
INC15209353
Alert96793912 ,Alert96862442(Fluctuating)
 Alert96862442</t>
  </si>
  <si>
    <t>1)DPS_PG_Service
High 502 Failure for NFB-UPI-PAYMENT-ENQUIRY-ADAPTER
Alert time - 2025.07.17 12:28(Fluctuating)
Event no - INC15209327
2)DPS_APB_SERVICE
High 429 Failure for PAYMENT-REQ-ID
Alert time - 2025.07.17 12:29(Fluctuating)
Event no - INC15209353
3) 4XX  Channel-Backend-Alerts-NovaTel_selfcareV1
API- /services/common/recharge/order-details/BBPS_V2/RECHARGE 
Alert time - 2025.07.17 12:52
Event no - Alert96793912 ,Alert96862442(Fluctuating)
4)5XXFailurin10Minute|selfcareV1|
API : /services/common/recharge/order-details
Alert time - 2025.07.17 17:59
Event no - Alert96862442</t>
  </si>
  <si>
    <t>2025-07-17 12:28:23
2025-07-17 12:29:08
2025-07-16 12:52:23
2025-07-17 17:59:13</t>
  </si>
  <si>
    <t>2025-07-17 12:38:28
2025-07-17 12:39:13
2025-07-16 13:02:18
2025-07-17 18:04:03</t>
  </si>
  <si>
    <t xml:space="preserve"> 2500 Transactions</t>
  </si>
  <si>
    <t>INC15218269</t>
  </si>
  <si>
    <t>Rating process was impacted for Particular FX 3.0.</t>
  </si>
  <si>
    <t>In this issue, FX3 server (10.14.59.84) rebooted during the night, after which the Application team faced startup errors. DB connection was found to be established, but the app still failed to start. Further, it was observed that listener went down for FXPDCU85 which triggered the issue and the Rating team isolated the CU85, post which services resumed normally and the issue stands mitigated.</t>
  </si>
  <si>
    <t>INC15218102
INC15218047
INC15218617</t>
  </si>
  <si>
    <t>Direct 
1)The database status is UNKNOWN
N1VL-PD-BTFCU85 10.13.57.21 
Alert time :2025-07-18 03:14 Hrs
Event NO :INC15218102
2)ping response on IP 10.14.59.84 is down error message 
"ping timeout"_10.14.59.84
Alert time :2025-07-18 03:05 Hrs
Event NO :INC15218047 
3)The database status is UNKNOWN
Node:n1vl-pd-btfcu61 10.14.59.84 
Alert time :2025-07-18 04:19 Hrs
Event NO :INC15218617</t>
  </si>
  <si>
    <t>2025-07-18 03:14
2025-07-18 03:05
2025-07-18 04:19</t>
  </si>
  <si>
    <t>7/18/2025 8:29
7/18/2025 3:46
7/18/2025 7:19</t>
  </si>
  <si>
    <t>Rating services impacted.</t>
  </si>
  <si>
    <t>INC15220121</t>
  </si>
  <si>
    <t>CC advisors were unable to fetch bill details in Service Portal for black customers.</t>
  </si>
  <si>
    <t>In this issue, Service Portal team was getting failures from Homes API (getHomesProfile). During troubleshooting, it was identified that response time &amp; load average was high at Homes end. However, issue got auto-resolved without any technical intervention.</t>
  </si>
  <si>
    <t>INC15219815
Alert96892194
INC15219730
INC15219737
INC15219907
Alert96892370</t>
  </si>
  <si>
    <t>Symptom:
1)5XXFailurein10Minutes| cx_billing | Threshold : 1.5% | API : /bills
Alert time - 2025.07.18 07:28 Hrs
Event No - INC15219815 
2)90Percentile10minutes|selfcareV1|/pay/fetch-bill/NovaTelBLACK 
Threshold : 1500 | API : /pay/fetch-bill/NovaTelBLACK
Alert time - 2025.07.18 07:38Hrs
Event no - Alert96892194
3)OneNova-Digital Customer Experience Journey-Homes-OverallAvgResponseTime_ResponseTime is greater than 200ms
Alert time - 2025.07.18 07:41Hrs
Event No - INC15219730
4)HOMES_OneNova-Digital Customer Experience Journey-Homes-BT_/payment-manage/homes_ResponseTime is greater than 500ms
Alert time  - 2025-07-18 07:41 Hrs
Event no - INC15219737
5)sp_multitenant_api_failure_percent||High Failure in last 10M  Total Count : 843  Failure Count : 366  Failure % : 43.42
 URL : http://internal-kong.india.novatel.internal/cx/billing/bills
Alert Time - 2025.07.18 07:42 Hrs
Event No - INC15219907
6)sp_multitenant_api_failure_percent||High Failure in last 10M  Total Count : 257  Failure Count : 72  Failure % : 28.02 
URL : http://dtinternalkong.india.novatel.internal/fawkes/s2s/v1/black/profile
Alert time - 2025.07.18 07:45Hrs
Event No - Alert96892370</t>
  </si>
  <si>
    <t>7/18/2025 7:28
7/18/2025 7:38
7/18/2025 7:19
7/18/2025 7:20
7/18/2025 7:42
7/18/2025 7:45</t>
  </si>
  <si>
    <t>7/18/2025 8:02
7/18/2025 7:41
7/18/2025 7:36
7/18/2025 7:35
7/18/2025 8:02
7/18/2025 7:50</t>
  </si>
  <si>
    <t>Service Portal Success Hits: No Dip (D vs D-5: 1198 vs 368: - 830).</t>
  </si>
  <si>
    <t>NovaWorks, Nova IQ_SMS, Arcos, Careshark, Nokia OSS - GIS, Service Portal</t>
  </si>
  <si>
    <t>INC15223475</t>
  </si>
  <si>
    <t>Multiple Application Services hosted in N1 were disrupted.</t>
  </si>
  <si>
    <t>In this issue, Multiple services observed disruptions as production Firewall was having high utilization due to a surge in traffic. Further, to resolve this issue, Nova App team shifted their traffic to 70:30 in N2:N1 and 100% traffic was moved to N2 for ARCOS to mitigate ARCOS issue, post which utilization went down and the services became normal.</t>
  </si>
  <si>
    <t xml:space="preserve">Primary Root Cause:
Leg 01 – Specification 
Q1. Why service disruption observed for multiple applications hosted in Sector 62 DC? 
A1. Because high utilization on Sector 62 DC production firewall led to increased response times and outages across multiple applications, impacting Broadband installation orders (FTTH + MOP), Call Center operations, SR/FTR and ARCOS services. As a result, key customer experience journeys across Broadband (Activations/Installations), IQ, Postpaid, Prepaid and DTH segments adversely affected. 
Q2. Why Sector 62 DC firewall experience high utilization? 
A2. Because a sudden and unanticipated surge in traffic generated by Darts 2.0 application, which routed through the Sector 62 DC production firewall. This spike in data flow significantly exceeded the firewall’s handling capacity, resulting in high resource utilization and degraded performance across dependent applications. 
Q3.Why Darts 2.0 application generate such a traffic surge? 
A3. Because the UCM application executed a large-scale data ingestion job during its testing phase, transferring a significant volume of data from the pre-production environment to the Darts 2.0 production environment. This activity, intended to support report building in Darts 2.0, generated an unexpected spike in traffic. Since the data flow, pass through the production firewall, it led to excessive utilization. 
Q4. Why data ingestion job lead to service disruption? 
A4. Because the firewall’s throughput capacity had increased to support testing activities, which unintentionally allowed excessive traffic from the UCM ingestion job to pass through without restriction. This caused the firewall to exceed its operational limits, leading to high resource consumption and triggering an outage that affected multiple applications relying on the same firewall.
Leg 02 – Detection
Q1. Why high utilization of firewall not detected proactively? 
A1. Because although an alert for high firewall utilization was generated at 09:43 AM, but no immediate action was taken. These types of alerts are common and in this case, it was not treated as critical, which delayed the response. 
Q2. Why no proactive action taken after the alert was generated? 
A2. Because the alert was configured with low priority. As a result, the network operations team overlooked it. This occurred due to the absence of a well-defined alert management framework—alert thresholds and severity levels were not aligned with business impact and there was no mechanism in place to prioritize or escalate alerts related to production-critical services. 
Q3. Why was ingestion job allowed to run in production environment during testing? 
A3. Because the UCM application required access to the Darts 2.0 production environment for report validation. However, no controls or restrictions were in place to prevent test-related traffic from reaching production systems. 
Q4. Why were there no restrictions or validations for cross-zone traffic during test activities? 
A4. Because network segmentation policies were not enforced, and no governance mechanism existed to restrict or properly route test environment traffic away from the production infrastructure.
Leg 03 – Systemic Failure
Q1.Was the firewall limitation known before the incident? 
A1. Yes, the firewall capacity constraint at Sector 62 DC was a known issue. The firewall was operating with a 70 Gig throughput limit and an upgrade to 400G was already planned and underway but not completed at the time of the incident. 
Q2.Why were the pre-production and production environments not segregated for Darts2.0 application? 
A2. Because the existing network architecture lacked enforced segmentation policies. There was no dedicated routing mechanism between the pre-production and production environments, which allowed unrestricted cross-zone traffic and contributed to the production firewall overload.
Preventive Actions: 
• Implement rate limiting for network traffic. – Deepak (Open)
• Design and implement dedicated routing mechanism between pre-prod and prod to avoid cross zone traffic volume. - Deepak (Open)
• Upgrade N1 DC firewall to 400 Gig. - Deepak (Closed)
• Define and configure alert priorities for firewall utilization. – Deepak (Open)
• Initiate QoS (Quality of Service) implementation across the network layer. - Deepak (Open)
• Perform Riverbed testing to build an end-to-end network structure. – Deepak (Open)
</t>
  </si>
  <si>
    <t>PRB0044523</t>
  </si>
  <si>
    <t>Nova IQ, Digital Acquisition, Digital Experience B2C, Broadband, DC Infra</t>
  </si>
  <si>
    <t>P2
P1
P1
P1
P1
P1
P1
P1</t>
  </si>
  <si>
    <t>INC15220052
INC15221769
Alert96899567, Alert96899747, Alert96900026
INC15221926
Alert96899899
INC15222027
INC15222156
INC15222240</t>
  </si>
  <si>
    <t>Direct:
1) Problem : High Receive Percent Utilization
Device Name: BAL-NOIDA-SEC62-1B-FPR-4145-SEC
Device IP: 10.222.23.91
Component Name = Ethernet1/1, 1/2,1/3,1/4
Alert Start Time: 18/07/2025 9:52
Event No: INC15220052
Symptom:
1)NovaTel_IQ_Voice_HA-Enterprise Customer Promotional Call Journey-Overall_Response_Time&amp;gt;500ms_Sev-1
Alert Start Time: 18/07/2025 11:27
Event No: INC15221769
2) Host Name : Acquisition_B2B Health Check
URL : http://10.222.175.154:8008/user-review/actuator/health
URL : http://10.222.175.151:8008/user-review/actuator/health
Alert Start Time: 18/07/2025 11:29
Event No: Alert96899567, Alert96899747, Alert96900026
3)Orders stuck at Tag change State - FTTH broadband orders
Host Name : NovaTel_Works alerts for Broad Band Journey
INSTANCE : 10.5.31.145:9091
Alert Start Time: 18/07/2025 11:36
Event No: Alert96899818
4) High 503 failure in last 5 min from below API on  common-internal-kong-with-gtm
Kong Server IP :- 10.223.160.223
API :- /careshark-reverseproxy/action/message/agent/reply
Alert Start Time: 18/07/2025 11:37
Event No: Alert96899899
5) Alert Name:90thPercentilein10minutes| cx_Network | /router/ssids||90th Responce time | /router/ssids
API : /router/ssids
Alert Start Time: 18/07/2025 11:43 Hrs
Event No: INC15222027
6) Host Name : Arcos_url_monitoring
URL : https://10.223.14.17:443
URL : https://10.223.14.18:443
Alert Start Time: 18/07/2025 11:54
Event No: Alert96900601
7) 12_13 Difference in AW and Nokia count in last 1 hr
Host Name : AW Nokia mismatch count
Alert Start Time: 18/07/2025 12:04 Hrs
Event No: INC15222240</t>
  </si>
  <si>
    <t>7/18/2025 9:52
7/18/2025 11:27
7/18/2025 11:29
7/18/2025 11:36
7/18/2025 11:37
7/18/2025 11:43
7/18/2025 11:54
7/18/2025 12:04</t>
  </si>
  <si>
    <t>7/18/2025 12:28
7/18/2025 12:03
7/18/2025 11:32
7/18/2025 12:51
7/18/2025 11:42
7/18/2025 12:03
7/18/2025 12:05
7/18/2025 12:43</t>
  </si>
  <si>
    <t>731 Broadband install orders.</t>
  </si>
  <si>
    <t>INC15224030</t>
  </si>
  <si>
    <t>In this issue, HB_CRM team observed slowness due to there was some patching activity (CHG0187115) which took place yesterday, which triggered the issue. To resolve it, HB_CRM team isolated node 2, post which issue stands resolved.</t>
  </si>
  <si>
    <t>INC15221983
INC15222243,INC15222242,INC15222241</t>
  </si>
  <si>
    <t>Symptom
1)HB CRM SERVER COMP Alert WPM_NWMOSRAW greater than 90%|Trigger Value: 100
Alert time:2025-07-18 11:39 Hrs
Incident:INC15221983
2)Multiple HB_CRM APIs RT
a)URI: /HBCRM/app/ecom/enu
b) URI:/siebel/v1.0/service/HUMBDServices/CreateOrde
Alert time:2025-07-18 12:03 Hrs
Incident:INC15222243,INC15222242,INC15222241</t>
  </si>
  <si>
    <t>7/18/2025 11:39
7/18/2025 12:03</t>
  </si>
  <si>
    <t>7/18/2025 12:09
7/18/2025 12:26</t>
  </si>
  <si>
    <t>CHG0187115</t>
  </si>
  <si>
    <t>INC15223597</t>
  </si>
  <si>
    <t>CC advisors were unable to raise FTR for broadband LOB.</t>
  </si>
  <si>
    <t>In this issue, Service Portal team was receiving errors from Selfcare_B2C. Upon investigation, Selfcare_B2C team found that the issue originated from HB_CRM end due to database connection loss errors were seen. To resolve it, HB_CRM team performed a component refresh for the impacted services, after which the issue was resolved.</t>
  </si>
  <si>
    <t>INC15222593
INC15222729
Alert96904917</t>
  </si>
  <si>
    <t>Symptom:
1)sp_guardian_raiseFTRViaCX_failure
 High Failure in last 10M  Total Count : 3403   Failure Count : 883  Failure % : 25.95 
Alert time : 2025.07.18 12:29 Hrs  
Event no : INC15222593
2)5XXFailurein10Minutes| cx_complaints | /v1/ftr||5XX | /v1/ftr
Failure count : 1861
Alert time : 2025.07.18 12:44 Hrs  
Event no : INC15222729
3)Sable URI Response Alert
URI_PATH : /siebel/v1.0/service/HUMBDServices/SRCreate
Alert time : 2025.07.18 13:43 Hrs  
Event no : Alert9690491</t>
  </si>
  <si>
    <t>7/18/2025 12:29
7/18/2025 12:44
7/18/2025 13:43</t>
  </si>
  <si>
    <t>7/18/2025 12:47
7/18/2025 13:22
7/18/2025 13:48</t>
  </si>
  <si>
    <t>Service Portal Success Hits: (D vs D-7: 4427 vs 5460: 1033 is 18.9%).</t>
  </si>
  <si>
    <t>Arcos, Hive, Netcool, Remedy, ServiceNow</t>
  </si>
  <si>
    <t>INC15224833</t>
  </si>
  <si>
    <t>Arcos, SNOW, Remedy, Netcool. Hive applications were inaccesible via zscaler.</t>
  </si>
  <si>
    <t>In this issue, Multiple users reported that ARCOS was not accessible. Upon investigation, team identified that the issue was observed while accessing the applications via zscaler. To resolve this, Network team isolated the problematic PSE node for Noida post which the issue got resolved.</t>
  </si>
  <si>
    <t>UNOC, DC Infra, IntOps</t>
  </si>
  <si>
    <t>Arcos, SNOW, Remedy, Netcool. Hive applications were inaccesible</t>
  </si>
  <si>
    <t>Service Portal, Selfcare_B2C, NovaWorks</t>
  </si>
  <si>
    <t>INC15225708</t>
  </si>
  <si>
    <t>CC advisors were not able to check link status for broadband customers along with broadband installation was impacted.</t>
  </si>
  <si>
    <t>In this issue, Service portal team reported that, few errors were recieved from HB_ATOM. DBA team identified long running sessions for a query, which was killed, post which some improvement was observed, but the issue retriggered as query load got increased. It was identified that, some issue was observed on both DB nodes of HB_ATOM. To mitigate the issue, Node 1 DB was brought down and then up again by DBA while Node 2 was unreachable, post which the issue got resolved. Later, node 2 also got auto-rebooted and got accessible but was isolated to avoid any further issues.</t>
  </si>
  <si>
    <t xml:space="preserve">Primary root cause:
Specification Leg-01
Q1: Why there was an instance of service degradation in Broadband Customer Experience journey’s?
Ans: Because, CC advisors were not able to retrieve the router/link details of broadband customer as getting error link status NA, along with that FE’S were not able to complete broadband installations task as orders were getting stuck at task1.This affects the aforementioned journeys. 
Q2: Why link status was showing NA and broadband installations task as orders were getting stuck?
Ans: Because, multiple upstream applications(Service Portal, NovaWorks, Selfcare_B2C) was getting failure from their downstream application HB_ATOM as it was getting a sluggish response from underline database system.
Q3: Why there was a sluggish response observed from underline database system?
Ans:  Further discussion with database team explore that, database nodes were experiencing performance issues as there was a high number of session approx. 9000 sessions was observed which degraded the query service response time and resulted the failure to upstream systems.
Q4: Why there was high numbers of sessions were getting pileup over database?
Ans: After more conversation with the DBA team ,they explain that several GC and wait events (locking, halting, sequential read of DB files, and sync issues with log files) was observed led to sessions pileup over databases. After the team ended the lengthy session, things settled, but then it happened again, and almost 6000 sessions piled up hence, team decided to down first node and move services to secondary node however, it’s not sustain.
Q5: Why there was several GC and wait events observed for database?
Ans: Because, during investigations it was identified that some link reset error observed on secondary node form underline storage system which cause this issue. Storage team further explain that, the link reset error was first came around 5 to 7times and further around 15:30 &amp; 16:00 and this time count was quit higher side .
Q6: Why database services not get sustain over secondary database instance.
Ans: HB_Atom services working in active- active mode and once primary node bounce was taken services automatically moved to secondary node but since there was already an issue with one of the HBA card reoccurring multiple times it’s also not get sustain.
Detection Leg- 02 
Q7- Why this HBA issue over secondary node not get arrested proactively?
Ans: As per discussion with storage team we got to know that link reset alert were already configured in the system however, it not get generated. Team check the error logs however, wrt to link reset there were specific error seen even on switch as well. Since alert never reach to BNA tool ticket not get generated in service now and not get address proactively.
Q8: Why direct/symptoms alert were not get generated and reach to BNA tool?
Ans: Discussion further explain that , This is one of legacy generation-5 SAN director and it’s replacement already in pipeline(today) with generation-7 they can’t investigate more over same hence actual cause of this missing alert not get identified.
Systemic leg-03
Q1: Why HBA get faulty and led to overall outage in the system?
Ans: In a server environment, HBA, or Host Bus Adapter, is a hardware component that acts as an interface between a server and storage devices (like hard drives, SSDs, or storage arrays) or networks. It enables the server to communicate with these devices, facilitating data transfer and storage operations. Since this is a hardware device it may fail at any time and in this case HBA which had issue never came up. Along with that it’s a legacy INFRA which replacement is already schedule.
Observations:
• Overall mitigation took longer, and no direct symptoms notifications were generated. 
• This was one of the pending legacy Gen5 swaps that is already in the refreshment phase with Gen7; the refreshment is scheduled for Monday.
Preventive Actions:
• The Gen5 to Gen7 refreshment, which will provide more reliable performance and close alerting gaps, is now underway and will be finished for 62DC on Monday. Adil Open
</t>
  </si>
  <si>
    <t>PRB0044524</t>
  </si>
  <si>
    <t>INC15224324,INC15224326,INC15224327,INC15224332,INC152
Alert96908961,Alert96909013,Alert96909032
INC15224402</t>
  </si>
  <si>
    <t>1)Multiple sp_multitenant_api_failure_percent
URL : https://hbatomdn-prod.novatel.example/routermanagement/getCpeStatus
Alert time: 2025.07.18   15:10 (fluctuating)
Event no :INC15224324,INC15224326,INC15224327,INC15224332,INC15224356
2)Multiple Channel-Backend-Alerts-cx-network 5XXFailurein10Minutes| 
API : /router/credentials
Alert time: 2025.07.18   15:22 (fluctuating)
Event no:Alert96908961,Alert96909013,Alert96909032
3)NovaTel_Works alerts for Broad Band Journey Pendency alert for component MDU_Task_2
Threshold: 50,Current Value : 54.0
Alert time: 2025.07.18   15:16
Event no:INC15224402</t>
  </si>
  <si>
    <t xml:space="preserve">2025-07-18 15:11:18
2025-07-18 15:22:03
2025-07-18 15:16:13
</t>
  </si>
  <si>
    <t xml:space="preserve">2025-07-18 15:21:18
2025-07-18 15:57:31
Open 
</t>
  </si>
  <si>
    <t>1000 new install orders stuck at task 1
Service Portal Success dip: 24950 (D vs D-7: 4123 vs 29073) is 86%</t>
  </si>
  <si>
    <t>Postpaid Customer Experience Journey, Broadband Customer Experience Journey</t>
  </si>
  <si>
    <t>INC15225594</t>
  </si>
  <si>
    <t>NON-INSTANT SMS delivery was impacted.</t>
  </si>
  <si>
    <t xml:space="preserve">In this issue, Non-Instant SMS were impacted as the consumption rate was fluctuating at consumer (CLM) end, resulting in spooled messages at ESB. To resolve this, refresh was taken for Response queue by CLM team, post which pendency started clearing and issue got resolved. </t>
  </si>
  <si>
    <t>INC15225259</t>
  </si>
  <si>
    <t>1)Darts CLM Solace Queue 0 Bind Count
QUEUE : CLMNrtReqBilSolValSuccQ
Alert time - 2025.07.18 16:22
Event no - INC15225259</t>
  </si>
  <si>
    <t>11 lakh (Postpaid+broadband)</t>
  </si>
  <si>
    <t>DTH_OE, IPTV</t>
  </si>
  <si>
    <t>INC15246889</t>
  </si>
  <si>
    <t>IPTV orders activation was stuck.</t>
  </si>
  <si>
    <t>In this issue, it was observed that activation of IPTV orders were stuck. Further, it was identified that orders were stuck as services were experiencing timeout from DTH_Vector end and to resolve this, DTH Vector team took a service refresh at their end, post which services resumed normally.</t>
  </si>
  <si>
    <t>DTH, Xstream</t>
  </si>
  <si>
    <t xml:space="preserve">Alert96999707 ,Alert97000131,Alert97000140
Alert96997499,Alert96997762
Alert96997049 </t>
  </si>
  <si>
    <t>1)Multiple Service epg-service had high p99latency over 1m - [ var='A' labels={} value=265.42260302662726 ], [ var='C' labels={} value=1 ]msSev-3 Current Value : 28.0
Alert Time:2025-07-20 07:03Hrs (Fluctuating )
Event No:Alert96999707/Alert97000131/Alert97000140
2) Multiple Service sms-service %xx count over 1m - [ var='A' labels={} value=5.166666666666669 ], [ var='C' labels={} value=1 ]Description: Service sms-service %xx count over 1m - [ var='A' labels={} value=5.166666666666669 ], [ var='C' labels={} value=1 ] 
Alert Time:2025-07-20 07:20Hrs (Fluctuating )
Event No:Alert96997499/Alert96997762 /Alert96998066
3)Multiple Service sms-service had high p99latency over 5m - [ var='A' labels={} value=1266.2303307108045 ], [ var='C' labels={} value=0 ]ms
Alert Time:2025-07-20 07:02Hrs (Fluctuating )
Event No:Alert96997049</t>
  </si>
  <si>
    <t>7/20/2025  8:33:18 AM
7/20/2025  8:48:18 AM
7/20/2025  8:48:18 AM
7/20/2025  7:18:00 AM
7/20/2025  7:28:00 AM
7/20/2025  7:02:00 AM</t>
  </si>
  <si>
    <t>7/20/2025  8:38:00 AM
7/20/2025  9:43:00 AM
7/20/2025  9:43:00 AM
7/20/2025  7:23:00 AM
7/20/2025  7:33:00 AM
7/20/2025  7:07:00 AM</t>
  </si>
  <si>
    <t>50+ orders.</t>
  </si>
  <si>
    <t>INC15247725</t>
  </si>
  <si>
    <t>Users were unable to login into PNI Application.</t>
  </si>
  <si>
    <t xml:space="preserve">In this issue, users were unable to do new site onboarding or any modification on site in PNI application. While troubleshooting, it was identified that port reachability via VDI was impacted due to overlapping of firewall policies. To restore this, Firewall team resolved the policy conflict on VDI and connectivity was restored, post which the issue got resolved. </t>
  </si>
  <si>
    <t xml:space="preserve"> No dip in orders. </t>
  </si>
  <si>
    <t>eCAF_Sim Swap, PACS</t>
  </si>
  <si>
    <t>INC15249819</t>
  </si>
  <si>
    <t>Prepaid SimSwap activation for West Circle were impacted intermittently.</t>
  </si>
  <si>
    <t>In this issue, Prepaid simswap activation was impacted for West circle,as ECAF was getting error from PACS end. To mitigate the issue, Prepaid WAS team took Service restart of eCAF_SimSwap warfile, post which improvement was observed and issue got resolved for new cases. For the pendency, as per the confirmation from business, eCAF team will repush the unique cases.</t>
  </si>
  <si>
    <t xml:space="preserve">TG alert </t>
  </si>
  <si>
    <t>1)Failure rate increase
20.4 requests/min impacted
by a failure rate increase to 39 %
Alert time :2025-07-20 10:03 Hrs
Event NO :Tg alert
2)Multiple Web request service impacted 
Failure rate increase
23.8 requests/min impacted
by a failure rate increase to 83 %
Service method
westmserver1 (/iPACS)
westmserver2 (/iPACS)
westmserver3 (/iPACS)
westmserver4 (/iPACS)
westmserver7 (/iPACS)
Alert time :2025-07-20 10:10 Hrs
Event NO :Tg alert</t>
  </si>
  <si>
    <t>7/20/2025  10:10:03 AM
7/20/2025  10:10:18 AM</t>
  </si>
  <si>
    <t>7/20/2025  15:35:00 PM
open</t>
  </si>
  <si>
    <t>Prepaid simswap Success dip- (D vs D-7: 4094 vs 8214= 4120) is 50%</t>
  </si>
  <si>
    <t>INC15265336</t>
  </si>
  <si>
    <t>In this issue, it was identified that prepaid activation orders were getting stuck at ev_success. To resolve the issue, eCAF team restarted the pods for orion mobile API post which no errors were observed and the issue got resolved.</t>
  </si>
  <si>
    <t>INC15256441</t>
  </si>
  <si>
    <t>1)Prepaid milestone pendency for ev_success is more than 100 in last 15 min
Host Name : Milestone_pendency_prepaid_ecaf
Sev-2 Current Value : 120.0
Alert time :2025-07-21 08:16 Hrs
Event NO :INC15256441</t>
  </si>
  <si>
    <t xml:space="preserve"> 526 prepaid order pendency at EV Success</t>
  </si>
  <si>
    <t xml:space="preserve"> INC15260065</t>
  </si>
  <si>
    <t>CC Advisors were unable to view channels OTT contents on Service Portal for DTH LOB.</t>
  </si>
  <si>
    <t xml:space="preserve"> In the ongoing process of rectifying the issue with respect to irrelevant scenario in OTT content , CE team unknowingly removed a relevant scenario which triggered this issue. To restore, CE team made the relevant scenario live on Service Portal , post which the issue got resolved.</t>
  </si>
  <si>
    <t>INC15258234,INC15258269
INC15258495</t>
  </si>
  <si>
    <t>1)Hostname:SP_MT_RULE_FAILURE
sev-2 RULE_NAME:RULE_PING_CIRCUIT_FOR_CONNECTIVITY, 
Resolution Criteria:: Failure less than 40% OR Less than 50 hits, Rule Trigger Value: 45
Alert time :2025-07-21 11:14 Hrs
Event NO :INC15258234,INC15258269
2)DT_HOMES_API_FAILURE
Sev-3 Current Value : 100.0
URI_PATH : https://dtsiebel.novatel.example:8443/dt-siebel/postpaid/siebel/getPaymentHistoryV2
Alert time :2025-07-21 11:36 Hrs
Event NO :INC15258495</t>
  </si>
  <si>
    <t>7/21/2025  11:14
7/21/2025  11:36</t>
  </si>
  <si>
    <t>7/21/2025  11:34
7/21/2025  11:46</t>
  </si>
  <si>
    <t>scenario count: 3115(D vs D-7 : 592 vs 3707).</t>
  </si>
  <si>
    <t>INC15261234</t>
  </si>
  <si>
    <t xml:space="preserve"> Broadband installation orders were impacted.
</t>
  </si>
  <si>
    <t>In this issue, broadband installation orders for tag change were impacted since queue was high due to bulk order flow, order processing was slow at Nokia_OSS GIS end, which triggered the issue. However, without any technical intervention issue got resolved.</t>
  </si>
  <si>
    <t>Alert97060450/Alert97060451
INC15259660 /Alert97060509</t>
  </si>
  <si>
    <t>1)Orders stuck at Tag change State - FTTH broadband orders
Host Name : NovaTel_Works alerts for Broad Band Journey
Sev-3 Current Value : 145.0
Alert time :2025-07-21 13:11 Hrs
Event NO :INC15259660 /Alert97060509
2)Average of Queue monitoring length in last 1 Hr
Host Name : GIS_queue_monitoring_length Elastic
Sev3 Current Value : 268.0
Alert time :2025-07-21 13:15 Hrs
Event NO :Alert97060450/Alert97060451</t>
  </si>
  <si>
    <t>7/21/2025  13:15
7/21/2025  13:11</t>
  </si>
  <si>
    <t>7/21/2025  13:32
7/21/2025  13:31</t>
  </si>
  <si>
    <t>347 orders</t>
  </si>
  <si>
    <t>Prepaid activation orders were getting delayed for West Hub.</t>
  </si>
  <si>
    <t>In this issue, it was identified that prepaid activation orders were getting stuck at Dedupe_success. It was observed that the DB went unresponsive, however, during the course of troubleshoot, the DB started responding, without any technical intervention. Post this, pendency started clearing and issue got resolved.</t>
  </si>
  <si>
    <t>INC15260972, INC15260963, INC15260964
TG Alert</t>
  </si>
  <si>
    <t>Symptom:
1)Multiple Ecaf Alert
Prepaid milestone pendency for dedupe_success is more than 100 in last 15 min 
Current Value : 726.0
Alert Start Time: 21/07/2025 15:05 Hrs
Event No: INC15260664, INC15260963, INC15260966
2) Failed database connects 0 requests/min impacted
Service method: Oracle - ipacwest
Alert Start Time: 21/07/2025 15:24 Hrs
Event No: TG Alert</t>
  </si>
  <si>
    <t>7/21/25  15:03
TG Alert</t>
  </si>
  <si>
    <t>7/21/25  15:33
TG Alert</t>
  </si>
  <si>
    <t>857 prepaid order pendency at Dedupe_Success</t>
  </si>
  <si>
    <t>BTFLY_KCI, DNC</t>
  </si>
  <si>
    <t>INC15273611</t>
  </si>
  <si>
    <t xml:space="preserve">Postpaid and Broadband SMS delivery (Instant/Non-Instant KCI) is stuck in BTFLY_KCI application. </t>
  </si>
  <si>
    <t>In this issue, it was identified that BTFLY_KCI was not receiving response from the CLM end, which caused a delay in Instant KCI SMS delivery for Broadband and Postpaid. During troubleshooting it was identified that solace queue MSGVPN_REPLICATION_DATA_QUEUE at ESB end was full, due to which multiple jobs for CLM failed, and issue got triggered. To mitigate the issue, ESB team stopped the replication for the inactive consumers due to which queue pendency was increasing. Post which CLM team started their jobs and issue got resolved.</t>
  </si>
  <si>
    <t>INC15271807
INC15272063 /INC15272059</t>
  </si>
  <si>
    <t>Symptom:
1) instant SMS Check FX6_Cu1
Alert Start Time: 2025-07-22 10:06
Event No: INC15271807
2) UDP-KCI Pre-suspension KCI Milestone Alert
Alert Start Time: 22/07/2025 10:23
Event No: INC15272063 /INC15272059</t>
  </si>
  <si>
    <t>7/22/2025 10:06
7/22/2025 10:23</t>
  </si>
  <si>
    <t>7/22/2025 12:06
7/22/2025 10:56</t>
  </si>
  <si>
    <t xml:space="preserve"> Instant KCI : 39490</t>
  </si>
  <si>
    <t>INC15275898</t>
  </si>
  <si>
    <t>Postpaid provisioning was impacted.</t>
  </si>
  <si>
    <t>In this issue, an error was observed in the BTFLY ATOM database (ORA-14300: partitioning key maps to a partition outside maximum permitted number of partitions). On further analysis revealed that the issue originated due to services were enabled for N2, whereas the application was expected to operate solely on N1. To mitigate the issue, all services running on N2 were brought down by BTFLY_ATOM team, ensuring application traffic was routed through N1 only. Post this action, the error was no longer observed, and issue got resolved.</t>
  </si>
  <si>
    <t>INC15272397
INC15272422</t>
  </si>
  <si>
    <t>Symptom:
1) BTFLY ATOM OVERALL PENDING ALERT
Business Group : BTFLY_ATOM, PostPaid_Telemedia_All_ALert
Current Value : 3323.0
Alert Start Time: 22/07/2025 10:46
Event No: INC15272397
2) BTFLY_ATOM_OVERALL_FAILURE_ALERT
Alert Start Time: 22/07/2025 10:49
Event No: INC15272422</t>
  </si>
  <si>
    <t>7/22/2025 10:46
7/22/2025 10:49</t>
  </si>
  <si>
    <t>7/22/2025 11:28
7/22/2025 11:26</t>
  </si>
  <si>
    <t>2181 Orders</t>
  </si>
  <si>
    <t>INC15274630</t>
  </si>
  <si>
    <t>NovaTel users were unable to get UPC code and further MNP port-out requests were impacted.</t>
  </si>
  <si>
    <t xml:space="preserve"> In this issue, it was identified that Jupiter is getting connection timeout from syniverse and telecordia systems, due to which MNP portability was impacted. However issue got auto-resolved without any technical intervention.</t>
  </si>
  <si>
    <t>TG Alert
P3
P3</t>
  </si>
  <si>
    <t>TG Alert
INC15272880
INC15272801/INC15272813/INC15273501</t>
  </si>
  <si>
    <t>Symptom:
1) digitalacq_ecaf_dip_in_api_hits
URL : /kyc-misc/mnp/fetch-customer-data
Alert Start Time: 22/07/2025 11:27
Event No: TG Alert
2) The error rate increased to 17.24 %. Endpoint /api/v1/nms/msisdn/mnp has a failure rate increase.
Alert Start Time: 22/07/2025 11:29
Event No: INC15272880
3) The load decreased to 0.2 requests/min. Endpoint /AIWebServices/services/mnpservice has unexpectedly low load.
Alert Start Time: 22/07/2025 11:36 (Fluctuating)
Event No: INC15272801/INC15272813/INC15273501</t>
  </si>
  <si>
    <t>TG Alert
7/22/2025 11:29
7/22/2025 11:36</t>
  </si>
  <si>
    <t>TG Alert
7/22/2025 11:42
7/22/2025 11:49</t>
  </si>
  <si>
    <t>5800 Orders</t>
  </si>
  <si>
    <t>Nova IQ Voice Journey, Broadband Customer Experience Journey (Activation/Install), DTH Customer Experience Journey (Activation/Install)</t>
  </si>
  <si>
    <t>Nova IQ_Voice, NovaWorks</t>
  </si>
  <si>
    <t>INC15276321</t>
  </si>
  <si>
    <t>Overall call connectivity dip was observed  in Nova IQ_Voice alongwith click2call functionality was impacted in NovaWorks.</t>
  </si>
  <si>
    <t>In this issue, overall call connectivity dip was observed  in Nova IQ_Voice particularly for Voice1.0 customers (Just Dial, Havells, Indiamart etc.) alongwith click2call functionality was impacted in NovaWorks due to which field engineers were unable to make calls to customers. To mitigate, Nova IQ team shifted the traffic to 62 DC and took application restart post which improvement observed and issue got resolved.</t>
  </si>
  <si>
    <t xml:space="preserve">Primary root cause:
Specification Leg-01
Q1: Why there was an instance of service degradation in NovaIQ Voice and Broadband Customer Experience Journey?
Ans: Because, there was a significant drop in call connectivity, which affected the Voice traffic of  Multiple customers (only 1.0 application customer base) such as Just Dial, Havells, Indiamart and click2call functionality where, field executives were unable to initiate calls to customer via the NovaTel_ Works. Additionally, there was no on 2.0 customer base.
Q2: Why there was dip observed with NovaTel_IQ voice services?
Ans: Because, there were alerts for Kafka Cluster Lag and call connectivity drops. IQ team noticed increased  Kafka lag on the Voice manager services TopicName : vm_call_v2.voice.prod , which is responsible for executing call flows and Overall call traffic experienced a dip across both HA and PROD environments.
Voice Traffic Trend :-
Q3: Why the Kafka lag increased on voice-manager services ?
Ans:  Because, Further, IQ team troubleshooting revealed a log indicating a missing caller ID which was linked to a query execution issue. This query execution choked the voice-manager threads that increased the KAKFA cluster Lag.
Q4: Why threads were choking at voice-manager service ?
Ans: Further application logs analysis revealed, The issue occurred due to Pool CLI changes made by the SI team for a specific customer – YES_BANK_L_3FNW0XIrIJsjZGDYRjy2. The following MongoDB query was executed..
db.getCollection('callerIdPoolDoc').updateMany(
{ "customerId": "YES_BANK_L_3FNW0XIrIJsjZGDYRjy2" },
{ "$unset": { "seqId": 1 } }
Detection Leg- 02 
Q1: Why this query execution issue was not detected earlier before it become the outage?
Ans: Because, This is a regular BAU changes which SI team follow thru Jira ticket, however, due to a reckoning request from Yes Bank a change to replace all existing CLI with new ones, SI team did the change in business hrs. This query removed the seqId field from all records for the customer in the callerIdPoolDoc collection and the voice-manager service failed to fetch a valid sequence ID as pool has crossed the 300 retries of SQL id which choked voice-manager threads, leading to call failures and Kafka cluster lag.
Q2: Why the pool has crossed the 300 retries?
Ans, Because, when voice-manager service failed to fetch a valid sequence ID; reties were increased on MONGO DB and pool has capacity of 300 SQL ID that is handled by the application  .
Q3: Why the changes made for one particular customer impacted the other customer voice connectivity ?
Ans: Because, voice-manager is on shared MONGO DB. However, SI team executed pool CLI changes at 3:01 PM and ran unset query command at 3:18 PM another Set query completed by 3:30 PM; this 30 mins of delay in query execution command caused the issue; as the query should be processed within 1-2 min of changes made. This delayed CLI query execution caused excessive load on MONGO database interrupted the normal operation of other accounts' voice services that rely on the same infrastructure. However, issue got fixed post Existing CLI changes were rolled back from SI end for customer(YES_BANK_L_3FNW0XIrIJsjZGDYRjy2).
Systemic leg-03
Q1: Why there was a delay from SI Team to execute the query?
Ans: Because, this was a manual miss from SI team; earlier they were also unaware that both commands (unset and set CLI) should be completed within few mins of execution. However, it’s not advisable also to run the Unset query in business hours if you have shared infra for multiple customers. 
Q2: Why this issue didn’t occur in past when same query was executed multiple time in past?
Ans: Because, SI team ran this query in past also, but this is the first instance where the delay happened in completing the query.
Observations:
• This has been advised to IQ Team to follow the change management process for all customer-related configuration changes to prevent such outages and adhoc changes in future.
Preventive Actions:
• Ensure that no unset queries/or user impacting changes are executed during peak hours; such changes should be done in lean hours only. Open- (Abhishek)
• Migrate the top revenue-generating customer accounts including NovaTel_Works application, Yes Bank to the new platform 2.0. As new architecture has stable and higher performance system. It includes UI-based call flow creation and validations, reducing manual errors Open (Abhishek/Aman/ Suraj Bhandari)
</t>
  </si>
  <si>
    <t>PRB0044526</t>
  </si>
  <si>
    <t>Nova IQ, Digital Acquisition</t>
  </si>
  <si>
    <t>P3
P1
P1</t>
  </si>
  <si>
    <t>INC15275755
INC15275565
Alert97123170, INC15275682,Alert97123503,Alert97123171,INC15275725</t>
  </si>
  <si>
    <t>Symptom:
1) IQ Consumer Group Kafka Lag | TopicName : vm_call_v2.voice.prod
Alert time  - 2025-07-22 15:15 Hrs
Event No - INC15275755
2)IQCallbackurlsErroralerts | Trigger Value: 40 
Alert time - 2025-07-22 15:00Hrs
Event No- INC15275565
3)Multiple IQ Voice CDR |
 Connectivity_rate_Justdial 
Anomaly_Rate_Justdial 
Connectivity_rate_Indiamart
Connectivity_rate_Havells
Connectivity_rate_HDFC_TFN
Alert time - 2025-07-22 15:08 Hrs
Event No - Alert97123170, INC15275682,Alert97123503,Alert97123171,INC15275725</t>
  </si>
  <si>
    <t>7/22/2025 15:15
7/22/2025 15:00
7/22/2025 15:08</t>
  </si>
  <si>
    <t>Open
7/22/2025 16:00
7/22/2025 15:08</t>
  </si>
  <si>
    <t>Overall Answered Rate Dip: (D vs D-7: 15.2% vs 42%) = 26.9%.</t>
  </si>
  <si>
    <t>INC15304414</t>
  </si>
  <si>
    <t>Re-Configuration of existing customer's camera was impacted.</t>
  </si>
  <si>
    <t>In this issue, error was observed during the re-configuration process of existing customer's cameras when the device is non-functional. While debugging, application team confirmed issue with camera firmware. However, analysis with ezviz R&amp;D team is still ongoing. Meanwhile, as a workaround, application provided an SOP to the FSEs so that cameras can be reconfigured.</t>
  </si>
  <si>
    <t>31 Devices Impacted</t>
  </si>
  <si>
    <t>NFB-Utilities &amp; Recharges</t>
  </si>
  <si>
    <t>INC0537795</t>
  </si>
  <si>
    <t>NFB-Utilities application was experiencing issues with utilities and recharge.</t>
  </si>
  <si>
    <t xml:space="preserve"> In this issue NFB-Utilities application experienced issues with utilities and recharge services following the implementation of Change Request CHG0006466 by the ADL Team. Post-deployment, the affected services failed to come up, resulting in operational impact. Upon rolling back the change, the impacted nodes came up successfully, and the application resumed normal functioning.</t>
  </si>
  <si>
    <t>Utilities recharge impacted D Total count:138,883 D-7 Total count:295,289  (52.96%).</t>
  </si>
  <si>
    <t>CHG0006466</t>
  </si>
  <si>
    <t>DTH_IMS</t>
  </si>
  <si>
    <t>INC15289425</t>
  </si>
  <si>
    <t>DTH business reports delivery impacted</t>
  </si>
  <si>
    <t>In this issue, Business report delivery was impacted due to out-of-sync production and DR DBs, as some missing archives were identified during a previous sync. To mitigate this, DTH_IMS team changed the DB pointing from Prod to DR and reports were delivered to business from production DB. Further, to resolve this, DB team resynced DR with Prod DB and the services resumed normally.</t>
  </si>
  <si>
    <t>Hello Everyone, 
As per the inputs received, please find the Summary and Action Plans for PRB0044520 occurred on July 23, 2025 (DB DR Sync Issue).
Key Discussion Points –
•	Multiple LOB applications experienced Database DR lag issues.
•	Some DR environments auto-synchronize when latency is low, while others require manual intervention to restore missing archives.
•	FX 6.0 and DTH databases were notably impacted by DR sync delays.
•	DTH archive data required for reporting was missing and restored on July 23, 2025.
•	DBA team suspects MPLS bandwidth issues, particularly affecting FX 6.0 DR sync performance.
•	FX 6.0 DR sync was restored on July 28, 2025, after being reported on July 23.
•	Archival file sizing trends were normal, with no significant increase observed.
•	Brief TNS ping latency was noted at the network layer.
•	On July 25, Network team rerouted CU traffic via a secondary 10G MPLS and bypassed Bangalore firewall for the affected subnet.
•	Despite network-level changes, no immediate improvement was observed in FX 6.0 DR sync.
•	However, the issue resolved independently by July 28, making the root cause inconclusive, as symptoms varied across CUs.
Preventive Measures –
•	Required all FX DR DB sync needs to be shifted on replication link. – DBA Team (Gaurav Bansal)
•	NIC addition on required FX DB is already in progress under change plan (CHG0189274). – DCO (Jitender Sardana)</t>
  </si>
  <si>
    <t>PRB0044529</t>
  </si>
  <si>
    <t>INC15282060,  Alert97145647
INC15282059</t>
  </si>
  <si>
    <t>Direct:
1) The database status is DOWN
Node BLR-PD-DIMS01 10.92.12.90
Alert Start Time: 23/07/2025 00:11
Event No: INC15282060,  Alert97145647
2) Failed to connect to database instance: Failed to connect: java.sql.SQLRecoverableException: ORA-01034: ORACLE not available ORA-27101
Node BLR-PD-DIMS01 10.92.12.90
Alert Start Time: 23/07/2025 00:11
Event No: INC15282059</t>
  </si>
  <si>
    <t>7/23/2025 0:11
7/23/2025 0:11</t>
  </si>
  <si>
    <t>7/23/2025 1:15
7/23/2025 4:51</t>
  </si>
  <si>
    <t>25+ reports</t>
  </si>
  <si>
    <t>INC15301092</t>
  </si>
  <si>
    <t xml:space="preserve">Business report delivery was impacted.
</t>
  </si>
  <si>
    <t>In this issue, eCAF team was unable to dispatch the report due to frequent locking of the ECAF Reporting Database. To mitigate the issue, eCAF team reconfigured the script execution to point to nodes 10.14.175.199/208. Post which improvement was observed and issue got resolved.</t>
  </si>
  <si>
    <t>4 Reports impacted.</t>
  </si>
  <si>
    <t>INC15293992</t>
  </si>
  <si>
    <t>Postpaid acquisition was impacted.</t>
  </si>
  <si>
    <t>In this issue, eCAF was getting "SIEBEL_TIMEOUT_CREATE_ORDER" error from BTFLY_CRM which further impacted the order creation of postpaid. To restore this, BTFLY_CRM team took refresh of impacted component post which issue got resolved and pendency started getting clear.</t>
  </si>
  <si>
    <t>INC15293445
INC15293264</t>
  </si>
  <si>
    <t>1)Siebel server comp BTFLY EAIObjMgr_enu | COMPONENT_NAME : EAIObjMgr_enu
Alert time - 2025.07.23 19:02Hrs
Event No - TG Alert 
Symptom
1)eCAF Postpaid milestone pendency for SIEBEL_TIMEOUT_CREATE_ORDER  is more than 50 in last 15 minCREATE_ORDER_STATUS : SIEBEL_TIMEOUT_CREATE_ORDER
Alert time - 2025.07.23 19:36Hrs
Event No -INC15293445
2)Access_log_critical_apis Failure Percent is Greater then 4 | API : /services/customer/orderhandling/issuecustomerorder/changeorder/v2_1
Alert time - 2025.07.23 19:18Hrs(Fluctuating )
Event NO -INC15293264
3)Web service Failure rate increase - 
ServiceController - bumblebee-ecom-prod-ecom-prod-n
http://esbmob.novaworld.in:8015/services/customer/orderhandling/issuecustomerorder/changeorder/v2_1
Alert time -2025.07.23 19:44Hrs (Fluctuating )
Event No  - TG Alert</t>
  </si>
  <si>
    <t>2025-07-23 19:36:39
2025-07-23 19:18:34</t>
  </si>
  <si>
    <t>2025-07-23 20:16:17
2025-07-23 19:28:34</t>
  </si>
  <si>
    <t xml:space="preserve">eCOM- 324 Orders eCAF- 83 Orders </t>
  </si>
  <si>
    <t>Prism</t>
  </si>
  <si>
    <t>INC15294440</t>
  </si>
  <si>
    <t>Prepaid customers were unable to view real time offer/plans in PhonePe.</t>
  </si>
  <si>
    <t>In this issue, error was observed in generating auth token for getplans api due to which customers were unable to view real time offers/plans in PhonePe. Upon investigation, GLOO team observed memory leakage issue in the pods for which GLOO dev is working internally to fix this. Further, to mitigate, GLOO team disabled the user expiration, post which errors reduced and issue got resolved.</t>
  </si>
  <si>
    <t>INC15293786</t>
  </si>
  <si>
    <t>1) Multiple Lapu MT  Circlewise  Transaction Failure  : 
REASON : IN Bad MSISDN
CIRCLENAME : BIHAR ,  RAJ ,  MAH ,  WB , MP ,  UPE,   AP , UPW , UPW ,  KK , GUJ , DEL
Alert time - 2025.07.23 19:04Hrs
Event No - TG Alert
2)LOW_GLOO_VALIDATION_SUCCESS | Current Value : 89.18
Alert time - 2025.07.23 19:05Hrs
Event No - TG Alert
3)Gloo Status Code[500] Count Greater than [1000] in Last 10 Minutes| 
StatusCode_Gloo_API_Informational_CS  AUTHORITY : prism-pd.novatel.example | Current Value : 1510.0
Alert time - 2025.07.23 19:05Hrs
Event No - TG Alert
4)gloo-prism-token-alerts| prism-pd.novatel.example, 500, DMZ-Prod-Gloo-n2cs1ocp-dclus-01, /NovaTel-oauth/v1/oauth/token
Alert time - 2025-07-23 20:06Hrs
Event No - INC15293786</t>
  </si>
  <si>
    <t xml:space="preserve"> 
2025-07-23 20:26:24</t>
  </si>
  <si>
    <t>Customers unable to view real time offers.</t>
  </si>
  <si>
    <t>NovaWorks, DTH_OE, DTH_OM, IPTV</t>
  </si>
  <si>
    <t>INC15295867</t>
  </si>
  <si>
    <t>User profiles and installation were impacted for IPTV, and users were unable to fetch plans.</t>
  </si>
  <si>
    <t>In this issue, high latency on the backend service was observed, due to which user profiles and installation were impacted for IPTV, and users were unable to fetch plans. To mitigate, IPTV Dev team switched MongoDB from the primary to the secondary database, after which the issue was mitigated.</t>
  </si>
  <si>
    <t>Digital Acquisition, DTH, Xstream</t>
  </si>
  <si>
    <t>Alert97189452 , Alert97189465
INC15294077</t>
  </si>
  <si>
    <t>1)Service  sms-service had high p99latency over 15m value=284285.333239299 
 Service sms-service had high  p99latency over 10m value=284285.333239299 
Alert time - 2025-07-23 20:21Hrs(fluctuating )
Event No - Alert97189452 , Alert97189465
2)HIGH - Failed to get box details |Error while getting box details: 5times
Alert time - 2025-07-23 20:27Hrs(fluctuating )
Event No - TG Alert
3)NovaTel_Works alerts for Broad Band Journey | Downstream Error||Count &gt; 0.5 for DTH | INSTANCE : 10.248.40.65:9070 | 
METRIC_PARENT : dth-task-manager-service
ERROR : Error requesting url [https://sms-xstream.NovaTel.tv/v1/box/qrcode/validate] with connection timeout [5000]
Alert time - 2025-07-23 20:37Hrs
Event No - INC15294077</t>
  </si>
  <si>
    <t xml:space="preserve">
2025-07-23 20:21:16
2025-07-23 20:38:09</t>
  </si>
  <si>
    <t xml:space="preserve">
Open
Open</t>
  </si>
  <si>
    <t>377 installations were stuck for IPTV at NovaWorks
1800 Approx dip for change orders</t>
  </si>
  <si>
    <t>INC15307928</t>
  </si>
  <si>
    <t>Major Business KPIs were impacted.</t>
  </si>
  <si>
    <t xml:space="preserve"> In this issue, the CDR team observed a long-running job that was impacting major business KPIs consumed by Tableau and other entities. Further, Unix team identified an application user "airun" was utilizing 100% CPU on the server. To address this, DART DevOps teams turned off the node manager for the concerned node that killed the job and CPU utilization became normal. Further, CDR team took a fresh restart of their job post which jobs started running fine and issue got resolved.</t>
  </si>
  <si>
    <t xml:space="preserve">Direct </t>
  </si>
  <si>
    <t>Alert97066063,Alert97067346,Alert97068159</t>
  </si>
  <si>
    <t>Symptom
1)CPU_Utilization:93.68501488580709%_10.5.233.123
Alert time:2025-07-21 15:31 Hrs (Flapping)
Incident:Alert97066063,Alert97067346,Alert97068159</t>
  </si>
  <si>
    <t xml:space="preserve"> Major business KPIs consumed by Tableau and other entities were impacted.</t>
  </si>
  <si>
    <t>Intec LDS</t>
  </si>
  <si>
    <t>INC15305312</t>
  </si>
  <si>
    <t>CDR rating was impacted in Intec-LDS application.</t>
  </si>
  <si>
    <t xml:space="preserve"> In this issue, it was identified that the Intec-LDS application was getting timeout from DB end, due to which B2B CDR rating was impacted. To mitigate this issue team took OS reboot node by node (10.14.59.62 /63), post which CDR rating started and issue got resolved.</t>
  </si>
  <si>
    <t>Rating process for B2B was stuck</t>
  </si>
  <si>
    <t>INC15311038</t>
  </si>
  <si>
    <t>Prepaid Provisioning was impacted for Andaman.</t>
  </si>
  <si>
    <t>The power issue in the Andaman circle has been resolved, following which the Mediation_IL team successfully regained connectivity and is now able to perform telnet and ping to both of their respective IPs(10.99.32.29/93). To clear the Pendency caused during the issue, the Mediation_IL team re-pushed all pending orders. Post this action, services resumed normally and the issue stands resolved.</t>
  </si>
  <si>
    <t>INC15310305,
INC15310417,INC15310416 ,INC15310415,INC15310414,INC15310416</t>
  </si>
  <si>
    <t>1)Type = Problem
Key = Node goes down_East_NWSM
DateTime = Friday, July 25, 2025 12:42 AM
Severity = Critical
Device Name = BAL-Andaman-5510-Intranet-SEC
Device IP = 10.130.134.34/81/33/18
Component Name = NodeUpDown
Component Descripion = Cisco ASA 5510SC
Message = Node is Down
Region = CMS_East_NWSM
Alert time - 2025.07.25 00:42
Event no -  INC15310305,
Symptom:
1)Multiple Telnet Connectivity Issue
Source IP : 10.5.207.199
Destination IP : 10.99.32.29
Source IP : 10.96.2.124
Destination IP : 10.99.32.93
Alert time - 2025.07.25 00:49
Event no -  INC15310417,INC15310416 ,INC15310415,INC15310414</t>
  </si>
  <si>
    <t>2025-07-25 00:42:09
2025-07-25 00:49:09
2025-07-25 00:49:09
2025-07-25 00:49:09
2025-07-25 00:49:09
2025-07-25 00:49:09</t>
  </si>
  <si>
    <t>open 
7/25/2025  2:59:09 AM
7/25/2025  2:59:09 AM
7/25/2025  2:59:09 AM
7/25/2025  2:59:09 AM
7/25/2025  2:59:09 AM</t>
  </si>
  <si>
    <t>78 orders was impacted</t>
  </si>
  <si>
    <t>INC15317177</t>
  </si>
  <si>
    <t>CC advisors were unable to raise shifting SR for broadband LOB.</t>
  </si>
  <si>
    <t>In this issue, Service Portal team observed that CC advisors were receiving the error: "Shifting Date cannot be earlier than today." Upon investigation, Service Portal Dev team confirmed that the issue affected both intercity and intracity cases and suspected it to be originating from the Case end. Further, Case Dev team identified the root cause as incorrect DFF rules, with junk values causing incorrect true-flagging of DFF attributes. To mitigate the issue, the CASE team cleared the junk values, post which issue got resolved.</t>
  </si>
  <si>
    <t>INC15314065
INC15315896</t>
  </si>
  <si>
    <t>Symptom 
1) Case failure||Shifting Date can not be less than today
Alert Start Time: 25/07/2025 09:30
Event No: INC15314065
2) srlisting||Unable to serve your request
Alert Start Time: 25/07/2025 12:26
Event No: INC15315896</t>
  </si>
  <si>
    <t>7/25/2025 9:30
7/25/2025 9:30</t>
  </si>
  <si>
    <t>7/25/2025 14:06
7/25/2025 12:42</t>
  </si>
  <si>
    <t>Service Portal Success Hits: No dip (D vs D-7: 1713 vs 630: -1083).</t>
  </si>
  <si>
    <t>INC15323519</t>
  </si>
  <si>
    <t xml:space="preserve">Broadband data reports delivery are impacted for FXCU77. </t>
  </si>
  <si>
    <t>In this issue, DARTS team was receiving a high volume of data from the publisher to ESB queue at FXCU77 which was causing delay in the delivery of broadband data reports. However, without any technical intervention the pendency started decreasing and issue got resolved.</t>
  </si>
  <si>
    <t>INC15322404</t>
  </si>
  <si>
    <t>1)The Data Guard status of FXPDCU77DR is Error ORA-16198: 
Timeout incurred on internal channel during remote archival
Alert time :2025-07-26 00:09 Hrs
Event NO :INC15322404</t>
  </si>
  <si>
    <t>71 Reports are impacted</t>
  </si>
  <si>
    <t>INC15326326</t>
  </si>
  <si>
    <t>Rating and DNC process were impacted intermittently on PRDK6CU13.</t>
  </si>
  <si>
    <t>In this issue, Application team was encountering the error "Error in execution of OCI function unused" in the listener logs, along with intermittent connectivity issues on PDK6CU13, due to which teams were unable to run their processes. To resolve the issue, Oracle OEM team commented the timeout parameters — SQLNET.RECV_TIMEOUT, SQLNET.SEND_TIMEOUT in the sqlnet.ora configuration file, post this change, the processes resumed and the issue was resolved.</t>
  </si>
  <si>
    <t>INC15322483</t>
  </si>
  <si>
    <t>Symptom 
1)FX6.0_filestatus_mcap_alert |  Trigger Value: 2364
Alert time -2025-07-26 00:26Hrs
Event No - INC15322483</t>
  </si>
  <si>
    <t>Rating CAP files processing was impacted on CU13 and rejection was also increased due to non- availability of services.
DNC process (THS Core, BIP BE BATCH, TREAT) was delayed.</t>
  </si>
  <si>
    <t>INC15331898</t>
  </si>
  <si>
    <t>Broadband dunning orders were impacted.</t>
  </si>
  <si>
    <t>In this issue, It was identified that DB of CU4 was facing a trigger related issue because of which broadband unbarring was impacted. To mitigate this issue App DBA team shifted the trigger from CU6 to CU4 and ATOM team repushed the orders. Post which pendency started clearing and issue got resolved.</t>
  </si>
  <si>
    <t xml:space="preserve">INC15328677
INC15328427
</t>
  </si>
  <si>
    <t>1)fx6_trigger_lineofcode_alert
Trigger: Line of code &gt;0
TYPE : cu4
Alert time : 2025-07-26 14:00
Event No : INC15328677
Symptom : 
1)hb_atom_without_huawei_nokia_failure_overall_order_type
Alert time : 2025-07-26 13:30
Event No : INC15328427</t>
  </si>
  <si>
    <t>2025-07-26 14:00:11
2025-07-26 13:30:55</t>
  </si>
  <si>
    <t>2025-07-26 15:05:26
2025-07-26 14:08:21</t>
  </si>
  <si>
    <t>145 orders impacted</t>
  </si>
  <si>
    <t>APB_Payments Hub, NFB-Utilities &amp; Recharges, APB_Payment Security</t>
  </si>
  <si>
    <t xml:space="preserve">INC0540560 </t>
  </si>
  <si>
    <t xml:space="preserve">n issue was being observed in Aerospike because this NFB-Payments Hub and NFB-Utilities and Recharges applications service was intermittently impacted. </t>
  </si>
  <si>
    <t>In this issue, the NFB-Payments Hub team observed two significant transaction spikes at 19:18 PM and 19:30 PM, which led to an impact on multiple services. During the troubleshooting, the NFB-Middleware team identified that the two nodes 10.241.122.201 &amp; 10.241.122.216 were down. The NFB-Unix team helped fix this, but the services were not up in these two particular nodes, which partially impacted the Sim binding and Face match microservices in the NFB-PAYMENT-SECURITY application. As a result, the NFB-Middleware team raised a Tag case with Aerospike OEM. During troubleshooting, they identified that the device name/ID at the Linux level had changed following the addition of a Hardware controller on the one affected node (10.241.122.201), which was the cause of the issue. They then made some config-level changes; after that, 10.241.122.216 was synced and added to the cluster with two other available nodes, which catered to the traffic, and the issue was resolved.</t>
  </si>
  <si>
    <t>INC15331593/INC15331701
INC15331510 /INC15331509
INC15331515/INC15331512
INC15331869 ,INC15334822
INC15332014
INC15332036</t>
  </si>
  <si>
    <t>Direct: 
1) ping response on IP 10.241.122.216/201 is down error message
Alert Start Time:2025-07-26 19:26 Hrs 
Event No:  INC15331593/INC15331701
Symptom:
1)  High 500 Failure for WALLET-DETAILS-ADAPTER
Alert Start Time:2025-07-26 19:19 Hrs ( Multiple)
Event No:  INC15331510 /INC15331509
2) High 500 Failure for PAYMENT-REQ-ID
Alert Start Time:2025-07-26 19:19 Hrs ( Multiple)
Event No: INC15331515/INC15331512
3) Overall Dip in Wallet Success Rate
Host Name : DPS_SR 
Severity : P2
Current Value : 85.958254269449711
Alert time 2025-07-26 19:56 Hrs
Event NO :INC15331869 ,INC15334822
4) Dip in UPI Success Rate
Alert Start Time:2025-07-26 20:11 Hrs
Event No: INC15332014
5) Dip in Postpaid SR &gt; 10%
Alert Start Time:2025-07-26 20:15 Hrs
Event No: INC15332036</t>
  </si>
  <si>
    <t>7/26/2025 19:26
7/26/2025 19:19
7/26/2025 19:19
7/26/2025 19:56
7/26/2025 20:11
7/26/2025 20:15</t>
  </si>
  <si>
    <t>7/26/2025 20:36
7/26/2025 19:29
7/26/2025 19:29
7/26/2025 20:18
7/26/2025 20:30
7/26/2025 20:33</t>
  </si>
  <si>
    <t>For NFB-PAYMENTS-UPI Transaction Comparison: Total Count- 1,236,568 Success Count- 1,188,260 (96.09%) Failed Count- 48,308 (3.91%).
For NFB-PAYMENT-SECURITY Sim Binding and Face Match use cases were intermittently impacted during the impacted window.
For NFB-Utilities and Recharges wallet recharges use case, approx. a 30% dip was observed during the impacted window.</t>
  </si>
  <si>
    <t>INC15341466</t>
  </si>
  <si>
    <t>FTA MNP reports were impacted for Pan India.</t>
  </si>
  <si>
    <t>In this issue, it was identified that the problem originated at the job level on DARTS end due to which FTA MNP reports were impacted. To mitigate the issue, DARTS team removed the recovery files and subsequently restarted the jobs. Following this action, the reports were corrected, and the issue was resolved.</t>
  </si>
  <si>
    <t>FTA MNP reports were impacted.</t>
  </si>
  <si>
    <t>INC15341558</t>
  </si>
  <si>
    <t>Users were unable to get UPC code and MNP port-out and port-in requests were impacted.</t>
  </si>
  <si>
    <t>In this issue, it was identified that Jupiter Team was not able to receive the traffic from Syniverse and Telecordia, as the AES MNP link was down for both primary and secondary nodes, which was connected to the extranet device, due to which users were unable to get UPC code and MNP port-out and port-in requests were impacted. Upon, investigation it was identified that there was a media problem at AES end due to which issue triggered. To resolve the same AES team took the action internally which remains unknown. Post which Jupiter team started getting the traffic and issue got resolved.</t>
  </si>
  <si>
    <t xml:space="preserve">P1
P3
</t>
  </si>
  <si>
    <t>INC15340120,INC15340832
INC15340902/INC15340915</t>
  </si>
  <si>
    <t>1)Interface goes down_NovaTel_Central_DC 62
Device Name = BAL-NDA62-1A-7050-EXTRANET-2.novaworld.in
Device IP = 10.222.23.72
Component Name = Ethernet18
Descripion =Connetced to MNP SEC MPLS 20 MB link CKT id: 13698841
Alert Start Time:2025-07-27  12:30
Event No: INC15340120,INC15340832
Symptom:
1)The load decreased to 12 requests/min. Endpoint /AIWebServices/services/NPCWebService has unexpectedly low load.
Alert Start Time:2025-07-27  14:31
Event No: INC15340902/INC15340915
2)digitalacq_ecaf_Url_Volume_Dip_Alert||Threshold&gt;80%
Current Value : 99.0
URL : /kyc-misc/mnp/fetch-customer-data
Alert Start Time:2025-07-27  14:42
Event No: TG alert</t>
  </si>
  <si>
    <t>2025-07-27 12:30:21
2025-07-27 14:31:40</t>
  </si>
  <si>
    <t>2025-07-27 13:15:43
2025-07-27 15:02:27</t>
  </si>
  <si>
    <t>20k UPC requests delayed.</t>
  </si>
  <si>
    <t>Arcos, Care Manager</t>
  </si>
  <si>
    <t>INC15351676</t>
  </si>
  <si>
    <t xml:space="preserve"> User were unable to login Arcos and Care manager</t>
  </si>
  <si>
    <t xml:space="preserve"> In this issue, users were unable to log in to Arcos and Care Manager applications. Further investigation identified that the issue was related to ADFS authentication. To resolve the problem, the UCC Exchange team performed a restart of the ADFS services, after which the login functionality was restored and the issue got resolved.</t>
  </si>
  <si>
    <t>DC Infra, Digital Experience B2C</t>
  </si>
  <si>
    <t xml:space="preserve">Success Hits dip- (D vs D-5: 18608 vs 22223= 3615) is 16%
</t>
  </si>
  <si>
    <t>INC15367578</t>
  </si>
  <si>
    <t xml:space="preserve"> XFE's were facing DSA errors in MNP acquisition for few numbers in Bihar, West Bengal, Kolkata and Andaman circles.</t>
  </si>
  <si>
    <t>In this issue, it has been identified that few failures from DSA end were seen during MNP acquisition post the Go Live for OneNMS platform in Orrisa &amp; EAST hub migration(CHG0186318), and the error "Number not in active state" was observed. To resolve this, One_NMS team temporarily allowed the inactive numbers from the last 20 days, which were then re-pushed at eCAF end. After this action, improvements were seen and the issue was resolved. Currently, for any live cases reported, concerned teams are present in a war room to address them promptly.</t>
  </si>
  <si>
    <t>INC15348475/INC15348485</t>
  </si>
  <si>
    <t>Symptom:
1) ESB Process Failure is greater than 10%
PROCESSNAME : ValidateandAllocateSIM_V1_3.validateandAllocateSIM</t>
  </si>
  <si>
    <t>148 numbers were impacted.</t>
  </si>
  <si>
    <t>CHG0186318</t>
  </si>
  <si>
    <t>Nova App Experience Journey, Broadband Customer Experience Journey</t>
  </si>
  <si>
    <t>INC15357386</t>
  </si>
  <si>
    <t>Few Air Fiber customers were not able to fetch router details in Nova App.</t>
  </si>
  <si>
    <t>In this issue, Nova App team was observing intermittent failure on GetCpeStatusController API, due to which few Air Fiber customers were not to fetch router details in Nova App. However, during the course of troubleshoot, the errors started reducing without any technical intervention and issue got resolved. Teams are still identifying the root cause of the issue.</t>
  </si>
  <si>
    <t xml:space="preserve"> 
P1
P1
P1</t>
  </si>
  <si>
    <t>TG Alert
TG Alert
INC15356096</t>
  </si>
  <si>
    <t>1)Web service
GetCpeStatusController
Failure rate increase
2.36k requests/min impacted
by a failure rate increase to 11 %
Service method: All methods affected
Alert time : 2025-07-28 18:22 
Event No : TG Alert
2)Web request service
10.222.192.26 on port 8282
Failure rate increase
69.7 requests/min impacted
by a failure rate increase to 39 %
Service method: http://10.222.192.26:8282/ProvisionPortal_TEST/ProvWS.asmx
Alert time : 2025-07-28 18:22 
Event No : TG Alert
3)Channel-Backend-Alerts-cx-network 5XX failure
Api : /router/availability
Alert Start Time: 2025-07-28 18:22 
Event No: INC15356096</t>
  </si>
  <si>
    <t>7/28/2025 18:22
7/28/2025 18:22
2025-07-28 18:22:05"</t>
  </si>
  <si>
    <t>Open
7/28/2025 19:22
7/28/2025 18:41</t>
  </si>
  <si>
    <t>(D vs D-6:49688 vs 29839) is no dip</t>
  </si>
  <si>
    <t xml:space="preserve">INC15362980 </t>
  </si>
  <si>
    <t>Users were unable to Login VDI from Outside Network.</t>
  </si>
  <si>
    <t>In this issue, it was identified that VDI URL was not accessible as no traffic was observed in LB due to which user's were not able to login VDI from outside network. To mitigate the issue, LB team modified routing for VDI DNC Virtual IP for Phase 2, post which the users were able to access VDI and issue got resolved.</t>
  </si>
  <si>
    <t>Approx. 40 vendors(A1 IDs)</t>
  </si>
  <si>
    <t>INC0543708</t>
  </si>
  <si>
    <t>High response time was observed in AEPS kong from retailer and portal nginx.</t>
  </si>
  <si>
    <t>APB_AEPS team reported that they were experiencing high response times in the AEPS Kong proxy—specifically from both the retailer and portal NGINX layers. During investigation, the NFB Payments team identified connectivity issues on two nodes: 10.241.244.33 and 10.241.244.35. Subsequently, TechOps team restarted both servers. Following this corrective action, performance improved significantly and the issue was resolved.</t>
  </si>
  <si>
    <t>Success Transactions Dip Comparison : {D vs (D-7)}= 11653-46894=35241 (75% drop in Success transaction)</t>
  </si>
  <si>
    <t>INC15380098</t>
  </si>
  <si>
    <t xml:space="preserve">Users were unable to raise SRs for Postpaid_B2B. </t>
  </si>
  <si>
    <t>In this issue, it was observed that users were unable to raise SRs for Postpaid_B2B. Further, it was identified that an unauthorized change was deployed at Case end changing the source from E-Hub to Self-care for raising SRs, which triggered the issue. To resolve this, Case team rolled back the change, post which services resumed normally.</t>
  </si>
  <si>
    <t>TG Alert
P1</t>
  </si>
  <si>
    <t>TG Alert
INC15379288</t>
  </si>
  <si>
    <t>Symptom:
1) atb_selfcare ISSUE STARTED
APP: B2B-MNTN
API:CREATE_SR_COMMON_API_V3
Alert Start Time: 30/07/2025 08:15 
Event No: TG Alert
2) srlisting||Unable to serve your request
Alert Start Time: 30/07/2025 10:00 (Fluctuating)
Event No: INC15379288</t>
  </si>
  <si>
    <t>TG Alert
2025-07-30 10:00</t>
  </si>
  <si>
    <t>TG Alert
2025-07-30 10:15</t>
  </si>
  <si>
    <t>SR creation success Dip (D vs D-7): 303 (0 vs 303) is 100%.</t>
  </si>
  <si>
    <t xml:space="preserve"> INC15386299</t>
  </si>
  <si>
    <t xml:space="preserve"> In this issue, CC Advisors were unable to view channels OTT contents on Service Portal for DTH LOB as the Chat view option was disabled unknowingly by Service Portal CE team for this particular scenario. To mitigate the issue CE team enabled the same post which Contents were visible and issue got resolved.</t>
  </si>
  <si>
    <t>7 users</t>
  </si>
  <si>
    <t>APB_Retailer App, APB_Payments Hub</t>
  </si>
  <si>
    <t>INC0544583</t>
  </si>
  <si>
    <t>Second-stage MPIN authentication for BBPSCOU and Recharge transactions initiated by retailers through the Retailer Portal and Retailer App.</t>
  </si>
  <si>
    <t>In this issue, second-stage MPIN authentication failed for BBPSCOU and Recharge transactions initiated by retailers through the Retailer Portal and Retailer App. During troubleshooting, the team implemented a workaround by disabling the specific use case. As a permanent solution, the development team rolled back CHG0005258 and re-enabled the previously disabled use case. Sanity testing was performed by the Product team, and the system is currently under observation.</t>
  </si>
  <si>
    <t>No business impact has been reported.</t>
  </si>
  <si>
    <t>CHG0005258</t>
  </si>
  <si>
    <t>INC15389272</t>
  </si>
  <si>
    <t>Port-In &amp; Port-Out requests for MNP were impacted for West &amp; Rajasthan hub.</t>
  </si>
  <si>
    <t>In this issue, MNP port-in and port-out requests were stuck across multiple hubs. To mitigate the issue, PACS team performed a service restart for the application, after which the issue was successfully resolved. Additionally, due to ARCOS activity (CHG0188968), Jupiter and PACS teams were unable to connect to ARCOS during that period to check on the pending and cleared orders.</t>
  </si>
  <si>
    <t>Approx. 80k MNP requests were stuck.</t>
  </si>
  <si>
    <t>CHG0188968</t>
  </si>
  <si>
    <t>Postpaid New Customer Acquisition Journey, Prepaid Customer Retail Acquisition Journey, Postpaid New Customer Acquisition-MNP Journey, Prepaid New Customer Acquisition-MNP Journey, Prepaid New Order Sim Swap Journey</t>
  </si>
  <si>
    <t>INC15394843</t>
  </si>
  <si>
    <t xml:space="preserve"> Prepaid and Postpaid acquisition was impacted via eKYC </t>
  </si>
  <si>
    <t xml:space="preserve"> In this issue, eKYC was not working, which had impacted Postpaid, Prepaid, and SIM Swap journeys. The problem was found to be from the UIDAI end, and a mail was raised to their team. Subsequently, UIDAI performed the required technical actions at their end, after which the eKYC service was restored successfully.</t>
  </si>
  <si>
    <t>TG alert
TG alert</t>
  </si>
  <si>
    <t>1)Url_Volume_Dip_Alert||Threshold&gt;80%
PERCENTAGE_DIP_IN_HITS : 90.00
URL : /ekyc-app/ekyc/repush/kyc
Alert Start Time: 31/07/2025 09:27 
Event No: TG alert
2)Url_Volume_Dip_Alert||Threshold&gt;80%
PERCENTAGE_DIP_IN_HITS : 90.00
URL : /ekyc-app/ekyc/auth
Alert Start Time: 31/07/2025 09:37 
Event No: TG alert</t>
  </si>
  <si>
    <t xml:space="preserve">TG alert
TG alert
</t>
  </si>
  <si>
    <t>Prepaid :  (D vs D-7: 6537 vs 20111) is 67% dip.
Postpaid: (D vs D-7: 93 vs 285 ) is 67% dip
Simswap:. (D vs D-7: 911 vs 3266) is 72% dip.</t>
  </si>
  <si>
    <t>INC15408613</t>
  </si>
  <si>
    <t>Broadband installation/provisioning orders were impacted for only Delhi &amp; Mumbai circle.</t>
  </si>
  <si>
    <t>In this issue, ZTE NMS team identified high memory utilization on the ZTE application. To mitigate this, NMS team forcefully increased the memory allocation and for the old orders, Nokia team performed a rollback to Task1, after which the issue was successfully resolved.</t>
  </si>
  <si>
    <t>Waiting for task 2 (FTTH + MOP) - 70 old orders were stuck.</t>
  </si>
  <si>
    <t>INC15419740</t>
  </si>
  <si>
    <t xml:space="preserve">Port-In requests for MNP was impacted. </t>
  </si>
  <si>
    <t>In this issue, eCAF was receiving NPIT internal errors from Jupiter. It was later identified by the Jupiter team that the errors were due to duplicate orders being sent from eCAF. To fix this, the eCAF team performed a refresh of the Orion Mobile API service, after which the issue got resolved. For the older data, the team is performing manual reconciliation in coordination with the respective team.</t>
  </si>
  <si>
    <t xml:space="preserve">410 Orders were stuck. </t>
  </si>
  <si>
    <t>IPTV Installation/FR Journey</t>
  </si>
  <si>
    <t>INC15425323</t>
  </si>
  <si>
    <t>EDT task closure for IPTV was impacted in NovaWorks.</t>
  </si>
  <si>
    <t>In this issue, FEs were facing errors in closing EDT Task in NovaWorks for IPTV due to ICX API failures from TATA elxsi for Service Portal. As a mitigation step, NovaWorks team bypassed the EDT task post taking confirmation from business team, post which improvement was observed and pendency started cleared.</t>
  </si>
  <si>
    <t>Primary Root Cause Summary
 Specification Leg-01 
Q1: Why there was an issue observed with IPTV installation orders in NovaTel_Works?.
Ans: Because, there was an instance of service degradation wherein intermittent failures observed in IPTV orders closure, affecting new customer installations. IPTV orders were stuck  at EDT task closure (SDU MDU Validation status||EDT journey) in NovaWorks.
Q2: Why IPTV orders were stuck at EDT task closure?
Ans: As per input received form application team, FE’s were unable to close EDT task in NovaTel_Works which is a last milestone of IPTV activation orders as task value was showing Null for all parameters . This was a blocker for FE’s to move on next installation; which impacted IPTV installation and customer experience journey.
Q3: Why FE’s were unable to close EDT task?
Ans: As per discussion with NovaTel_Works team, For Network health check EDT milestone,. NovaWorks calls SSP API: http://dtinternalkong.india.novatel.internal/multi-tenant/s2s/user/rest/v1.0/scenario/execute and then SSP further calls TATA Elsxi API  https://icx-server.streamnovaota.com . However,  Service portal team was getting  ICX API failures and 404 error from TATA elxsi while using the DMP APIs from Nova Application. 
Q4: Why there was 404 error from ICX API?
Ans: TATA elxsi was getting timeout error 404 from DMP servers (WebPA + DMP backend) from 2-Aug 4:00PM onwards; when EDT API call reaches the iCX DMP backend, it triggers a request to WebPA to fetch data from the device. During the problem window (4:00–4:30 PM), 27,929 requests originated from NovaTel IP s (125.21.241.100, 125.21.240.2) which WebPA was unable to handle and was giving 404 error.
Q5: Why ICX WebPA component unable to handle the request from NovaTel?.
Ans Because, as per TATA Elxsi there was high volume of incoming API calls from IPTV Boxes. As a result, the iCX server response time increased, and all API calls returned a 404 error.
Q6: Why there was high volume of traffic?
Ans: Because, On June 18, the two NovaTel IP addresses 125.21.241.100, 125.21.240.2 were whitelisted to mitigate a similar incident observed earlier. As a result of this configuration, all subsequent requests originating from these IPs bypassed the WAF rate-limiting policies, which was configured to rate limit requests above 1500 per 5 minutes (5 TPS ) and higher number of requests came into the system than its configured capacity (TPS during the problem window was 15.5). This bypassed rate-limiting controls, allowing an unusually high volume of requests to hit the iCX DMP backend, which exceeded system’s handling capacity and led to API timeouts.
Q7: Why WAF IP Address was whitelisted?.
Ans: Because, IP addresses were previously whitelisted in AWS WAF to avoid unauthorized traffic and improve the system performance.
Detection Leg- 02
Q1: Why issue only triggered on 2nd August if changes had been made on 18th July?.
Ans: Because, being a month start the acquisitions request were high in number and upon receiving EDT task failures; Field engineers did multiple retries which is also a contributing factor for surge in traffic.  Meanwhile, requests to online devices were also queued at WebPA,and even if a successful response was eventually received from the device, the DMP had already timed out by then.
Q2: Why the MTTR was high on this outage?.
Ans: Because ICX was not able to identify the exact problem during the outage.  Also, the mitigation action of EDT bypass was delayed due to approvals delayed from business team.
Systemic leg-03
Q1: Why did system allow this outage?
Ans: Because, if through traffic analysis would have been done with Architecture and DevOps teams before WAF Ip address whitelisting; the ICX TATA Elxsi AWS infra would also have been upgraded accordingly to avoid the unusual high volume of requests in system.
Preventive Actions:
•	AWS infra for WebPA components and DMP backend doubled to handle the surge in traffic. Completed ICX TATA Elxsi.
•	Set the API rate limit as 8 transactions per second. (rate limit of 2400 per 5 mins) to reduce frequent retries. Completed TATA Elxsi
•	A circuit breaker to be implemented at DMP side to prevent the frequent retries for intermittent offline devices- Completed TATA Elxsi
•	Relook the AWS infra setup for any optimisation- Open TATA Elxsi/ Inderpal 
•	Frequent retries on intermittent offline devices (404 error code) to be restricted; retires to be performed after a delay-Open TATA Elxsi
•	Currently 4 APIs are invoked by Nova Application for getting information from single device. This should be modified to a single API invocation by giving the inputs in comma separated list- Open Inderpal Singh
•	Xstream application will be induced between SSP and ICX; in case of any EDT failures, IPTV will provide the valid inputs -Open Inderpal
•	Prepare an SOP to bypass EDT checks in NovaWorks in case of any outage at TATA Elxsi post discussion with business.- Open Ajit and Manoj Mittal 
•	Tata elxsi 24*7 support structure and monitoring at their end- Open Ajit Singh</t>
  </si>
  <si>
    <t>PRB0044533</t>
  </si>
  <si>
    <t>INC15422689</t>
  </si>
  <si>
    <t>1)IPTV orders stuck in SDU MDU Validation status||EDT journey impacted
Host Name : NovaTel_Works alerts for Broad Band Journey
Sev-2 Current Value : 719.0
Alert Start Time: 02/08/2025 16:17 
Event No:INC15422689</t>
  </si>
  <si>
    <t>3100+ orders were impacted.</t>
  </si>
  <si>
    <t>INC15433856</t>
  </si>
  <si>
    <t>CC advisors were not able to see cumulative 5G details usage in Service Portal for Prepaid &amp; Postpaid LOB.</t>
  </si>
  <si>
    <t xml:space="preserve">In this issue, Service Portal failed to fetch 5G cumulative data due to an unhandled column (5G_N) added in the CDR API (AIWebServices) by the DARTS team on request from the Network Mobility team. As this API is the sole data source, the absence of logic to handle the new column caused data submission issues. To mitigate this, an emergency change was assessed and implemented by the Service Portal Dev team to support both 5G and 5G_N data handling. Post CE team review, the fix was deployed to PROD, and functionality was restored successfully. </t>
  </si>
  <si>
    <t>Service Portal Success Hits: (D vs D-7: 56032 vs 57243: 1211) is 2.1%.</t>
  </si>
  <si>
    <t>DTH Customer Experience Journey, Prepaid Customer Experience Journey, Postpaid Customer Experience Journey, Broadband Customer Experience Journey</t>
  </si>
  <si>
    <t>INC15440408</t>
  </si>
  <si>
    <t>The inbound, outbound onboarded emails in Outlook 365 were impacted.</t>
  </si>
  <si>
    <t>The issue got triggered due to token expiry, due to which emails inbound, outbound onboarded in Outlook 365 for Careshark were impacted. To restore, UCC Exchange generated another token and provided it to the Care Manager team, post which the issue got resolved.</t>
  </si>
  <si>
    <t>INC15438805</t>
  </si>
  <si>
    <t>Symptom:
1)CARESHARK_UNABLE_TO_GENERATE_TOKEN_EMAILS
APP : exchange ingestion
Issue : Unable to Create the Token in last 1 hour
Threshold : Unable to Create the token more than 50 times in last 1 hour
Alert Start Time : 2025.08.04 11:36
Event No:INC15438805</t>
  </si>
  <si>
    <t>3500 mails(Approx)were impacted.</t>
  </si>
  <si>
    <t xml:space="preserve">APB_AEPS, NFB-UPI, NFB-AEPS, NFB-DMT, NFB-Payments hub, NFB-IMPS, NFB-Wallet, NFB-SBA, NFB-CKYC, NFB-Rewards, NFB-BBPS COU, NFB-PAYMENT-SECURITY, NFB-Utilities and Recharges, NFB-My Nova App, NFB-NFB-Retailer, NFB-NFB-Tez Portal </t>
  </si>
  <si>
    <t>INC0548888</t>
  </si>
  <si>
    <t>High response time was observed while accessing multiple applications from CBS.</t>
  </si>
  <si>
    <t>The NFB‑UPI team has reported high response times when processing transactions via CBS. During troubleshooting, the NFB‑CBS team noted that multiple applications were affected along with they got Ora-00257 error in logs. They subsequently restarted all JBM servers (10.242.67.29 till 10.242.67.40), after which system performance improved. However, issues persist for NFB-AEPS. Additionally, the NFB‑Onboarding team has been observing high CPU uses from their server end and is periodically restarting all their servers to mitigate the issue. Following the actions taken, an improvement was observed, and the issue was resolved.</t>
  </si>
  <si>
    <t>P3
P3
P4
P3</t>
  </si>
  <si>
    <t>INC15448150
INC15448204,Alert97874126
INC15448214
INC15448262</t>
  </si>
  <si>
    <t>Symptom:
1)DPS_SR severity: Average Trigger: Dip in "BBPS_V2" lob Success Rate Trigger
Current Threshold Value :82.587064676616919
Alert Start Time : 2025-08-05 07:40
Event No:INC15448150
2)Dip in Wallet Success Rate
Current Value : 90.241796200345419
Alert Start Time : 2025-08-05 07:46
Event No:INC15448204,Alert97874126
3)DPS_APB_SERVICE High 402 Failure for BANK-PROFILE-ADAPTER
Current Value : 143
Alert Start Time : 2025-08-05 07:47
Event No:INC15448214
4)Dip in UPI Success Rate
Current Value : 80.382790510655411
Alert Start Time : 2025-08-05 07:51
Event No:INC15448262</t>
  </si>
  <si>
    <t>8/5/2025 7:40
8/5/2025 7:46
8/5/2025 7:47
8/5/2025 7:51</t>
  </si>
  <si>
    <t>8/5/2025 8:05
8/5/2025 8:25
8/5/2025 8:02
8/5/2025 8:08</t>
  </si>
  <si>
    <t>For NFB-PAYMENTS-UPI Success Transactions Dip Comparison: Time: 7:28 am to 8:22am {D vs (D-7)}= 783102-1052694 = 269592 (25.60% dip in success rate)
For NFB-SBA Account Creation Comparison Time: 7:28 to 7:55 AM-{D vs (D-7)= 1-86=85 (99% drop in account creation)
For NFB-SBA Current Account Time: 7:28 to 7:55 AM-{D vs (D-7)= 0-1=100 (100% drop in account creation)
For NFB-Wallet Creation Comparison Time: 7:28 to 7:55 AM-{D vs (D-7)= 8-151=143(94.7% drop in wallet creation)
For NFB-CKYC Account Creation Comparison Time: 7:28 to 7:55 AM-{D vs (D-7)= 1-54=53 (99% drop in account creation)
For NFB-Rewards - Suraksha Creation Comparison Time: 7:28 to 7:55 AM-{D vs (D-7)= 0-53=53 (100% drop in account creation)
For NFB-Rewards - Bundle New Creation Comparison Time: 7:28 to 7:55 AM-{D vs (D-7)= 0-12=12 (100% drop in account creation)
For NFB-Rewards - Bundle Renew Creation Comparison Time: 7:28 to 7:55 AM-{D vs (D-7)= 3-77=74 (96% drop in account creation)
For NFB-Payments-DMT Transactions Success Comparison Time: 7.30 AM to 8.04 AM {D vs (D-7)= 579-1632=1053 (64.5% dip in Success rate)
For NFB-IMPS Transactions Success Comparison Time: 7.30 AM to 8.04 AM {D vs (D-7)= 387-11561=11174(96.6% dip in Success rate)
For NFB-Payments Hub Transactions failure Comparison Time: 7:30 AM to 8:26 AM {D vs (D-7)= 193460-10=193450 (99% percentage increase in NFB-Payments Hub transactions)
For NFB-BBPS CoU total impacted hit Comparison: Time 7:28am to 8:16am {D vs (D-7)}= 1212-115=1097 (90.5% percentage increase in impacted hit count)
For NFB-PAYMENT-SECURITY (Facematch) total impacted hit Comparison: Time 7:28am to 8:16am {D vs (D-7)}= 133-0=133 (100% percentage increase in impacted hit count)
For NFB-Utilities and Recharges total impacted hit Comparison: Time 7:28am to 8:16am {D vs (D-7)}= 3287-204=3083 (93.7% percentage increase in impacted hit count)
For NFB-My Nova App (thanks app) total impacted Comparison: Time 7:28am to 8:16am {D vs (D-7)}= 909376-5000=904376 (99% increase in failure rate)
For NFB-NFB-Retailer App total failure Comparison: Time: 07:29 AM to 07:55 AM {D vs (D-7)}= 576 -37=539 (93.5% increase in failure rate)
For NFB-NFB-Tez Portal total failure Comparison: Time: 07:29 AM to 07:55 AM {D vs (D-7)}= 496-26=470(94.7% increase in failure rate)
For NFB-AEPS total Success Comparison: Time 7:30 AM to 8:26 AM {D vs (D-7)}= 14010-15121=1111 (7.34% decrease in success rate)</t>
  </si>
  <si>
    <t>INC15450320</t>
  </si>
  <si>
    <t xml:space="preserve">Nirwana report for DTH_OE was impacted. </t>
  </si>
  <si>
    <t>In this issue, DTH_OE team was unable to connect DTH_OE N2 DB on 10.5.249.45 due to which Nirwana report was impacted. During troubleshooting, it was identified that there was an IOC patching at DTH_OE end (CHG0190514) yesterday night, post which one of the service of DTH_OE went down. To restore, DBA team made the impacted service up and issue got resolved.</t>
  </si>
  <si>
    <t>Nirwana report was impacted.</t>
  </si>
  <si>
    <t>CHG0190514</t>
  </si>
  <si>
    <t>Nova App, Selfcare_B2C</t>
  </si>
  <si>
    <t>INC15457967</t>
  </si>
  <si>
    <t>Non-NovaTel recharges via Nova App are impacted.</t>
  </si>
  <si>
    <t>In this issue, it was identified that few OCP worker nodes were sending a reset packet which triggered the issue. As a workaround, Application team replaced the faulty worker nodes with the healthy ones, post which the issue got mitigated .</t>
  </si>
  <si>
    <t>Alert97896232
INC15453593</t>
  </si>
  <si>
    <t>Symptom
1)DPS_APB_SERVICE severity: Warning Trigger: High 400 Failure for PAYMENT-REQ-ID 
Alert Time :2025.08.05 15:52 Hrs (Fluctuating)
Incident : Alert97896232
2)Channel-Backend-Alerts-NovaTel_selfcareV1
Trigger: 5XX | /services/common/recharge/order-details/NON_NovaTel_PREPAID/RECHARGE | Failure Perc : 15.284128020901372 % || Failure count : 234
Trigger Value: 15.284128020901372
Alert Time :2025.08.05 17:45 Hrs 
Incident :INC15453593</t>
  </si>
  <si>
    <t>8/5/2025 15:52
8/5/2025 17:45</t>
  </si>
  <si>
    <t>8/5/2025 15:57
8/5/2025 18:06</t>
  </si>
  <si>
    <t>10% failures were observed.</t>
  </si>
  <si>
    <t>eCAF, eCOM</t>
  </si>
  <si>
    <t>INC15462981</t>
  </si>
  <si>
    <t xml:space="preserve">In this issue, users reported that CYN inventory was not available at the time of acquisition for Postpaid. Further, it was observed that there were contentions at catalogue DB that led to high error count, but improvement was observed without any technical intervention, however, issue still persisted for few old samples. To resolve this, DB team cleared the query as a precautionary step and NMS team proceeded with inventory reconciliation for the old stuck samples and updated the status at NMS end, post which services resumed normally. </t>
  </si>
  <si>
    <t>P3/P3</t>
  </si>
  <si>
    <t>Alert97942952,Alert97940142</t>
  </si>
  <si>
    <t>Symptom
1)ESB_WEBLOGIC_CRITICAL_APIS_FAILIURE_ALERT APINAME:/services/resource/resourceprovisioning/allocateandinstallresource/resourcestatus/v2,Trigger Value: 5.77 Current Threshold Value :5.77</t>
  </si>
  <si>
    <t>Postpaid acquisition dip(D vs D-7): (6554 vs 5188)orders is no dip.</t>
  </si>
  <si>
    <t>INC15463652</t>
  </si>
  <si>
    <t>CC advisors were unable to raise FTR for Broadband.</t>
  </si>
  <si>
    <t>In this issue, FTR option was not visible for MOP scenarios due to which CC advisors were not able to raise FTR in service portal for Broadband LOB. Upon investigation, it was identified that CE team made some changes in a scenario's table which triggered the issue. To restore, CE team rolled back the changes &amp; issue got resolved.</t>
  </si>
  <si>
    <t>Failure hits( d vs d-7: 1276 vs 498= 778)</t>
  </si>
  <si>
    <t>INC15470504</t>
  </si>
  <si>
    <t>Prepaid Acquisition was impacted.</t>
  </si>
  <si>
    <t xml:space="preserve"> Issue was identified at UIDAI end due to which eKYC flow (Face Auth) was impacted in eCAF, leading impact on prepaid acquisition. To restore this, corrective action was taken at UIDAI end post which issue got resolved.</t>
  </si>
  <si>
    <t>Prepaid success Dip (D vs D-7: 5929 vs 2855) is No dip%.</t>
  </si>
  <si>
    <t>Again, Issue was identified at UIDAI end due to which eKYC flow (Face Auth) was impacted in eCAF, leading impact on prepaid acquisition. To restore this, corrective action was taken at UIDAI end post which issue got resolved.</t>
  </si>
  <si>
    <t>Prepaid acquisition dip-(D vs D-7: = 41603 vs 22073 = 19566) is No dip</t>
  </si>
  <si>
    <t>Broadband Installation/FR Journey</t>
  </si>
  <si>
    <t>NovaWorks, Nokia_OSS</t>
  </si>
  <si>
    <t>INC15470465</t>
  </si>
  <si>
    <t>FEs were not able to mark attendance on NovaWorks further which impacted Broadband installation.</t>
  </si>
  <si>
    <t xml:space="preserve">In this issue, initially, FEs were facing errors in marking attendance in NovaWorks. It was identified that A canary change (CHG0190762) was under deployment at NovaWorks end which was suspected to have triggered High RT for attendance at NovaWorks for which, the change was rolled back, however, no improvement was observed. To mitigate the impact, the attendance mendate was bypassed by NovaTel Work team, got which issue was partially resolved for attendance. </t>
  </si>
  <si>
    <t>Primary root cause:
Specification Leg-01
Q1: Why there was an instance of service degradation experienced in Broadband Customer Experience Journey?
Ans: Because, tasks were not getting assigned to field engineers hence, Boradband installations orders were not being handled. Which had an effect on the aforementioned journey.
Q2: Why task were not getting assigned to field engineers?
Ans: Because, field engineers were not able to mark their attendence in NovaTel Work application and tasks get allocated post attendance. While they trying to login an error was encountering “Unable to understand the server response please try again after some time . Error code : [AW-ER-03]”.
Q3: Why field engineers were getting error while marking their attendance in NovaTel Work application?
Ans: According to the application team, Attendance Manager services experienced a high response rate and timeouts 503/504 due to its pods' high CPU consumption and throttling, which resulted in health check failures and decreased performance.
Q4: Why did the CPU utilization and throttling occurred on Attendance Manager?
Ans: Discussion further uncovered that there was a  canary deployment went in system for attendance manager in system approx. 60% around 08:30 in the morning  and after that pods were restarting. While Pods restarting its demanding high CPU as there is a complier induce in JAVA 17~21 “Just-In-Time (JIT)” run in initial time while container start. It caused a spike in requests.
Q5: Why did containers not get auto scale up for attendance manager?
Ans: Application team further updated that auto scale functionality reached to its max HPA (Horizontal Pod Auto scaler) vale hence manual scaleup was required and team increased the CPU from 1 core to 3 core which mitigate the issue. 
Detection Leg- 02 
Q1: Why issue was not get proactively arrested on time of deployment?
Ans: Because, there was no such issue in canary deployment and was successful, however, It was also noticed that no appropriate/direct alert were received for the service degrade and converted into incident. It is advised team to revisit and onboard the necessary alerts and ensure systematic changes to the monitoring process.
Q2: Why team took longer time to mitigate the issue which eventually increase the MTTR?
Ans: There were multiple steps taken to mitigate the issue, rollback the canary deployment, bypass the attendance manager mandate, which get some relief however, it didn’t fully restore the issue. later, team suspected some issue at storage end and finally manually scale up the system (CPU from 1 core to 3 core)which took longer time. 
Systemic leg-03
Q1: Why this morning canary deployment over attendance manager cause the overall outage?
Ans: As per discussion with application team its came to picture that, the deployment and pods rolling restarts in the morning coincided with peak attendance marking time, amplifying CPU demand and causing cascading impact on service availability. If deployment went into non peak hour it can avoid the issue, overall the deployment timing was not appropriate.
Observations: 
•	Mitigation plan took longer time which increase the overall MTTR.
•	It was also noticed that appropriate alerts were not in place wrt to attendance manager over NOC system.
•	A production deployment was happen in peak business hour if gone non peak can be avoided the outage.
Preventive Actions: 
•	AW team have to explore the feasibility to reduce the resource saturations(~ CPU in initial container startup/traffic surge). Open Suraj
•	Attendance Manager monitoring/alerting need to be place over NOC system. Open Suraj
•	Peak hour deployment need to be avoided to prevent any cascading impact in system. Open Suraj</t>
  </si>
  <si>
    <t>PRB0044534</t>
  </si>
  <si>
    <t>TG Alert
P3
TG Alert
P3
P3
P3
TG Alert
P2</t>
  </si>
  <si>
    <t>TG Alert
INC15469148
TG alert
Alert97995047
INC15469185
INC15469190,  INC15469191
TG Alert
INC15469194</t>
  </si>
  <si>
    <t>Symptom:
1) Downstream Error||Count &gt; 2.5 for TELEMEDIA
Host Name : NovaTel_Works alerts for Broad Band Journey
INSTANCE : 10.248.40.65:9070
Alert Start Time: 7/08/2025 08:41 hrs
Event No: INC15469148
2) Response time degradation 4.42k requests/min impacted 
Failure rate increase 26.2 requests/min impacted by a failure rate increase to 53 %
Web service [attendance-manager-service-canary] - UserAttendanceController
Database service Postgres - attendance_manager_service
Web request service [api-gateway-service] - Netty on 0.0.0.0:8082
Web service [telemedia-task-manager-service] - FetchAppointmentSlotController
Alert Start Time: 7/08/2025 08:44 hrs
Event No: TG alert
3) Cloud SQL Database - PostgreSQL Connections by State Issue Started
Project: prj-acqs-prd-work-svc-01
Alert Start Time: 7/08/2025 08:49 hrs
Event No: Alert97995047
4) RabbitMq - Unack message Issue Started 
Queue: manager_attendance_notifier_queue
Alert Start Time: 7/08/2025 08:50 hrs
Event No: INC15469185
5) High CPU throttling
The CPU throttling to limits ratio exceeds the specified threshold of '50%'.
Kubernetes workload attendance-manager-service-canary
Alert Start Time: 7/08/2025 08:51 hrs
Event No: TG Alert
6) Multiple Queue Alerts 
Nginx - Http_total_request Issue Started 
Instance: vm-aw-prd-dmz-nginx-prod-3/1
Alert Start Time: 7/08/2025 08:52 hrs
Event No: INC15469190,  INC15469191
7) Container restarts
Observed container restarts exceed the specified threshold.
Source: Kubernetes anomaly detection
Alert Start Time: 7/08/2025 08:52 hrs
Event No: TG Alert
8) Alert Name:5XXFailurein10Minutes| cx_complaints | /v1/fetchSlots
API : /v1/fetchSlots
Alert Start Time: 7/08/2025 08:54 hrs
Event No: INC15469194</t>
  </si>
  <si>
    <t>TG Alert
8/7/2025 8:41
TG Alert
8/7/2025 8:50
8/7/2025 8:50
8/7/2025 8:52
TG Alert
8/7/2025 8:54</t>
  </si>
  <si>
    <t>TG Alert
8/7/2025 9:13
TG Alert
8/7/2025 8:51
8/7/2025 10:16
8/7/2025 11:15
TG Alert
8/7/2025 9:27</t>
  </si>
  <si>
    <t xml:space="preserve">93% impact on attendance
107+ orders of installation </t>
  </si>
  <si>
    <t>CHG0190762</t>
  </si>
  <si>
    <t>In this issue, initially, FEs were facing errors in marking attendance in NovaWorks. It was identified that A canary change (CHG0190762) was under deployment at NovaWorks end which was suspected to have triggered High RT for attendance manager service at NovaWorks for which, the change was rolled back, however, no improvement observed. Post the attendance mendate was bypassed by NovaWorks team, the issue got partially mitigated. Further, AW team identified High CPU utilisation on Attendance manager service. For complete resolution, CPU core was increased and issue got resolved.</t>
  </si>
  <si>
    <t>Nova App Experience Journey, Postpaid Customer Experience Journey (Call Center)</t>
  </si>
  <si>
    <t>Nova App, Service portal</t>
  </si>
  <si>
    <t>INC15481233</t>
  </si>
  <si>
    <t>Customers were able to use the data and call services, but the ₹199 recharge was still showing as expired in the Service Portal and Nova App.</t>
  </si>
  <si>
    <t xml:space="preserve"> In this issue, customers were able to use calls and data after the ₹199 recharge, but the NovaTel app and service portal were showing the pack as expired. Further investigation was done and identified that earlier the numbers which were showing expired started showing active on both platforms automatically without any technical intervention, and issue stand resolved.</t>
  </si>
  <si>
    <t>Status not updated In Nova App and Service portal.</t>
  </si>
  <si>
    <t>INC15481832</t>
  </si>
  <si>
    <t xml:space="preserve">Echo dialer functionality was impacted. </t>
  </si>
  <si>
    <t>In this issue, the call-back functionality of the Echo Dialer was impacted as the leads were not repushed from NovaWorks to the Echo Dialer last night, affecting the leads-to-order journey. The application team manually repushed the leads circle-wise, after which the leads started reaching the FE. Once all leads were successfully delivered, the issue was resolved.</t>
  </si>
  <si>
    <t>Leads were not reached to FEs.</t>
  </si>
  <si>
    <t>APB_SBA, NFB-CKYC, NFB-Wallet, NFB-TransitCards</t>
  </si>
  <si>
    <t>INC0551895</t>
  </si>
  <si>
    <t xml:space="preserve">NFB-Onboarding Application Vertical was experiencing an issue impacting account creation across multiple use cases.  </t>
  </si>
  <si>
    <t>In this issue, NFB-Onboarding team reported an incident affecting multiple onboarding applications, causing failures in account creation and wallet provisioning workflows. Investigation by the NFB-Onboarding TechOps team revealed error code 99 with the message “Couldn't find the Message for [-1]” originating from the CBS system. Further analysis by the NFB-CBS team identified that a hotfix—A012 API Hotfix OBPM (NEFT) activity—was deployed under change number CHG0007123, which was later confirmed as an unauthorized change. The activity, implemented the previous night, did not include the necessary JVM restarts, leading to the observed errors. The CBS team subsequently restarted all 16 JVMs, after which system performance improved and the issue was resolved.</t>
  </si>
  <si>
    <t>For NFB-SBA Account Creation Comparison: {D vs (D-7)}= 22-1499= 1477 (98.53%)
For NFB-CKYC Account Creation Comparison: {D vs (D-7)}= 18-719= 701 (97.50%)
For NFB-Wallet Creation Comparison: {D vs (D-7)}= 40-1499= 1459 (97.33%)
For NFB-TransitCards Wallet Creation Comparison: {D vs (D-7)}= 7-1209= 1202 (99.42%)</t>
  </si>
  <si>
    <t>INC15495692</t>
  </si>
  <si>
    <t>Echo Dialer reporting was impacted for PAN India.</t>
  </si>
  <si>
    <t>In this issue, it was identified that Supervisors had no visibility on received or processed data due to which Echo Dialer reporting was impacted. Further, Oracle DBA team identified that data was not synced with production on these servers (10.222.174.26/27). To resolve the issue, Oracle DBA team restarted the syncing service, post which issue got resolved.</t>
  </si>
  <si>
    <t>INC15492718
INC15492753</t>
  </si>
  <si>
    <t>1) Internal error (ORA 600 [kcbrmflx_2]) detected in /u02/app/oracle/diag/rdbms/dthobddr/DTHOBDDR1/alert/log.xml at time/line number
Alert Start Time: 09/08/2025 16:04 hrs
Event No: INC15492718, 
2)Internal error () detected in /u02/app/oracle/diag/rdbms/dthobddr/DTHOBDDR1/alert/log.xml at time/line number
Alert Start Time: 09/08/2025 16:09 hrs
Event No: INC15492753</t>
  </si>
  <si>
    <t>8/9/2025  4:04:00 PM
8/9/2025  4:09:00 PM</t>
  </si>
  <si>
    <t>8/9/2025  6:13:00 PM
8/9/2025  6:13:00 PM</t>
  </si>
  <si>
    <t>Supervisors/MIS users had no visibility in real-time data.</t>
  </si>
  <si>
    <t>eCAF_EKYC, eCAF_Simswap</t>
  </si>
  <si>
    <t>INC15499073</t>
  </si>
  <si>
    <t>Prepaid and Postpaid acquisition was impacted intermittently via eKYC.</t>
  </si>
  <si>
    <t>In this issue, eKYC was not working, which had impacted Postpaid, Prepaid, and SIM Swap journeys. The problem was found to be from the UIDAI end, and a mail was raised to their team. Subsequently, UIDAI performed the required technical actions at their end, after which the eKYC service was restored successfully.</t>
  </si>
  <si>
    <t>Prepaid :  (D vs D-7: 33460 vs 34250) is 2% dip.
Postpaid: (D vs D-7: 651 vs 646 ) is no dip
Simswap:. (D vs D-7: 5139 vs 8500) is 40% dip.</t>
  </si>
  <si>
    <t>INC15508713</t>
  </si>
  <si>
    <t>Postpaid and Broadband SMS delivery (Instant KCI) were impacted.</t>
  </si>
  <si>
    <t>In this issue, it was identified that DNC was not receiving response from the CLM end, due to which Postpaid and Broadband SMS delivery (Instant KCI) were impacted. During troubleshooting it was identified that solace queue at ESB end was full for NRT job of CLM. To mitigate the issue, CLM team restarted the impacted job, Post which DNC team repushed the Pendency and issue got resolved.</t>
  </si>
  <si>
    <t>Root Cause Analysis -
The recurring issues affecting the BTFLY_KCI application stemmed from persistent server-side bottlenecks, primarily due to insufficient memory allocation on the CLM servers. Throughout the series of incidents, the lack of adequate memory led to unresponsiveness in the CLM servers, which in turn caused failures in SMS delivery for both postpaid and broadband services, including both instant and non-instant KCI notifications.
Each incident followed a similar pattern; critical jobs became stuck or blocked because of full ESB/Solace queues or stuck publishing processes. These failures prevented DNC from receiving timely responses from CLM end, resulting in delayed delivery and system pendency. Although immediate mitigation steps—such as job restarts, server resets and republishing pendency temporarily resolved each occurrence, but the underlying capacity issue remained.
Analysis of troubleshooting steps highlighted a clear correlation between memory shortages and server performance degradation. While current queue configurations and bind counts were within expected parameters, the infrastructure could not hold message consumption demands. The persistent nature of the problem, despite these measures, confirmed that the root cause lay in the existing infrastructure’s inability to handle peak loads and message volumes.
Moving forward, the RCA identifies the following contributing factors:
•	Insufficient server memory on the CLM end, leading to unresponsiveness and job failures.
•	Queue congestion due to high message volume and slow processing rates.
•	Non-optimized separation between critical and non-critical queues, reducing the system’s flexibility during high-load scenarios.
Preventive Actions: 
•	VM team to add memory to CLM servers to resolve memory shortage. – Jitendra / Sunil / Vikas Jain (Open)
•	Segregate critical and non-critical queues as a mitigation strategy. – Sunil / Kanchan (Open)
•	List and implement steps for separate VPNs, including updating publisher/consumer configurations and queue migrations. – Praveen / Kanchan (Open)
The approval and implementation of additional VM memory are underway as permanent corrective action. Further, ongoing efforts to segregate queue priorities and formalize job identification procedures will help mitigate future risks and optimize the reliability of SMS delivery for BTFLY_KCI.</t>
  </si>
  <si>
    <t>PRB0044536</t>
  </si>
  <si>
    <t>INC15507308</t>
  </si>
  <si>
    <t>Symptom:
1) SOLACE_VPN_SPOOL_QUOTA_ALERTS
QUEUENAME : BbNrtResSerSmsSolSucc01Q
Alert Start Time: 11/08/2025 12:55 Hrs
Event No: INC15507308</t>
  </si>
  <si>
    <t>36k Pendency</t>
  </si>
  <si>
    <t>INC15509884</t>
  </si>
  <si>
    <t>COCP orders acquisition was impacted.</t>
  </si>
  <si>
    <t>In this issue, it was observed that the BTFLY_CRM DB RT was high which triggered the issue leading to an impact in COCP acquisition. Further, to resolve this, App DB team restarted all nodes for the DB, post which the connections to DB resumed and services resumed normally.</t>
  </si>
  <si>
    <t xml:space="preserve"> TG alert</t>
  </si>
  <si>
    <t>1) Web request service
[butterfly-cocp-service] - butterfly-cocp-service-
Alert Start Time: 11/08/2025 16:04 Hrs
Event No: TG alert</t>
  </si>
  <si>
    <t xml:space="preserve"> 11/08/2025 16:04</t>
  </si>
  <si>
    <t>Success Dip (D vs D-7): 18 orders (1 vs 19)</t>
  </si>
  <si>
    <t xml:space="preserve">INC15514776 </t>
  </si>
  <si>
    <t>Multiple reports were being delayed.</t>
  </si>
  <si>
    <t>The issue occurred when multiple DARTS servers became inaccessible from ACROS after a DARTS change(CHG0190550) last night, causing delays in report generation. The network team first rolled back one server as a test, which restored access. They then changed the ports of the impacted IPs back to the previous setup, which showed improvement. After this change, all servers became accessible and the issue was resolved.</t>
  </si>
  <si>
    <t>P1/P1/P1
P1/P1
P1
P1
P1</t>
  </si>
  <si>
    <t>INC15513240 / INC15513255 / INC15513823
INC15513289 / INC15513288
INC15513649
INC15513641 / INC15513667
INC15513756</t>
  </si>
  <si>
    <t>Symptom:
1)Multiple BGP Peer State of BAL-NDA62-2B-DART-7504-SPINE-1.novaworld.in IP: 10.222.12.106/107/105 is Down
Alert time : 2025-08-11 23:23
Event No : INC15513240 / INC15513255 / INC15513823
2)Multiple Network Interface goes DOWN at Monday, for Node = BAL-NDA62-2B-7280-DART-LEAF-B1-3.novaworld.in, Node IP = 10.222.22.169, Interface Name = Port-Channel1000, Interface Description = MLAG Peer Link# 
Alert time : 2025-08-11 23:31
Event No : INC15513289 / INC15513288
3)Hostname:DARTCLUS01N1 severity: Disaster Trigger: Following n1pl-wrkr143.dartclus01n1.india.novatel.internal is in NotReady State
Alert time : 2025-08-12 00:22
Event No : INC15513649
4)multiple DARTCLUS01N1 severity: Average Trigger: Following kubelet Service is down over n1pl-wrkr143.dartclus01n1.india.novatel.internal node 
Alert time : 2025-08-12 00:22
Event No : INC15513641 / INC15513667
5)Hostname:DARTCLUS01N1 severity: Disaster Trigger: Following Cluster Operator - machine-config presently in Degraded state
Alert time : 2025-08-12 00:36
Event No : INC15513756</t>
  </si>
  <si>
    <t>8/11/2025 23:23
8/11/2025 23:31
8/12/2025 0:22
8/12/2025 0:22
8/12/2025 0:36</t>
  </si>
  <si>
    <t>Open
Open
8/12/2025 6:00
8/12/2025 6:00
8/12/2025 6:02</t>
  </si>
  <si>
    <t>15 Reports was impacted.</t>
  </si>
  <si>
    <t>CHG0190550</t>
  </si>
  <si>
    <t xml:space="preserve">Postpaid and Broadband SMS delivery (Instant KCI and Non- Instant KCI) were impacted. </t>
  </si>
  <si>
    <t xml:space="preserve">In this issue, the same problem has re-occurred where BTFLY_KCI was not getting response from CLM end which further impacted both Instant and Non- Instant KCI. During troubleshooting, it was identified that Publisher was not able to publish the data due to which SMS was getting failed. To mitigate the issue, CLM Dev team enabled traffic for all the flow, post which pendency started getting cleared. </t>
  </si>
  <si>
    <t>Symptom
1)SOLACE_VPN_SPOOL_QUOTA_ALERT | QUEUENAME:BbNrtResSerSmsSolSucc01Q
Alert time -  2025-08-11 16:20Hrs
Event No - INC15507308</t>
  </si>
  <si>
    <t>Instant KCI : 25k pendency( Postpaid- 22K , Broadband- 3k)
Non- Instant- 27 Lacs</t>
  </si>
  <si>
    <t>Broadband Customer Experience Journey, Prepaid Customer Experience Journey, Postpaid Customer Experience Journey, DTH Customer Experience Journey</t>
  </si>
  <si>
    <t>INC15518636</t>
  </si>
  <si>
    <t>CC advisors were unable to view open SR in Service Portal for all LOBs.</t>
  </si>
  <si>
    <t xml:space="preserve"> In this issue, CC advisors reported that open SRs were not visible in the Service Portal for all LOBs. During troubleshooting, it was identified that a Kafka-related error was observed at the Case &amp; Interaction end. The team performed a pod refresh of the Case Listing pod, after which the issue was resolved.</t>
  </si>
  <si>
    <t>P3
P2
TG Alert</t>
  </si>
  <si>
    <t>INC15518025, INC15518022, INC15518016, INC15518020, INC15518029, INC15518030
INC15517866
TG Alert</t>
  </si>
  <si>
    <t>Direct:
1) Multiple Telnet Connectivity Issue | 10.55.202.XX
Alert Start Time: 12/08/2025 11:44
Event No: INC15518025, INC15518022, INC15518016, INC15518020, INC15518029, INC15518030
Symptom
1) sp_multitenant_api_failure_percent|
High Failure in last 10M  Total Count : 5691  Failure Count : 1445  Failure % : 25.39 
URL : https://mediation-gloo.novatel.example/ilws/InstantLinkSOA
Alert Start Time: 12/08/2025 11:34
Event No: INC15517866
2) Host Name : StatusCode_Gloo_API_Informational_CS
AUTHORITY : mediation-gloo.novatel.example
Current Value : 1439.0
Alert Start Time: 12/08/2025 11:41
Event No: TG Alert</t>
  </si>
  <si>
    <t>8/12/2025 11:44
8/12/2025 11:34
TG Alert</t>
  </si>
  <si>
    <t>8/12/2025 12:14
8/12/2025 12:04
TG Alert</t>
  </si>
  <si>
    <t xml:space="preserve"> Success hits: (D vs D-5 : 163 vs 2492 : 2329) is 93.45%.</t>
  </si>
  <si>
    <t>INC15520073</t>
  </si>
  <si>
    <t>Broadband Installation was impacted.</t>
  </si>
  <si>
    <t xml:space="preserve">In this issue, users reported an ACS related error during processing of orders in NovaWorks, triggering an issue in Broadband orders installation. Further, it was identified that requests were landing on an unhealthy server whoch impacted the services, ACS team took a restart of impacted services post which the issue was resolved. </t>
  </si>
  <si>
    <t>INC15519667, Alert98257796</t>
  </si>
  <si>
    <t>Symptom:
1) DN_TASK_FAILURE_ALERT_NOC | API : CPE Configuration
Alert Start Time: 2025.08.12 14:53:32
Event No:INC15519667, Alert98257796</t>
  </si>
  <si>
    <t>975 CPE config failures</t>
  </si>
  <si>
    <t>Black Customer Experience Journey, Broadband Customer Experience Journey, Postpaid Customer Experience Journey
Prepaid Customer Experience Journey, DTH Customer Experience Journey, Xsafe Customer Experience Journey</t>
  </si>
  <si>
    <t>IVR, Lobby</t>
  </si>
  <si>
    <t>INC15521231</t>
  </si>
  <si>
    <t>Customers were unable to send SMS.</t>
  </si>
  <si>
    <t>In this issue, it was observed that IVR customers were not able to send SMS via Message Broker as the concerned IP was not able to ping nor telnet. Further, it was identified that there was a route refresh at AES end, which triggered the issue, meanwhile, to resolve this, Network team proceeded with a BGP refresh and the issue stands resolved.</t>
  </si>
  <si>
    <t>Digital Experience B2C, ABGB</t>
  </si>
  <si>
    <t>Success dip (D vs D-1): 588,160 (10,404 vs 598,564) is 98%</t>
  </si>
  <si>
    <t>Issue retriggered where BTFLY_KCI was not getting response from CLM end which further impacted both Instant and Non- Instant KCI. Upon investigation, issue was identified with one of the CLM server due to which few jobs got stuck. To mitigate, CLM dev team killed the jobs and took restart of the server, post which pendency started clearing and issue got resolved.</t>
  </si>
  <si>
    <t>1)SOLACE_VPN_SPOOL_QUOTA_ALERT | QUEUENAME:BbNrtResSerSmsSolSucc01Q</t>
  </si>
  <si>
    <t xml:space="preserve"> Instant KCI : 59267
Non- instant pendency count:1771572</t>
  </si>
  <si>
    <t>INC15522433</t>
  </si>
  <si>
    <t>In this issue, CC advisors were facing issue in MOP scenario. Upon investigation, it was identified that failures were being observed by Service Portal team on routermanagement/getConnectionDetails API since timeout was being observed by HB_Atom team from ACS end. However, without any technical intervention issue stands resolved.</t>
  </si>
  <si>
    <t>INC15521289,INC15521300,INC15521307</t>
  </si>
  <si>
    <t>1)Multiple sp_multitenant_api_failure_percent||High Failure in last 10M ** Total Count : 4604  Failure Count : 1352  Failure % : 29.37 
URL : https://hbatomdn-prod.novatel.example/routermanagement/getConnectionDetails
URL : https://hbcrmeailb.india.novatel.internal:6112/siebel/v1.0/service/HUMBDServices/QueryAccountInfo
URL : http://esbonline3.novaworld.in:8011/managecustomerdata_V1_8/customer</t>
  </si>
  <si>
    <t>8/12/2025  5:51:00 PM
8/12/2025  5:51:00 PM
8/12/2025  5:51:00 PM</t>
  </si>
  <si>
    <t>8/12/2025  6:26:00 PM
8/12/2025  6:29:00 PM
8/12/2025  6:29:00 PM</t>
  </si>
  <si>
    <t>Success Hit Dip:(D vs D-3: 31040 vs 32504 : 1464) is 4.5%.</t>
  </si>
  <si>
    <t xml:space="preserve"> BTFLY_KCI was not receiving responses from the CLM end, which impacted both Instant and Non-Instant KCI delivery. To fix the issue, the CLM team performed a POD refresh and restarted their services. Following this, the BTFLY_KCI team also restarted their services and repushed the pending messages. After the repush, the pendency started clearing and services returned to normal.</t>
  </si>
  <si>
    <t>Quantified Business Impact: Instant KCI : 20k.
Non- instant pendency count: Approx. 8 lakhs.</t>
  </si>
  <si>
    <t>Nova App, Message Broker</t>
  </si>
  <si>
    <t>INC15526866</t>
  </si>
  <si>
    <t xml:space="preserve">Nova App login for new users and other services which required OTP along with MNP, VMN and 121 SMS were impacted. </t>
  </si>
  <si>
    <t xml:space="preserve">In this issue, Users were unable to get the OTP which further impacted the login in Nova App along with that MNP, VMN and 121 help SMS were also impacted. During the troubleshooting, it was identified that host was in hung state due to which servers hosted on it went down, To restore this, VMware team physically rebooted it, post which issue got resolved. </t>
  </si>
  <si>
    <t>100% login impact on Nova App for new users</t>
  </si>
  <si>
    <t>INC15530183</t>
  </si>
  <si>
    <t>CC Advisors were not able to Fetch details for Broadband LOB</t>
  </si>
  <si>
    <t>In this issue, users reported that they were not fetch details for Broadband LOB. Further, it was identified that all the 4 Pods for Guardian service of Service Portal were restarted automatically, which triggered the issue but the services became stable automatically after some time resolving the issue without any technical intervention.</t>
  </si>
  <si>
    <t xml:space="preserve">20309 Failure hits </t>
  </si>
  <si>
    <t>Mpower</t>
  </si>
  <si>
    <t>INC15567171</t>
  </si>
  <si>
    <t>Call Centre advisors were unable to access Mpower application.</t>
  </si>
  <si>
    <t xml:space="preserve"> In this issue, it was identified that the apache services were hung, which triggered the issue. To restore functionality, ACS team performed a service refresh, after which the issue was resolved.</t>
  </si>
  <si>
    <t>Mpower login was impacted.</t>
  </si>
  <si>
    <t>Black Acquisition Journey, Broadband New Customer Acquisition Journey,
Prepaid New Customer Acquisition Journey,
Postpaid Retail Customer Acquisition Journey</t>
  </si>
  <si>
    <t>INC15531820</t>
  </si>
  <si>
    <t>Intermittent Acquisition was impacted in eCAF at Stores.</t>
  </si>
  <si>
    <t>In this issue, users reported that they were getting could not get data for order id error while acquisition of customers via eCAF in Stores. Further, it was observed that the issue was resolved automatically without any technical intervention.</t>
  </si>
  <si>
    <t>Prepaid acquisition dip(d vs d-7): 128 orders (12450 vs 12578)</t>
  </si>
  <si>
    <t>Nova App Experience Journey, Broadband Customer Experience Journey (Call Center), Black Customer Experience Journey (Call Center), DTH Customer Experience Journey (Call Center), Prepaid Customer Experience Journey (Call Center), Postpaid Customer Experience Journey (Call Center), Prepaid Online Recharge Journey, Postpaid Payment Posting Journey, Broadband Payment Posting Journey, ATB Customer Experience Journey</t>
  </si>
  <si>
    <t>Service Portal, DPS, DCAP, OneNova, ATB, Nova App, Financial_Services, POQ, LAPU_MT</t>
  </si>
  <si>
    <t>INC15536398</t>
  </si>
  <si>
    <t>Multiple applications were impacted because of issue at Kong layer.</t>
  </si>
  <si>
    <t>In this issue, It was identified that all Kong Servers’ NIC connectivity got impacted for both Data Centers (DCs) which impacted multiple journeys. To fix the issue, Kong team in coordination with Unix and Network team reconnected the NICs which got disabled while carrying out the change (CHG0191289) by application team.</t>
  </si>
  <si>
    <t>Primary root cause:
Specification Leg-01
Q1: Why did a case of service disintegration affect multiple significant journeys?
Ans: Because, Due to the unavailability /failure of services for a variety of scenarios and functionalities across multiple applications. The online recharges &amp; Bill Payment, along with Customer experience processes showed the most noticeable effects.
Q2: Why did failure/service unavailability was observed in multiple applications at the same time?
Ans: Discussion with applications team uncovered that, affected upstream applications(Service Portal, DPS, DCAP, OneNova, ATB, Nova App, Financial_Services, POQ) were associated with KONG gateway (Selfcare_B2C) and failure was observed over KONG layer as its serving to multiple digital profile services. Since, it’s all of the nodes were detached from the network layer, which caused the outage.
Q3: Why all KONG nodes got disconnected form network layer?
Ans: Yesterday, there was a change- CHG0191289 made in relation to NIC disconnections and all KONG servers were part of this change this outage was happened. NIC disconnection was performed as part of the ongoing VM to OCP migration, which involves moving workloads and  it’s a recurring standard procedure.
Q4: Why after moving impacted services form N1 DC to N2 it not get sustain there? 
Ans: This change was originally intended to occur on 35 nodes NIC decommissions, but it ended up affecting about 200 nodes. In addition, the sheet attached in Change contains KONG IPs for both DCs (N1/N2), which prevented the application team from sustaining services from N1 DC to N2 DC hence, KONG resilience was compromised.
Q5: Why the sheet attached in Change contains KONG IPs for both DCs (N1/N2)?
Ans: Discussion further with application team updated that , NIC decommission was supposed to happened on only 35 nodes but the correct sheet was inadvertently switched by one of the application team folks, resulting in this circumstance.
Detection Leg- 02 
Q1: Why issue was not get proactively arrested on time NIC disconnections?
Ans: Because, the snooze requests for these servers monitoring  were already made in system prior to activity which prevent appropriate/direct alert for the service degrade and not get converted into incident. It is advised to team that monitoring should not be revoked prior to any activity without explicit NOC approval, and this process must be strictly followed to avoid missing alerts.
Q2: Why team took longer time to restore the services, led increase the overall MTTR?
Ans: Since monitoring was already revoked, caused a delay in identifying the actual problem along with that count of servers' NICs disconnected at higher end and manual interventions were needed to reconnect them hence, the overall MTTR was at the upper end.
Systemic leg-03
Q1: Why this NIC decommission change led to overall outage in the system?
Ans: Because, the change was carried out on at attachment place in change by application team which unintentionally got changed and having KONG IPs for both DCs (N1/N2) and compromise the resiliency as well. Since Kong layer serving to multiple digital profile services, impact was extensive. Hence, approvers are advised to reverify the attachments/sheet in change while authorizing such modifications to avoid such happenings. Also suggesting to implement maker checker process as per fesibility.
Observation: 
•	Because some servers' NICs disconnected and manual interventions were needed to reconnect them, the overall MTTR was at the upper end. 
•	It was also observed that the change request had inadvertently updated the wrong attachment; hence, approvers are encouraged to verify the sheet when authorizing such modifications.
•	In addition, these servers' monitoring was stopped, and no incident was sent to the proper Bin, which caused a delay in identifying the problem. 
•	It was also discovered that NIC disconnection had occurred in both data centers, compromising KONG's resiliency.
Preventive Actions:
•	NIC disconnection changes need to be carried out in lean hour( after 00:00 Hrs) to avoid broader impact- Open Aklank
•	Servers monitoring should not be revoke prior to any activity and without NOC approval - Open Shahnawaz
•	Linux team to make the automated script for disconnect NIC restoration for time saving. Closed  Aklank
•	Maker checker process also need to be relook and implement across such changes as per feasibility. Open Sachin/Aklank</t>
  </si>
  <si>
    <t>PRB0044538</t>
  </si>
  <si>
    <t>Digital Experience B2C, Postpaid, Digital Acquisition, Digital Experience B2B, Prepaid</t>
  </si>
  <si>
    <t>INC15533363,INC15533351,INC15533359,INC15533360
INC15533325,INC15533490,INC15533882,INC15533911,INC15533949,INC15534049 , INC15533647 , Alert98317146 ,INC15533330,INC15533415,Alert98315770</t>
  </si>
  <si>
    <t>1) Multiple kong port down alert 10.5.XX.XX/10.222.XX.XX/10.5.XX.XX/10.241.XX.XX/10.222.XX.XX/10.242.152.117
Alert time: 8/13/2025, 8:52 Hrs
Event No. -  INC15533363,INC15533351,INC15533359,INC15533360
2)Multiple application Performance Alerts
Alert time: 8/13/2025, 8:52 Hrs
Event No. -  INC15533325,INC15533490,INC15533882,INC15533911,INC15533949,INC15534049 , INC15533647 , Alert98317146 ,INC15533330,INC15533415,Alert98315770</t>
  </si>
  <si>
    <t>2025-08-13 20:58:15 
2025-08-13 20:58:15
2025-08-13 20:58:15
2025-08-13 20:58:15
2025-08-13 20:58:15
2025-08-13 21:31:10
2025-08-13 21:24:07
2025-08-13 21:22:58
2025-08-13 21:21:58
2025-08-13 21:08:45
2025-08-13 21:04:07
2025-08-13 21:00:42
2025-08-13 20:56:25
2025-08-13 20:55:08</t>
  </si>
  <si>
    <t>2025-08-13 21:38:15
2025-08-13 21:48:10
2025-08-13 22:03:08
2025-08-13 21:33:12
2025-08-13 21:45:49
2025-08-13 21:37:02
2025-08-13 21:36:58
2025-08-13 21:37:58
2025-08-13 21:22:56
2025-08-13 21:18:27
2025-08-13 21:58:42
2025-08-13 21:06:25
2025-08-13 21:06:08</t>
  </si>
  <si>
    <t xml:space="preserve">DPS Success Dip: 49047 ( D vs D-7: 26176 vs 75223) is 65%.
DCAP Payment Posting: Approx. 33k Dip(95% Payment dip) observed in Payment Posting for all LOB. 
ATB - Login via OTP to ATB was impacted.      
Nova App traffic Dip: 99975 (D: 7004 Vs D-7: 106979).                                                      
Service Portal:100% Login was impacted         
LAPU MT Success Dip- 65770 ( D vs D-7: 13169 vs 78939) is 83%.         </t>
  </si>
  <si>
    <t>CHG0191289</t>
  </si>
  <si>
    <t>Broadband Customer Experience Journey (Call Center), Black Customer Experience Journey (Call Center), DTH Customer Experience Journey (Call Center), Prepaid Customer Experience Journey (Call Center), Postpaid Customer Experience Journey (Call Center), Prepaid Online Recharge Journey, Broadband Customer Experience Journey, Postpaid Customer Experience Journey, DTH Customer Experience Journey, Postpaid Payment Posting Journey, Broadband Payment Posting Journey, Black Payment Posting Journey</t>
  </si>
  <si>
    <t>Service Portal, Selfcare_B2C, LAPU_MT, DCAP, BSL, BTFLY_BILLING, BTFLY_ATOM, DTH_OM, HB_Billing, HB_ATOM</t>
  </si>
  <si>
    <t>INC15545627</t>
  </si>
  <si>
    <t xml:space="preserve"> Multiple application hosted on 62 DC observed service disruption.</t>
  </si>
  <si>
    <t>During the troubleshooting, it was identified that there was an activity planned to migrate switches for new Fabric and In pre-requisite there was some issue occurred in running the script which further increased the CPU Memory utilization and triggered the issue. To restore this, Network team killed processes post which CPU and memory devices came back to normal.</t>
  </si>
  <si>
    <t>Primary Root Cause:
Leg 01 – Specification 
Q1. Why were service disruptions observed across multiple critical business journeys? 
A1. Because two network devices impacted servers in VLAN 523 and VLAN 527 experienced instability, disrupting order and payment posting operations across Postpaid, Broadband, Prepaid, Black and DTH business journeys and their downstream systems. 
Q2. Why were network devices in VLAN 523 and VLAN 527 impacted? 
A2. Because unexpected excessive load on legacy EOS network switches caused CPU spikes, memory exhaustion and abnormal control-plane behavior, including incorrect VLAN gateway MAC address learning from neighboring switches. 
Q3. Why did CPU and memory exhaustion occur? 
A3. Because during the prerequisite step of the network migration activity, a resource-heavy precheck script was executed to capture ARP tables, MAC addresses, STP instances and interface counters on switches which caused instability across multiple switches. 
Q4. Why was the script resource-heavy and disruptive? 
A4. Because it was designed to fetch large datasets in a single run, generating significant control-plane load beyond the processing capability of legacy EOS network devices. 
Leg 02 – Detection 
Q1. Why was the issue not detected proactively? 
A1. Because no real-time CPU/memory utilization monitoring was enabled during the precheck script execution. 
Q2. Why was monitoring not enabled for this activity? 
A2. Because the precheck script was considered routine / low-risk and therefore not categorized as a high-impact activity requiring additional monitoring. 
Leg 03 – Systemic Failure 
Q1. Why did executing an unvalidated script in production lead to a service outage? 
A1. Because the script was not tested in lab/staging, no device-specific CPU/memory impact analysis was performed and change governance did not mandate validation of resource-intensive scripts resulting in CPU spikes, control-plane instability and widespread service disruption. 
Q2. Why was lab/staging validation not enforced? 
A2. Because staging environments were not fully representative of the legacy EOS production fabric and network team prioritized production execution under OEM, Arista supervision. 
Key Recommendations –
• Replace end-of-life EOS devices with stable, supported versions of the fabric. 
• Avoid replacing the entire fabric in a single phase to reduce risk and impact. 
• Schedule high-impact migration activities during off-peak hours to limit business disruption. 
Preventive Actions - 
1. Sample script to be tested in lab/staging environments before execution on production devices. - Deepak (Open) 
2. Pre-change risk assessment to include device CPU/memory impact analysis for planned scripts. - Deepak (Open) 
3. Implement real-time monitoring/alerting for CPU and memory during critical activities. - Deepak (Open) 
4. Review and tune control-plane policing (CoPP) and system resources to mitigate risks from high load. - Deepak (Open)</t>
  </si>
  <si>
    <t xml:space="preserve">PRB0044539 </t>
  </si>
  <si>
    <t>Digital Experience B2C, DTH, Postpaid, Prepaid, Broadband</t>
  </si>
  <si>
    <t>P1,P1,P1
P2,P2,P2</t>
  </si>
  <si>
    <t>INC15544691,INC15544692,INC15544694,INC15544696,INC15544698,INC15544686,INC15544689,INC15544684
INC15544712,INC15544717,INC15545001,INC15545250,INC15543804,INC15545255,NC15545254,INC15545252,INC15545086,INC15545103,INC15545080,INC15545051,INC15545345,INC15544700,INC15544730,INC15544757,INC15545184,INC15544925</t>
  </si>
  <si>
    <t>Direct
1) Multiple CENTRAL_Sector-62:CPU Utilization of Node BAL-NDA62-2B-7280-DART-LEAF-B1-5.novaworld.in is greater than 70%, which is 90 %_10.222.22.102/155
CENTRAL_PHASE-II:CPU Utilization of Node BAL-NDA62-2B-7050-CLSTK-LEAF-P2-1.novaworld.in is greater than 70%, which is 86 %_10.222.22.176
CENTRAL_Sector-62:CPU Utilization of Node BAL-NDA62-2B-7280-DART-LEAF-B1-5.novaworld.in is greater than 70%, which is 90 %_10.222.22.194
Alert time: 8/14/2025,22:09 Hrs
Event No. -  INC15544691,INC15544692,INC15544694,INC15544696,INC15544698,INC15544686,INC15544689,INC15544684
Symptom
1)Multiple application Performance Alerts
Alert time: 8/14/2025, 22:10 Hrs
Event No. -  INC15544712,INC15544717,INC15545001,INC15545250,INC15543804,INC15545255,NC15545254,INC15545252,INC15545086,INC15545103,INC15545080,INC15545051,INC15545345,INC15544700,INC15544730,INC15544757,INC15545184,INC15544925</t>
  </si>
  <si>
    <t>2025-08-14 22:10:04,2025-08-14 22:10:05,2025-08-14 22:09:56
2025-08-14 22:11:11,2025-08-14 22:11:08,2025-08-14 22:24:19</t>
  </si>
  <si>
    <t>2025-08-14 22:20:19,2025-08-14 22:20:15,2025-08-14 22:20:11
2025-08-14 22:41:11,2025-08-14 22:41:08,2025-08-14 23:09:24</t>
  </si>
  <si>
    <t>Service Portal Success Dip: 332 ( D vs D-7: 382 vs 714) is 46%.
LAPU_MT Success Dip: 1785 (D vs D-7: 1819 vs 3604) is 49%. 
DTH_OM: 1600+ change order of IPTV/Black were stuck.
Dcap - 3500 pendency
Selfcare_B2C: 611990 Failure Hits during the Impact.
BTFLY_ATOM Impact:791 orders</t>
  </si>
  <si>
    <t>INC15550448</t>
  </si>
  <si>
    <t xml:space="preserve">CDR Reports were impacted. </t>
  </si>
  <si>
    <t>In this issue, it was identified that DARTS 1 was not able to establish connectivity with DARTS 2, which was causing CDR report execution to fail. The network team identified the issue to be related to the VLAN and performed an ARP refresh, after which the connectivity was re-established and the issue was resolved.</t>
  </si>
  <si>
    <t>P1,P1,P1
P4
P4,P4,P4</t>
  </si>
  <si>
    <t>INC15544691,INC15544692,INC15544694,INC15544696,INC15544698,INC15544686,INC15544689,INC15544684
INC15544766
INC15542021/INC15542021/INC15542021/INC15542021/INC15542021</t>
  </si>
  <si>
    <t>1) Multiple CENTRAL_Sector-62:CPU Utilization of Node BAL-NDA62-2B-7280-DART-LEAF-B1-5.novaworld.in is greater than 70%, which is 90 %_10.222.22.102/155
CENTRAL_PHASE-II:CPU Utilization of Node BAL-NDA62-2B-7050-CLSTK-LEAF-P2-1.novaworld.in is greater than 70%, which is 86 %_10.222.22.176
CENTRAL_Sector-62:CPU Utilization of Node BAL-NDA62-2B-7280-DART-LEAF-B1-5.novaworld.in is greater than 70%, which is 90 %_10.222.22.194
Alert time: 8/14/2025,22:09 Hrs
Event No. -  INC15544691,INC15544692,INC15544694,INC15544696,INC15544698,INC15544686,INC15544689,INC15544684
Symptom 
1) he Data Guard status of opsdb is Error ORA-16778: redo transport error for one or more members
NODE-n2pl-pdc-abr101
Alert time: 8/14/2025,22:07 Hrs
Event No. -INC15544766
2)Multiple VCS state of DARTS-CDA12node is not running_HA Failover Alert_event.alert.vom.vcs.cluster.system.down_HostName : n2pl-pac-abc162.india.novatel.internal
Alert time: 8/14/2025,22:10 Hrs
Event No. -
INC15542021/INC15542021/INC15542021/INC15542021/INC15542021</t>
  </si>
  <si>
    <t>2025-08-14 22:10:04,2025-08-14 22:10:05,2025-08-14 22:09:56
2025-08-14 22:07:24
2025-08-14 22:10:20,2025-08-14 22:10:10,2025-08-14 22:10:00</t>
  </si>
  <si>
    <t>2025-08-14 22:20:19,2025-08-14 22:20:15,2025-08-14 22:20:11
2025-08-15 07:52:49
Open,Open,Open</t>
  </si>
  <si>
    <t>16 Reports were impacted.</t>
  </si>
  <si>
    <t>eCAF, ONE_NMS</t>
  </si>
  <si>
    <t>INC15556959</t>
  </si>
  <si>
    <t xml:space="preserve">MNP acquisition was intermittently impacted for EAST circle. </t>
  </si>
  <si>
    <t>In this issue, it was identified that the ONE_NMS database tablespace had become full, due to which eCAF was receiving failures for Prepaid MNP acquisition orders in EAST circle. To restore, DBA team extended the tablespace, after which the errors reduced and the issue got resolved.</t>
  </si>
  <si>
    <t>INC15555864
INC15555942
INC15556010,INC15552421</t>
  </si>
  <si>
    <t>1) ESB Process Failure is greater than 10%
PROCESSNAME : ValidateandAllocateSIM_V1_3.validateandAllocateSIM
Alert Start Time: 16/08/2025 6:13 Hrs
Event No: INC15555864
2)ESB_Access_Log_Critical_API_Alert
API:/services/resource/gatherresourceinformation/validateandallocate/sim/v1_3
Alert Start Time: 16/08/2025 6:38 Hrs
Event No: INC15555942
3)Multiple Failure rate increase
12.6 requests/min impacted
by a failure rate increase to 36 %
Service method: /api/v1/nms/msisdn/mnp
dt.entity.cloud_application_namespace:
Alert Start Time: 16/08/2025 6:51 Hrs
Event No:INC15556010,INC15552421</t>
  </si>
  <si>
    <t>8/16/2025  6:13
8/16/2025  6:38
8/16/2025  6:53</t>
  </si>
  <si>
    <t>8/16/2025  9:33
8/16/2025  9:18
8/16/2025  9:23</t>
  </si>
  <si>
    <t xml:space="preserve">133 Orders was failed. </t>
  </si>
  <si>
    <t>INC15577741</t>
  </si>
  <si>
    <t>SimSwap acquisition was impacted.</t>
  </si>
  <si>
    <t>In this issue, eCAF was receiving "Read timeout" error from ESB due to which issue triggered. Further, upon investigation it was identified that ESB was getting High response time from DSA end on validate and allocate Sim API. However, the spike got settled, post which the issue got resolved.</t>
  </si>
  <si>
    <t>INC15572491 
Tg alert
Tg alert</t>
  </si>
  <si>
    <t>1)Multiple ESB WEBLOGIC 90th Percentile Alert
Sev3,Current Value : 40.01
apiName : /services/resource/gatherresourceinformation/validateandallocate/sim/v1_3
Alert time 2025-08-18 11:12 Hrs
Event NO :INC15572491 
2)impacted service
Web request service
[butterfly-preorder-service] - butterfly-preorder-service-* (/ecaf-postpaid)
Failure rate increase
17 requests/min impacted
by a failure rate increase to 20 %
Service method: /ecaf-postpaid/ecafPostpaid/v1/validator/sim
dt.entity.cloud_application_namespace:  
Alert time 2025-08-18 11:15 Hrs
Event NO :Tg alert
3)Web request service
ESB-Mob-ACQ on port 8011
Failure rate increase
908 requests/min impacted
by a failure rate increase to 90 %
Service method: http://esbmobacq.novaworld.in:8011/
services/resource/gatherresourceinformation/validateandallocate/sim/v1_3
Alert time 2025-08-14 11:21 Hrs
Event NO :Tg Alert</t>
  </si>
  <si>
    <t>8/18/2025 11:12
8/18/2025 11:05
8/14/2025 11:21</t>
  </si>
  <si>
    <t>8/18/2025 11:27
8/18/2025 11:23
8/14/2025 11:26</t>
  </si>
  <si>
    <t>Sim Swap Acquisition dip- (D vs D-7: 709 vs 2280= 1571)</t>
  </si>
  <si>
    <t>Prepaid New Order Sim Swap Journey, Prepaid Customer Retail Acquisition Journey, Postpaid New Customer Acquisition Journey</t>
  </si>
  <si>
    <t>eCAF_Sim Swap, Mitra, eCAF</t>
  </si>
  <si>
    <t>Prepaid, Postpaid and SimSwap acquisition was impacted.</t>
  </si>
  <si>
    <t>The issue resurfaced, where eCAF was receiving 503 error from ESB. Further, ESB was getting timeout from the DSA end due to high traffic. However the spike settled without any technical intervention, post which issue got resolved.</t>
  </si>
  <si>
    <t xml:space="preserve">INC15573370 
Tg alert 
Tg alert </t>
  </si>
  <si>
    <t>1)Multiple ESB WEBLOGIC 90th Percentile Alert
Sev3,Current Value : 40.01
apiName : /services/resource/gatherresourceinformation/validateandallocate/sim/v1_3
Alert time 2025-08-18 12:52 Hrs
Event NO :INC15573370 
2) impacted service
Web service
[cart-service-canary] - CartDetailsController
Failure rate increase
259 requests/min impacted
by a failure rate increase to 49 %
Service method: All methods affected
dt.entity.cloud_application_namespace:   
Alert time 2025-08-18 12:55 Hrs
Event NO :Tg alert
3)Web request service
ESB-Mob-ACQ on port 8011
Failure rate increase
908 requests/min impacted
by a failure rate increase to 90 %
Service method: http://esbmobacq.novaworld.in:8011/
services/resource/gatherresourceinformation/validateandallocate/sim/v1_3
Alert time 2025-08-14 13:10 Hrs
Event NO :Tg Alert</t>
  </si>
  <si>
    <t>2025-08-18 12:52:09"
8/18/2025 12:55
8/14/2025 13:10</t>
  </si>
  <si>
    <t>8/18/2025 13:27
8/18/2025 12:58
Open</t>
  </si>
  <si>
    <t>Sim Swap Acquisition dip- (D vs D-7: 84 vs 2020= 1936)
Postpaid Acquisition dip- (D vs D-7: 234 vs 312= 78)
Prepaid Acquisition dip- (D vs D-7: 3012 vs 5452= 2440)</t>
  </si>
  <si>
    <t>INC15577822</t>
  </si>
  <si>
    <t>Prepaid acquisition orders were impacted intermittently.</t>
  </si>
  <si>
    <t>In this issue, it was identified that eCAF was receiving an "OSB service callout" error from ESB. Further analysis confirmed that ESB was encountering timeouts from the DSA end. To further reduce the error, DSA team performed a service refresh for the application, after which the issue was resolved.</t>
  </si>
  <si>
    <t xml:space="preserve"> INC15566296, INC15574055, INC15574216</t>
  </si>
  <si>
    <t xml:space="preserve"> Process Failure is greater than 10%
Host Name : ESB_Failure_Percent_Process_wise
PROCESSNAME : 
ValidateandAllocateSIM_V1_1.validateandAllocateSIM, 
ValidateandAllocateSIM_V1_3.validateandAllocateSIM
Alert Start Time: 18/08/2025 14:22 Hrs
Event No: INC15566296, INC15574055, INC15574216</t>
  </si>
  <si>
    <t xml:space="preserve">	
2025-08-17 14:22:19</t>
  </si>
  <si>
    <t>Success Dip for Prepaid:- 2292 (D: 11001 Vs D-7: 13293) is 17%.</t>
  </si>
  <si>
    <t>Nova IQ Customer Experience Journey, Nova IQ SMS Journey, Nova IQ Voice Journey, Black Customer Experience Journey, Broadband Customer Experience Journey, Postpaid Customer Experience Journey, Prepaid Experience Journey, Broadband Customer Experience (Activation/Install) Journey, Prepaid Online Recharge Journey, Prepaid Retail Recharge Journey</t>
  </si>
  <si>
    <t xml:space="preserve">ECHO, LAPU_MT, LAPU_GT, NovaWorks, NovaTel_IQ Voice, NovaTel_IQ SMS, Skyvault, BTFLY_KCI </t>
  </si>
  <si>
    <t>INC15577219</t>
  </si>
  <si>
    <t>Online and Retail recharges are impacted along with calling and SMS functionality were impacted For UPW and Delhi Circle.</t>
  </si>
  <si>
    <t>In this issue, it was observed that there were some AIR nodes which were down at NSG end(IN) due to BGP related issues which further triggered impact on recharges, calling and SMS services. Moreover, as a mitigating step, IN team isolated the Vikaspuri AIR node and shifted traffic directed to Okhla AIR post which some intermittent improvement was observed in Recharges services, meanwhile on further investigation, issue was identified at transport layer at NSG end for which NSG team took corrective action at their end, post which the issue stands resolved.</t>
  </si>
  <si>
    <t>ABGB, Postpaid, Digital Exp B2C, Prepaid, Digital Acquisition, Nova IQ</t>
  </si>
  <si>
    <t>P2
P2
P3
P3</t>
  </si>
  <si>
    <t>Alert98524624
INC15574769
INC15574781
TG Alert</t>
  </si>
  <si>
    <t>Direct:
1) Multiple Lapu Alerts ERICSSON PROCESS -  i-in-ericssonucip_1
High count for 1002 response code in last 5 min
Host Name : LapuMT_1002_responsecode
Business Group : PREPAID
SERVER : 10.222.197.XXX, 10.241.177.XX
Alert Start Time: 18/08/2025 15:52 Hrs
Event No: Alert98524624, Alert98524626, Alert98524632, Alert98524795, Alert98524796
Symptom:
1) Hostname:IQ SMS MDR NEW
Overall Delivery Rate for IQ SMS MDR HDFC DROPPED BELOW 92% 
Current Delivery Rate is 79.84
Alert Start Time: 18/08/2025 15:43 Hrs
Event No: INC15574769
2) High trend in last 5 minutes
Host Name : Mitra_connection_offline_trends 
CIRCLE : UPW | DL
Alert Start Time: 18/08/2025 15:45 Hrs
Event No: INC15574781, Alert98524650
3) Lapu MT Transaction Failure||for Circle UPW where count is greater than 25 in last 5 min
REASON : Connection Offline
CIRCLENAME : UPW | DEL | NESA | ASSAM
Alert Start Time: 18/08/2025 16:12 Hrs
Event NO: TG Alert</t>
  </si>
  <si>
    <t>2025-08-17 16:13
2025-08-17 15:43
2025-08-17 15;45
2025-08-17 16:12</t>
  </si>
  <si>
    <t>2025-08-17 16:18
2025-08-17 16:18
2025-08-17 16:25
open</t>
  </si>
  <si>
    <t>Provisioning Orders: prepaid-942 ;M2M-1858, LAPU_MT : 2980,
LAPU_GT : 1279</t>
  </si>
  <si>
    <t>Broadband New Customer Acquisition Journey, Postpaid New Customer Acquisition Journey, Black Acquisition Journey, Postpaid Payment Posting Journey, Broadband Payment Posting Journey, Black Payment Posting Journey</t>
  </si>
  <si>
    <t>DCAP, Selfcare_B2C, Lapu_MT, DPS, OneNova, Service Portal, Nova App, BTFLY_ATOM, HB_ATOM, BTFLY_BILLING, HB_BILLING, eCOM, NovaWorks, BTFLY_Rating</t>
  </si>
  <si>
    <t>INC15577287</t>
  </si>
  <si>
    <t>Multiple applications were facing service disruption as billing servers were impacted.</t>
  </si>
  <si>
    <t>In this issue Payment posting as well as experience journeys for Multiple LOBs were impacted, as BTFLY_Billing servers were not getting pinged due to which issue occurred. However, issue got auto-resolved during the course of troubleshooting. Further teams are still analyzing the cause for the issue.</t>
  </si>
  <si>
    <t>Primary root cause:
Specification Leg-01
Q1: Why there was an instance of service degradation experienced in multiple customer Experience and payment posting Journeys?
Ans: Because, multiple upstream applications (DCAP, OneNovaTel, , Lapu_MT, DPS, OneNova, Service Portal,) were getting error from BSL while fetching customer account details; in Service portal and HB_CRM CC users were unable to view customer details as  Billing and Payment Tab option was not working.
Q2: Why multiple applications were getting error from BSL?
Ans: Because, BSL was returning error while upstreams were calling getBillingAccountDetails API; Returned an Invalid or Blank Response, I/O error on GET request for "https://bslprod.india.novatel.internal/v1/billingAccount" API and Read time out error from BSL. 
Q3: Why BSL Billing API was returning error?
Ans: According to the application team, BSL calls FX servers to fetch customer details and there were multiple port down alerts for POSTPAID_FX6.0; 4  FX servers were not getting pinged due to which DB was not connecting. Rating &amp; exposure impacted for these CU's which impacted the customer Bill Cycle.
Q4: Why FX 6.0 CU servers were getting "ping timeout”?
Ans: On further investigation, It was found that four interfaces of FX servers had been flapping over the switch since the issue began, and they were associated with the affected server. To stabilize the situation, the team shut down those interfaces, which resolved the issue. 
Q5: Why network interfaces were flapping?
Ans:  Further analysis revealed that these interfaces were unexpectedly sending DHCP requests and receiving IP addresses, which is not a normal behaviour. This resulted default gateway conflict as server were using another interface for out traffic instead of original production interface in those 4 servers and active production traffic got impacted. 
Q6: Why DHCP traffic request was landing in production environment?
Ans: After thorough analysis, Network team found they received 40 ports port activation request RITM13019954 for FX6.0 servers and planned these to activate by Monday. As part of the pre activation task, team connected the Server cables on switch ports which were in down state but not admin shutdown state. Once port was up; server NIC card was configured which had no IP address, broadcasted the DHCP request and unexpectedly one rouge server with IP 10.14.175.77 has responded and offered IP from DHCP as rogue DHCP server was active in the environment, responding to these requests and assigning IPs.. This resulted BTFLY_Billing servers stopped getting response from Network and caused time out in absence of default gateway on servers. 
Q7: Why only FX6.0 4 VM nodes had an impact wherein there are multiple CUs?
Ans: Approximately, 40 ports across 8-10 servers were involved, but only a subset of FX servers experienced problems due to differences in static IP configuration and DHCP behaviour.
Detection Leg- 02 
Q1: Why this DHCP request conflict was not caught proactively?
Ans: Because, Network and OS team were unaware about OS default behaviour regarding DHCP requests when new NICs are added, even if the DHCP client is not installed or no service is running . 
Network Manager uses its internal DHCP client and auto-generates DHCP profiles for new Ethernet interface by default and uses DHCP (method=auto) for both IPv4 and IPv6 if not defined.
Q2: Why this issue was not identified by Network team while enabling the port?
Ans: Because, while enabling the port SOP was not strictly followed: due to which ports were not set to admin down state before cabling and team was unaware of presence of VLAN on an interface sends a DHCP request within that VLAN and can impact other production traffic by creating rogue DHCP servers or causing conflicts.
Systemic leg-03
Q1: Why did system allow this outage to be happened?
Ans: Because, no port blocking was done on OS hardening and no automated detection or alerting for rogue DHCP servers was present in the environment due to which when port was enabled and NIC card added; DHCP request was sent as team was unaware of normal behaviour on RHEL8 OS  and no global settings was put in place to avoid outage.
Preventive Actions: 
•	Going forward, As per best practice Network team will always admin shut the port at the time of cable connection and then after do the configuration.. Open Shobhit Saxena
•	Follow best practice suggested by Red Hat , to stop the newly detected Ethernet devices getting (DHCP) connections, set no-auto-default=* in custom config or configure devices as unmanaged. . Open Shobhit/ Amit Bajpai
•	Unix Team will check the feasibility of port blocking on OS hardening along with Security Team – Open Amit Bajpai</t>
  </si>
  <si>
    <t>PRB0044541</t>
  </si>
  <si>
    <t>Broadband, Postpaid, Digital Experience_B2C, Digital Acquisition, Prepaid</t>
  </si>
  <si>
    <t>INC15575277,INC15575366,INC15575376,INC15575369,INC15575371,INC15575405,INC15575404,INC15575438,INC15575442,INC15575446,INC15575443,INC15575455,INC15575457,INC15575456,INC15575468
INC15575343</t>
  </si>
  <si>
    <t>1) Multiple application performance alerts
Alert Start Time : 18/08/2025 16:41 Hrs
Event NO: INC15575277,INC15575366,INC15575376,INC15575369,INC15575371,INC15575405,INC15575404,INC15575438,INC15575442,INC15575446,INC15575443,INC15575455,INC15575457,INC15575456,INC15575468
2) Multiple Ping alerts App- FX_K6_Billing
IP- 10.223.131.XXX, 10.223.142.XXX
Alert Start Time : 18/08/2025 16:45 Hrs
Event No : INC15575343</t>
  </si>
  <si>
    <t>17/08/2025  16:41
17/08/2025  16:45</t>
  </si>
  <si>
    <t>17/08/2025  17:07
17/08/2025  17:32</t>
  </si>
  <si>
    <t>Dip in Acquisition orders:
Success Dip:Broadband : 195 (D v/s D-7: 786 v/s 591)
Postpaid : 209 (D v/s D-7: 780 v/s 571)
Black: 282(D v/s D-7: 294 v/s 12)
P2P:  99 (D v/s D-7: 177 v/s 78)
DCAP Payment posting: 6500
Service Portal Success Hits: (D vs D-5: 76 vs 117:47) is 40%</t>
  </si>
  <si>
    <t>INC15577172</t>
  </si>
  <si>
    <t>Postpaid orders were stuck for EV_Accepted task.</t>
  </si>
  <si>
    <t>In this issue, eCAF and eCOM teams reported receiving a 503 error from the ESB API (TrackCustomerOrder). Further, It was identified that the error was caused due to high payload at the impacted nodes. To resolve the issue, ESB team rerouted traffic to other nodes, after which the issue was successfully resolved.</t>
  </si>
  <si>
    <t xml:space="preserve">
P4
P2</t>
  </si>
  <si>
    <t>TG Alert 
INC15576448 , INC15576535 , INC15576679
INC15576609 , INC15576612</t>
  </si>
  <si>
    <t>Symptom:
1)Web request service | ESB-Mob on port 8015 Failure rate increase
[v-*bumblebee-ecom-prod-ecom-prod-n*] - ServiceController
[butterfly-preorder-service] - butterfly-preorder-service-* (/ecaf-postpaid)
Alert time - 2025.08.18 18:16Hrs
Event No - TG Alert 
2)ESB KONG API 503 FAILURE PERCENTAGE STATS: Prec: 100
APINAME:/services/customer/trackcustomerorder/customer/orderdetails/v3
Alert time - 2025-08-18 18:21Hrs
Event No - INC15576448 , INC15576535 , INC15576679
3)ECAF_POSTPAID_COM_EKYC_MILESTONE EV_ACCEPTED having high count | Current Value : 150.0
Alert time - 2025.08.18 18:40 Hrs
Event no  - INC15576609 , INC15576612</t>
  </si>
  <si>
    <t>2025-08-17 18:16
2025-08-17 18:21
2025-08-17 18:40</t>
  </si>
  <si>
    <t>2025-08-17 19:54
2025-08-17 18:42
2025-08-17 19:08</t>
  </si>
  <si>
    <t>EV_Accepted: 717 orders were stuck.</t>
  </si>
  <si>
    <t>Postpaid Payment Posting Journey, Broadband Payment Posting Journey, Black Payment Posting Journey, DTH Dunning Order journey, DTH Customer Experience Journey</t>
  </si>
  <si>
    <t>DCAP, DARTS, DTH_Vector, BTFLY_ATOM, HB_ATOM</t>
  </si>
  <si>
    <t>INC15580646</t>
  </si>
  <si>
    <t>Payment posting was Impacted for all LOB due to getting failure from ESB</t>
  </si>
  <si>
    <t>In this issue, DCAP was receiving timeout errors from the ESB end. Later, multiple applications also started facing errors. To restore the services, ESB team performed a DNS change for the HTTP-based applications and invoked DR for the JMS-based applications. After these actions, improvement was observed and pendency started clearing gradually.
Later it was identified that an activity (CHG0191712) was carried out at Storage end leading to impact,</t>
  </si>
  <si>
    <t xml:space="preserve">Primary Root Cause :
Leg 01 – Specification 
Q1. What caused service disruptions across multiple critical business journeys? 
A1. During the production deployment of OS upgrade prerequisites on IBM Storage N1-FS9150-78E024Y-1A-01 at Sector 62 DC, a rolling reboot of storage controllers was carried out. During this reboot, only two Solace appliances (solprdn101, solprdn102) lost connectivity to the SAN LUNs hosted in N1. This resulted in application impact for payment posting journeys (all LOBs) and DTH/IPTV order journeys. 
Q2. Why did only 2 Solace appliances lose connectivity during the prerequisites? 
A2. Because on these appliances, both HBA controllers dropped simultaneously and multipath did not recover paths automatically. Normally, multipath should protect against such failures. 
Q3. Why didn’t multipath recover? 
A3. Because the OS SCSI INQUIRY responses from the SAN timed out during controller reboot, which caused the multipath software to mark paths as failed. 
Q4. Why were OS SCSI INQUIRYs timing out? 
A4. Because the default RHEL parameter (scsi_mod.inq_timeout) was set to 20 seconds. And as per Red Hat documentation confirms, the default 20 seconds setting, the host OS will stop waiting and fail paths prematurely. Tuning (inq_timeout) to 70 seconds is required for compatibility with IBM SAN. However, in the current environment, multiple application hosts connected to the same IBM storage were still operating with a 20-second timeout without issue. 
Q5. Why was the timeout not tuned? 
A5. Because the Solace appliances were deployed with default multipath configuration and were running on an unsupported SolOS version (10.0.1.68). According to Solace Product Team, these appliances must be upgraded to a supported SolOS release, where multipath/SAN tuning is better aligned with current vendor recommendations. SolOS 10.0.1.68 went out of support on June 21, 2025. 
Leg 02 – Detection 
Q1. Why was this issue not detected proactively? 
A1. Because post-reboot validation focused only on confirming host logins to storage and HBA visibility, not on verifying multipath recovery at the OS level. 
Q2. Why was multipath recovery not verified? 
A2. Because no joint validation checklist existed across Storage, OS, and Solace teams, leading to siloed validations instead of end-to-end assurance. 
Leg 03 – Systemic Failure 
Q1. Why was the outage impact so high and why did DR failover cause delays/slowness across multiple business journeys? 
A1. Because the affected Solace appliances hosted message spools for critical ESB applications. When N1 storage connectivity was lost, workloads had to fail over manually to Bangalore DR as per design, which typically takes 40–50 minutes. Further delays occurred because several applications (e.g. DTH, DCAP) relied on DNS redirection for HTTP-based and JMS-based apps for DR switching instead of using host list/parallel retry in their connection configurations. This dependency on DNS introduced additional latency during failover. 
Preventive Measures :
• Ensure pre- and post-activity checks (dual HBA + multipath recovery) are performed, documented, and jointly reviewed. – Rajnish / Adil – (Open) 
• Establish immediate notification process to inform application teams if dual HBAs or storage path lose connectivity. - Rajnish / Adil – (Open) 
• Implement workflow for explicit approvals from stakeholders before executing storage activities on Solace infrastructure. - Rajnish / Adil – (Open) 
• Compile a list of all ESB VPNs/apps lacking host list configuration, coordinate with application owners to implement host list/parallel retry, and certify DR readiness. - Ashvini / Praveen – (Open)
• Tuning (inq_timeout) required from 20 seconds to 70 seconds at Solace end. - Ashvini / Praveen – (Open)
</t>
  </si>
  <si>
    <t>PRB0044542</t>
  </si>
  <si>
    <t>Postpaid, DTH, Analytics, Broadband</t>
  </si>
  <si>
    <t>P1
P4
P4
P2
P2
P3
P2</t>
  </si>
  <si>
    <t>INC15580349
INC15580140/INC15580172
INC15580159
INC15579500
INC15580405/INC15580404/INC15580408/INC15580409
INC15580591
INC15580710</t>
  </si>
  <si>
    <t>Direct :
1)ping response on IP 10.14.175.62 is down 
App : ESB-SOLACE
Alert time : 2025-08-19 02:45
Event No : INC15580349
Symptom:
1)Multiple ESB_DATASOURCE_SUSPENDED_ALERTS 
Alert time : 2025-08-19 02:28
Event No : INC15580140/INC15580172
2) ESB_WEBLOGIC_5XX_ALERT
Api : APINAME:/services/customer/managecustomerpayments/getpaymenthistory/v2
Alert time : 2025-08-19  2:32
Event No  :INC15580159
3)Multiple Solace_System_Alerts severity
High Trigger: SYSTEM_HA_DISK_PATH_CHG
Trigger Name : SOLACE SYSTEM ALERT
Alert time : 2025-08-19 02:45
Event No : INC15579500
4)Dcap OCP 4 High Failures being Observed for wireless_fail in last 15minutes
Name : PostPaid Payment Posting Failure
Name : Telemedia Payment Posting Failure
Name : Homes Payment Posting Failure
Alert time : 2025-08-19 02:54
Event No : INC15580405/INC15580404/INC15580408/INC15580409
5)High DTH_FAILURE alert in last 15 min||For threshold &gt; 100Host Name : DCAP_DTH_FLOW_FAILURE_ALERTBusiness Group : DCAP
Status : OPENSeverity : P3
Current Value : 116.0
Alert time : 2025-08-19 03:14
Event time : INC15580591
6)Hostname:hb_crm_mo_sr_count alert severity: High Trigger: bill_flag_update alert
Alert time :2025-08-19 03:41
Event No : INC15580710</t>
  </si>
  <si>
    <t>8/19/2025 2:45
8/19/2025 2:28
8/19/2025 2:32
8/19/2025 2:45
8/19/2025 2:54
8/19/2025 3:14
8/19/2025 3:41</t>
  </si>
  <si>
    <t>Open
8/19/2025 2:36
8/19/2025 2:48
8/19/2025 3:00
8/19/2025 4:43
8/19/2025 5:04
8/19/2025 4:16</t>
  </si>
  <si>
    <t>Broadband Payment pendency - 1918 orders.
DTH Payment pendency: 106 orders
JK10 Payment pendency: 48 orders
Mobility: 3700 orders
DTH_Vector: DTH change and resumption order is 100% impacted.</t>
  </si>
  <si>
    <t>CHG0191712</t>
  </si>
  <si>
    <t>APB_DMT, APB_CMS</t>
  </si>
  <si>
    <t xml:space="preserve"> INC0559533</t>
  </si>
  <si>
    <t>Getting insufficient balance issue for multiple partner Rapipay, Levin, IKEDA, PaySprint, STEFRONT where end user is unable to do transaction</t>
  </si>
  <si>
    <t xml:space="preserve"> The NFB‑DMT team has reported that end users are encountering "insufficient balance" errors when attempting transactions for multiple partner Rapipay, Levin, IKEDA, PaySprint, STEFRONT. These issues are currently preventing users from completing their transactions. During troubleshooting, we found that NFB‑RNM development had enabled a check over incoming IMPS transactions and in case the transaction was found not from the whitelisted source the funds were retracted back to origin account. NFB‑RNM team initiated a partial rollback (disabled Kafka consumers on topic- PHImpsTxnStatus for IMPS which was responsible for validation of approved transections) of the recent changes deployed under change request CHG0007391 and periodically restarting all their servers to mitigate the issue. Following the actions taken, an improvement was observed, and the issue was resolved.</t>
  </si>
  <si>
    <t>For NFB-DMT - Transactions Success Comparison Time: {D vs (D-7)= 12335-20119=7784 (38.68% drop in Success transaction)
For NFB-CMS - Transactions Success Comparison Time: 00:00 to 09:32 AM-{D vs (D-7)= 177-181=12 (2% drop in Success transaction)</t>
  </si>
  <si>
    <t>Broadband Customer Experience Journey (Activation/Install), DTH Change Order Journey</t>
  </si>
  <si>
    <t>NovaWorks, DTH_OM, DTH_OE, DTH_Vector, IPTV</t>
  </si>
  <si>
    <t>IPTV installation/activations along with NCA journey were impacted due to getting failures from ESB.</t>
  </si>
  <si>
    <t xml:space="preserve"> In this incident, due to last night storage (CHG0191712) activity ESB moved traffic from North to South Solace box after which, IPTV installations/activation orders got stuck. To restore, ESB team shifted the traffic back to North, post which IPTV installations/activations orders got cleared. </t>
  </si>
  <si>
    <t>Xstream, DTH, Digital Acquisition</t>
  </si>
  <si>
    <t>TG Alert
P2
P2</t>
  </si>
  <si>
    <t>TG Alert
INC15582660
INC15583000</t>
  </si>
  <si>
    <t>Symptom:
1) Pendency observed on milestone CAS_PROVISIONED_BARRED_IN_CAS (2210.0)
Host Name : MilestoneWisePendencyAlert
REQUEST_TYPE : FULL BARRING
MILESTONENAME : 
CAS_PROVISIONED_BARRED_IN_CAS
CAS_PROVISIONED_UNBARRING_IN_PROCESS
Alert Start Time: 19/08/2025 09:18 Hrs
Event NO: TG Alert
2) Host Name : DCAP_NCA_JOURNEY_FAILURE_ALERT
High ADVANCE_PAYMENT_FAILURE in last 30 min||For threshold &gt;100
Alert Start Time: 19/08/2025 10:24 Hrs
Event NO: INC15582660
3) Host Name : sp_multitenant_api_failure
High Failure in last 10M  Total Count : 327  Failure Count : 87  Failure % : 26.61 
URL : https://icx-server.streamnovaota.com/dmpserver/v1/devices
Alert Start Time: 19/08/2025 10:59 Hrs
Event NO: INC15583000</t>
  </si>
  <si>
    <t>TG Alert
8/19/2025 10:24
8/19/2025 10:59</t>
  </si>
  <si>
    <t>TG Alert
8/19/2025 11:44
8/19/2025 11:13</t>
  </si>
  <si>
    <t>IPTV Pendency: 1600</t>
  </si>
  <si>
    <t>Broadband Customer Experience Journey (Activation/Install), Broadband Dunning Order Journey</t>
  </si>
  <si>
    <t>INC15585343</t>
  </si>
  <si>
    <t>Broadband Dunning Orders along with FWA install orders were stuck.</t>
  </si>
  <si>
    <t>In this issue, it was observed that Dunning orders processing for Broadband were stuck in HB ATOM at PCRF end for West Hub along with FWA install orders were stuck at task 2. Further, it was identified that an IP (10.58.76.157.8082) was not pinging for which Network team confirmed that it is managed by NSG team. To resolve this, PCRF team took admin access for affected IP from NIAM and performed a refresh for the services, post which the issue stands resolved.</t>
  </si>
  <si>
    <t>P2
P3
P3</t>
  </si>
  <si>
    <t>INC15581271
INC15581107
Alert98559988</t>
  </si>
  <si>
    <t>Direct:
1) Host Name : port_monitoring_10.222.185.197
Application : PCRF
DESTINATION_IP : 10.58.76.157
Port : 8082
Alert Start Time: 19/08/2025 04:20 Hrs
Event No: INC15581271
Symptom:
1) Host Name : Hb_atom_without_huawei_nokia_failure_unbarring_order_type
SUB_ORDR_TYPE : Remove InVol Full Bar
BuisnessField : Telemedia New Customer Acquisition Journey / Telemedia Change Order Journey
Alert Start Time:19/08/2025 10:00 Hrs
Event No: Alert98559988</t>
  </si>
  <si>
    <t>8/19/2025 4:20
8/19/2025 5:19
8/19/2025 10:00</t>
  </si>
  <si>
    <t>8/19/2025 6:51
8/19/2025 5:43
8/19/2025 13:00</t>
  </si>
  <si>
    <t>Barring :12,000 Unbarring: 1200 FWA Install orders: 277</t>
  </si>
  <si>
    <t>Postpaid Payment Posting Journey, Broadband Payment Posting Journey, Black Payment Posting Journey, Postpaid Activation Journey, Black Activation Journey</t>
  </si>
  <si>
    <t>NovaWorks, DTH_OE, DTH_OM, DTH Vector, IPTV, DCAP, Ecom, eCAF</t>
  </si>
  <si>
    <t>Payment posting were impated for all LOBs were impacted due to getting failures from ESB.</t>
  </si>
  <si>
    <t xml:space="preserve">In this isuse, post ESB team shifting the traffic back to North, post which IPTV installations/activations orders got cleared @15:06 Hrs . But, after migration of ESB  traffic, DCAP observed failures for NCA journey and  payment posting  for all LOBs alongwith Broadband and postpaid EV accepted cases got stuck at eCOM end. For this, DNS changes were performed and payment pendency started getting cleared. </t>
  </si>
  <si>
    <t>Postpaid, DTH, Digital Acquisition, Xstream</t>
  </si>
  <si>
    <t>IPTV Pendency: 1600
DCAP pendency: 38k
EV Accepted: Postpaid: 786 Broadband: 630</t>
  </si>
  <si>
    <t>DARTS, CGNAT, Network Datalake</t>
  </si>
  <si>
    <t xml:space="preserve">INC15587840  </t>
  </si>
  <si>
    <t>Calling and messaging functionality for Spam was impacted.</t>
  </si>
  <si>
    <t xml:space="preserve"> In this issue, multiple Hadoop clusters were impacted. Since the Hadoop cluster services are Kerberos-enabled, they were encountering errors while connecting to Kerberos from the AD end. To restore the functionality, AD team made changes in user account attributes for 5 OUs(Cgnat-Hadoop, Hadoop-Hosts, DARTS, iotcdp, and AFRCCDE), post which issue stands resolved.</t>
  </si>
  <si>
    <t xml:space="preserve">Root cause Summary:
•	A PowerShell script was executed around 11:00 AM IST to update UPNs from india.novatel.internal to novatel.example in order to meet business requirements.
•	This activity was performed to mitigate issues with automation of O365 license assignments for OLM IDs.
•	The script included a parameter to exclude the DARTS containers (Cgnat-Hadoop, Hadoop-Hosts, DARTS, iotcdp, and AFRCCDE).
•	However, during this execution, the script failed to catch the exclusion parameter. While it had been working fine earlier, this time it did not process the exclusions correctly, resulting in accidental changes to the attributes/UPNs of DARTS accounts.
Resolution:
•	The impacted attributes/UPNs were restored to their previous values.
•	The issue was fully resolved around 7:00 PM IST.
•	The resolution required additional time due to the manual task of identifying the IDs whose values were accidentally changed.
Additional action taken to mitigate the risk:
•	The scheduled job running this script has been stopped.
Actions need to be taken as preventive measures:
•	The script will be fine-tuned and thoroughly tested before being re-enabled.
•	Automate bi-monthly reports of all Darts accounts which were impacted.
•	Schedule the report to be sent to UCC exchange team and Darts team.
•	Required attributes must be a part of the report.
•	Identify all attribute changes and need to schedule modification alerts for all darts accounts. </t>
  </si>
  <si>
    <t>PRB0044543</t>
  </si>
  <si>
    <t>INC15587682</t>
  </si>
  <si>
    <t>Broadband Installation/Activation orders were delayed</t>
  </si>
  <si>
    <t>In this issue, it was observed that orders were getting stuck and Tag change count was increasing. Further, Nokia team identified that VDMS DB was locked for which they took a restart, post which pendency started decreasing for Tag change orders and issue stands resolved.</t>
  </si>
  <si>
    <t>Alert98571839,Alert98572198
Alert98571883,INC15585656</t>
  </si>
  <si>
    <t>Symptom:
1) Multiple GIS_queue_monitoring_length Elastic
IP : 10.222.237.11
IP : 10.222.237.12
Alert time 2025-08-19 15:45 Hrs
Event NO :Alert98571839,Alert98572198
2) Multiple NovaTel_Works alerts for Broad Band Journey
COMPONENT : ordercound_mop_ftth_tag_change
COMPONENT : ordercount_mop_ftth_task1
Alert time 2025-08-19 15:46 Hrs
Event NO :Alert98571883,INC15585656</t>
  </si>
  <si>
    <t>8/19/2025 15:45
2025-08-19 15:46:38"</t>
  </si>
  <si>
    <t>8/19/2025 16:14
8/19/2025 16:16</t>
  </si>
  <si>
    <t>500 install orders</t>
  </si>
  <si>
    <t>INC15587863</t>
  </si>
  <si>
    <t>In this issue, it was observed that Broadband install orders were getting stuck at Task_2. Further, Nokia team and NMS team identified that Altiplano_NMS was experiencing multiple TCA Pod restarts at their end, for which NMS team took a pod restart at their end, restoring connectivity to NMS  but the issue still persisted as the response time was still high. Moreover, NMS team aligned with OEM and took a restart of AC Pod at their end resulting in improvement clearing the pendency and the issue stands resolved.</t>
  </si>
  <si>
    <t>INC15585829</t>
  </si>
  <si>
    <t>Difference in AW and Nokia count in last 1 hr
Host Name : AW Nokia mismatch count
Current Value : 489.0
Alert time 2025-08-19 16:04 Hrs
Event NO :INC15585829</t>
  </si>
  <si>
    <t>778 install orders</t>
  </si>
  <si>
    <t>INC15588905</t>
  </si>
  <si>
    <t>Broadband Installation was impacted due to error at ACS end.</t>
  </si>
  <si>
    <t xml:space="preserve"> In this issue, one of the ACS API server observed space issue which triggered CPE configuration failures due to which broadband installations got impacted. To restore, ACS team managed the space and issue got resolved.</t>
  </si>
  <si>
    <t>INC15587698, Alert98578826</t>
  </si>
  <si>
    <t>Multiple  DN_TASK_FAILURE_ALERT_NOC
Current Value : 85.22
SYSTEM : DSL Config - ACS
Componet : DN_SYSTEM_FAILURE_ALERT_NOC
Alert time: 2025-08-19 19:33 Hrs
Event NO :INC15587698, Alert98578826</t>
  </si>
  <si>
    <t>799 CPE config failures.</t>
  </si>
  <si>
    <t>Prepaid Customer Retail Acquisition Journey, Postpaid New Customer Acquisition Journey, Prepaid New Order Sim Swap Journey</t>
  </si>
  <si>
    <t>INC15602052</t>
  </si>
  <si>
    <t xml:space="preserve">Prepaid and Postpaid acquisition was impacted via Face Auth in eKYC. </t>
  </si>
  <si>
    <t>In this issue, eKYC via Face RD was not working, which had impacted Postpaid, Prepaid, and SIM Swap journeys. However teams were suggested to use DKYC and BMD to complete the acquisition. Further, issue was found to be from the UIDAI end, and a mail was raised to their team. Post which, UIDAI performed the required technical actions at their end, and the eKYC service was restored successfully.</t>
  </si>
  <si>
    <t>INC15596791 
Alert98619967</t>
  </si>
  <si>
    <t>1)HRT COUNT&gt;10 FOR RESPONSE TIME&gt;14000MS in 10 minutes
APINAME : /ASA2_6/customer/verifycustomer/verifycustomerAsadetails/v2/verifyCustomerAsaDetails
Alert time: 2025-08-20 02:52 Hrs
Event NO :INC15596791 
2)5XX Failure&gt;35 in 10 min||INTEGRATION_UIDAI_TOMCAT_ACCESS_API_5XXFAILURES
APINAME : /ASA2_6/customer/verifycustomer/verifycustomerAsadetails/v2/verifyCustomerAsaDetails
Alert time: 2025-08-20 02:57 Hrs
Event NO :Alert98619967</t>
  </si>
  <si>
    <t>2025-08-20 14:52:53
2025-08-20 14:57:23</t>
  </si>
  <si>
    <t>2025-08-20 15:02:53
2025-08-20 15:03:23</t>
  </si>
  <si>
    <t xml:space="preserve"> Prepaid Acquisition dip-(D vs D-7 : 20911 vs 42130 = 21219) is 50%
Postpaid Acquisition Dip-( D vs D-7 : 1645 vs 2555=910) is 36%
Simswap Acquisition Dip-( D vs D-7 : 3194 vs 13511=10317) is 76%</t>
  </si>
  <si>
    <t>INC15603676</t>
  </si>
  <si>
    <t>HDO functionality was not working in NovaTel_Works application.</t>
  </si>
  <si>
    <t xml:space="preserve">In this issue, Field engineers reported that they were having issue while viewing the tasks in NovaWorks, however, the issue resolved without any technical intervention. </t>
  </si>
  <si>
    <t>P1
P1
P2
P3</t>
  </si>
  <si>
    <t>TG alert
TG alert
INC15597525
INC15597565</t>
  </si>
  <si>
    <t>1) Database service Postgres - task_network Failure rate increase
2.07k requests/min impacted
by a failure rate increase to 1.24 %
Alert Start Time: 20/08/2025 15:58
Event No:TG alert
2)Web service
[config-master-service-canary] - ConfigMasterController
k8s.cluster.name: [gke-NovaTelworks-prod]
k8s.cluster.uid: [4e84d99d-8cf5-43bd-8fc0-fef3ae927c29]
k8s.namespace.name: [NovaTelworks]
Alert Start Time: 20/08/2025 16:25 
Event No:TG alert
3)IPTV orders stuck in SDU MDU Validation status||EDT journey impacted
Host Name : NovaTel_Works alerts for Broad Band Journey
Sev-2 Current Value : 721.0
Alert Start Time: 20/08/2025 16:17 
Event No:INC15597525
4)Nginx - Http_total_request Issue Started
Instance: vm-aw-prd-dmz-nginx-prod-2
Alert Start Time: 20/08/2025 16:19 
Event No:INC15597565</t>
  </si>
  <si>
    <t>2025-08-20 15:58
2025-08-20 16:25
2025-08-20 16:17:10
2025-08-20 16:19:09</t>
  </si>
  <si>
    <t>2025-08-20 16:04
2025-08-20 16:34	
2025-08-20 16:33:12
2025-08-20 16:35:34</t>
  </si>
  <si>
    <t>81 HDO install orders pendency</t>
  </si>
  <si>
    <t xml:space="preserve"> Broadband Installation was delayed due to error at ACS end.</t>
  </si>
  <si>
    <t xml:space="preserve"> In this issue, Field Engineers observed failures in CPE configuration from ACS end during broadband installations. However, during the course of troubleshooting, failures reduced without any technical intervention and issue got resolved.</t>
  </si>
  <si>
    <t>Alert98628727,INC15599057
Tg Alert</t>
  </si>
  <si>
    <t>1)Multiple  DN_TASK_FAILURE_ALERT_NOC
Current Value : 77.63
SYSTEM : DSL Config - ACS
Componet : DN_SYSTEM_FAILURE_ALERT_NOC
Alert time: 2025-08-20 19:04 Hrs
Event NO :Alert98628727,INC15599057
2)Web service
[telemedia-task-manager-service] - DeviceController
Failure rate increase
324 requests/min impacted
by a failure rate increase to 52 %
Service method: All methods affected
dt.entity.cloud_application_namespace: 
Alert time: 2025-08-20 19:08 Hrs
Event NO :Tg Alert</t>
  </si>
  <si>
    <t>2025-08-20 19:04:41,2025-08-20 19:03:54
2025-08-20 19:08</t>
  </si>
  <si>
    <t>2025-08-20 19:24:43,2025-08-20 19:23:54
Open</t>
  </si>
  <si>
    <t>1124 CPE config failure hits.</t>
  </si>
  <si>
    <t>Goal</t>
  </si>
  <si>
    <t xml:space="preserve">INC15604102 </t>
  </si>
  <si>
    <t>Business KPI Reporting via Goal App were delayed.</t>
  </si>
  <si>
    <t>In this issue, high RT was observed on DB node (10.5.207.53). Upon further investigation, DBA team identified multiple concurrent session which were choking the CPU memory and I/O errors were observed on DB node. Also, GC wait events were observed on the nodes (10.5.207.53/54). To resolve this issue, DBA team killed the concurrent session and stats gather and then made the node down. Also, refresh of app modules was taken by application team, post which RT got normal and issue got resolved.</t>
  </si>
  <si>
    <t>INC15603154
INC15603415
Alert98651653 / Alert98652860</t>
  </si>
  <si>
    <t>Symtom
1)GOAL-S and D Digitiation-Overall_Response_Time is greater than 1500ms_Sev-1
Alert Start Time:2025-08-21 05:51
Event No: INC15603154
2)GOAL-S and D Digitiation-DB_Overall_Response_Time is greater than 200ms_Sev-1. GOALPRD-Oracle-GOALDBRAC-SCAN.novatel.example-Oracle Database 12c Enterprise Edition Release 12.1.0.2.0 
Alert Start Time:2025-08-21 06:21 Hrs (Fluctuating)
Event No:INC15603415 
3)Promoter-S and D Digitization-OverallAvgResponseTime is greater than 1000ms_Sev-1
Alert Start Time:2025-08-21 06:40 (fluctuating)
Event No:Alert98651653 / Alert98652860</t>
  </si>
  <si>
    <t>8/21/2025 5:51
8/21/2025 6:21
8/21/2025 6:40</t>
  </si>
  <si>
    <t>8/21/2025 7:56
8/21/2025 6:21
8/21/2025 6:45</t>
  </si>
  <si>
    <t>Business KPI Reporting got delayed</t>
  </si>
  <si>
    <t>Postpaid New Customer Acquisition-MNP Journey, Prepaid New Order Sim Swap Journey</t>
  </si>
  <si>
    <t>eCAF, eCAF_Sim Swap</t>
  </si>
  <si>
    <t>INC15605767</t>
  </si>
  <si>
    <t>Postpaid MNP and Prepaid SimSwap acquisition was impacted.</t>
  </si>
  <si>
    <t>In this issue, eCAF was receiving exception error from ESB due to which issue triggered. Further, it was identified that a change(CHG0193011) was deployed at ESB end under which ONE_NMS went live for Bihar and Jharkhand circle. To resolve the issue ESB team took restart of the servers(10.222.235.131/132), post which error rate reduced for eCAF and issue got resolved.</t>
  </si>
  <si>
    <t>INC15604200</t>
  </si>
  <si>
    <t>Symtom
1) ESB_Failure_Percent_Process_wise severity
PROCESSNAME:ValidateandAllocateSIM_V1_1
Alert start time: 21/08/2025 09:02 Hrs
Event No: INC15604200</t>
  </si>
  <si>
    <t>Simswap Acquisition Dip-( D vs D-7 : 4916 vs 8243=3327) is 40%</t>
  </si>
  <si>
    <t>CHG0193011</t>
  </si>
  <si>
    <t>IOT Activation Journey</t>
  </si>
  <si>
    <t>M2M</t>
  </si>
  <si>
    <t>INC15607624</t>
  </si>
  <si>
    <t>M2M activation was impacted for Bihar Circle.</t>
  </si>
  <si>
    <t>In this issue, M2M was receiving error from BTFLY_ATOM end due to which order activation was stuck for Bihar circle. Further, it was identified that a change(CHG0193011) was deployed last night at ESB end under which a new CU went live for Bihar and Jharkhand circle and ESB team confirmed that the change was rolled-back, meanwhile, to resolve the issue, M2M team repushed the stuck orders and the issue got resolved</t>
  </si>
  <si>
    <t>INC15605299</t>
  </si>
  <si>
    <t>Symtom
1) BTFLY ATOM OVERALL FAILUE ALERT||Overall Failure Pendency seen more than 5000
Current Value : 7566.0
Alert start time: 21/08/2025 11:19 Hrs
Event No:INC15605299</t>
  </si>
  <si>
    <t>7160 orders stuck</t>
  </si>
  <si>
    <t>Postpaid Payment Posting Journey, Prepaid Customer Experience Journey</t>
  </si>
  <si>
    <t>DCAP, Service Portal</t>
  </si>
  <si>
    <t xml:space="preserve">INC15607853 </t>
  </si>
  <si>
    <t xml:space="preserve"> Postpaid payment posting and orders were impacted as well as CC advisors were unable to fetch details for Postpaid customers.</t>
  </si>
  <si>
    <t>In this issue, Cu1 DB went down due to which Postpaid payment posting and order flow for Cu1 got impacted . Further DBA team brought up the DB. Post which failures reduced and pending orders were repushed, issue got resolved.</t>
  </si>
  <si>
    <t>P1
P3
P2
P2</t>
  </si>
  <si>
    <t xml:space="preserve"> INC15607633
INC15607748
INC15607629
Alert98671442</t>
  </si>
  <si>
    <t>1)The database status is UNKNOWN
Node:N1PLPDPOSFX14 10.223.131.188 
Alert Start Time: 21/08/2025 15:46
Event NO: INC15607633
Symptom:
1)BSL Billing Acc Details API FX DB High Response
execute Procedure: database service API on DB: PRDK6CU1
Alert Start Time: 21/08/2025 16:01 
Event NO:INC15607748
2)channel-Backend-Alerts-cx-billing severity: High Trigger: 5XX | /bills | 
Failure Perc : 5.517719809934432 % || Failure count : 4870 
Alert Start Time: 2025-08-21 15:48
Event NO: INC15607629
3)sp_multitenant_api_High Failure in last 10M Total Count : 369 ****** Failure Count : 120URL : https://bsl-prod.india.novatel.internal/v1/customerBill
Alert Start Time:2025-08-21 16:19
Event NO:Alert98671442</t>
  </si>
  <si>
    <t>8/21/2025  15:46:00 PM
8/21/2025  16:01:00 PM
8/21/2025  15:48:00 PM
8/21/2025  16:19:00 PM</t>
  </si>
  <si>
    <t>8/21/2025  16:29:00 PM
8/21/2025  17:28:00 PM
8/21/2025  16:36:00 PM
8/21/2025  16:24:00 PM</t>
  </si>
  <si>
    <t>Postpaid payment failure- 485 Payment.
Service Portal Success Hits Dip- ( D Vs D-7: 351 Vs 339= -12) is no dip</t>
  </si>
  <si>
    <t xml:space="preserve">In this issue, Field engineers reported that they were having issue while viewing the tasks in NovaWorks. However, the issue resolved again without any technical intervention. </t>
  </si>
  <si>
    <t>1)NovaTelWorks- Tasks_DB Postgres - ResTime&gt; 200ms
Service= Postgres - task_manager_service
Severity = ~605.86 ms
Alert Start Time: 21/08/2025 16:26
Event No:TG alert
Database service:
Postgres - task_hdo
Postgres - task_manager_service
Alert Start Time: 21/08/2025 16:28
Event No:TG alert
3)Web request service
RabbitMQ on port *
Failure rate increase
18.2 requests/min impacted
Alert Start Time: 21/08/2025 16:32 
Event No:TG alert</t>
  </si>
  <si>
    <t>54 HDO install orders pendency.</t>
  </si>
  <si>
    <t>INC15617812</t>
  </si>
  <si>
    <t>Broadband Installation was delayed due to error at ACS end.</t>
  </si>
  <si>
    <t>The issue was caused by a failure in CPE configuration from ACS. Upon investigation, it was identified that one of their API servers was not functioning properly. The team performed a refresh of the affected server, after which the configuration process started working normally and the issue was resolved.</t>
  </si>
  <si>
    <t>TG alert
INC15617616,Alert98712687
TG alert</t>
  </si>
  <si>
    <t>1)[telemedia-task-manager-service] - BookAppointmentSlotController
k8s.cluster.name: [gke-NovaTelworks-prod]
k8s.cluster.uid: [4e84d99d-8cf5-43bd-8fc0-fef3ae927c29]
k8s.namespace.name: [NovaTelworks]
Alert Start Time: 22/08/2025 14:43
Event No:TG alert
2)DN_SYSTEM_FAILURE_ALERT_NOC||DN_SYSTEM_FAILURE_ALERT_NOC
API : CPE Configuration
Alert Start Time: 22/08/2025 14:43 
Event No:INC15617616
3)Web service
[telemedia-task-manager-service] - DeviceController
k8s.cluster.name: [gke-NovaTelworks-prod]
k8s.cluster.uid: [4e84d99d-8cf5-43bd-8fc0-fef3ae927c29]
k8s.namespace.name: [NovaTelworks]
Alert Start Time: 22/08/2025 14:46
Event No:TG alert</t>
  </si>
  <si>
    <t>TG alert
8/22/2025  2:43:00 PM
8/22/2025  2:44:00 PM
TG alert</t>
  </si>
  <si>
    <t>TG Alert
8/22/2025  3:03:00 PM
8/22/2025  3:04:00 PM
TG Alert</t>
  </si>
  <si>
    <t>2942 CPE config failure Hits.</t>
  </si>
  <si>
    <t>HDO functionality was not working in NovaWorks application.</t>
  </si>
  <si>
    <t>In this issue, Field engineers reported that they were having issue while viewing the tasks in NovaWorks. However, the issue resolved again without any technical intervention.</t>
  </si>
  <si>
    <t>1)impacted service Database service Postgres - task_hdo
Failed database connects
Alert Start Time: 22/08/2025 16:32
Event No:TG alert
2)impacted application Kubernetes workload telemedia-task-manager-service
Container restarts Observed container restarts exceed the specified threshold.
Alert Start Time: 22/08/2025 16:36
Event No:TG alert
3)impacted service Database service
Postgres - config_master
Failure rate increase
Alert Start Time: 22/08/2025 16:37
Event No:TG aler</t>
  </si>
  <si>
    <t>72 HDO install orders pendency.</t>
  </si>
  <si>
    <t>Nova App Experience Journey, Postpaid Customer Experience Journey, Postpaid Customer Experience Journey (Call Center), Postpaid Activation Journey</t>
  </si>
  <si>
    <t>Nova App, eCAF, Ecom, Service Portal</t>
  </si>
  <si>
    <t>INC15626246</t>
  </si>
  <si>
    <t xml:space="preserve">Intermittent issue with Postpaid family add on plan was observed.  </t>
  </si>
  <si>
    <t xml:space="preserve">In this issue, it was identified that the problem was with the BTFLY_CRM database, caused by recent package code changes. To resolve this, DBA team reverted to the older package code, after which the errors reduced and the issue got resolved.  </t>
  </si>
  <si>
    <t>P2
P2
P2
P2</t>
  </si>
  <si>
    <t xml:space="preserve">INC15625533, INC15625536
INC15625532
INC15625589,INC15625680
INC15625724,INC15625823
INC15625724  </t>
  </si>
  <si>
    <t>1)ESB_Access_Log_Critical_API_Alert severity
Access_log_critical_apis Failure Percent is Greater than 4 
API : /services/customer/managecustomerdata/getcustomercurrentplandetails/v3_2
Alert time - 2025.08.23 12:58Hrs
Event no  - INC15625533, INC15625536
2)VALIDATE_ELIGIBILITY High Failure in last 10M | Total Count : 1502 |  Failure Count : 433 | FailurePercentage %: 28.83 | Threshold: 25%
API : VALIDATE_ELIGIBILITY
Alert time - 2025.08.23 12:57Hrs
Event No - INC15625532 
3)Multiple SP_MT_RULE_FAILURE
Downstream Logs : http://10.242.146.186:5601/goto/db29fe40-44e4-11f0-8798-57f2aafd28fb
Rule Logs : http://10.5.246.114:5601/goto/aee006c0-cce1-11ef-b76d-37ea99318b7e
Alert time - 2025.08.23 13:02Hrs
Event No - INC15625589,INC15625680
4)a)Multiple 5XXFailurein10Minutes| cx_Plan | /v1/order-status||5XX | /v1/order-status | Failure Perc : 99.981874206996551 % || Failure count : 4142
API : /v1/order-status
API : /v1/change-plan
Alert time - 2025.08.23 13:05Hrs
Event no  - INC15625724,INC15625823
b)90Percentile10minutes|selfcareV1|/family/landingpage||90th Responce time | /family/landingpage | 
API : /family/landingpage
Alert time - 2025.08.23 13:17Hrs
Event no  - INC15625724</t>
  </si>
  <si>
    <t>2025-08-23 12:58
2025-08-23 12:58
2025-08-23 12:58
2025-08-23 13:03     
2025-08-23 13:12
 2025-08-23 13:30
2025-08-23 13:17
2025-08-23 13:31</t>
  </si>
  <si>
    <t>2025-08-23 14:48
2025-08-23 14:48
2025-08-23 14:14
2025-08-23 13:30
2025-08-23 13:30
2025-08-23 13:30
2025-08-23 13:52
 2025-08-23 13:53</t>
  </si>
  <si>
    <t xml:space="preserve"> eCAF Addon: 362(D vs D-7: 756 vs 1118)is 32% dip.
 Nova App: Usage Journey- 860,560 Hits.
Plan Journey- 2,539,915 Hits.
Service Portal success dip- (D vs D-6: 3336042 vs 2610993) no dip.</t>
  </si>
  <si>
    <t>INC15628491</t>
  </si>
  <si>
    <t>In this issue, it was identified that an issue in the NMS database caused Broadband installation orders to get stuck in Nokia_OSS due to problem at Tejas_NMS end. For this, Tejas_NMS team has taken some corrective action and implemented changes in database. Meanwhile, to mitigate the impact, the pendency is being repushed, and orders are clearing in retrials.</t>
  </si>
  <si>
    <t>INC15625865,Alert98754443</t>
  </si>
  <si>
    <t>1) NovaTel_Works alerts for Broad Band Journey 
Task 2 not received for FTTH broadband orders
Value : 163.0
INSTANCE : 10.5.31.145:9091
Alert time -2025-08-23 13:26
Event no  - INC15625865,Alert98754443</t>
  </si>
  <si>
    <t>Broadband orders waiting for task 2: 157 orders.</t>
  </si>
  <si>
    <t>INC15640081</t>
  </si>
  <si>
    <t>IPTV installation/activations were impacted.</t>
  </si>
  <si>
    <t>In this issue, it was identified that FEs were not able to close task for IPTV due to which IPTV installation were getting delayed. Upon investigation, it was found that the write pool connections were high at NovaWorks, which triggered the issue. For this, NovaWorks team performed a container refresh at their end, post which the issue got resolved for new orders. Also, for old stuck cases NovaTel works reconsilled the orders with DTH_OE team.</t>
  </si>
  <si>
    <t>497 Orders</t>
  </si>
  <si>
    <t>Prepaid Online Recharge Journey, Prepaid Retail Recharge Journey, Nova App Experience Journey, Prepaid Customer Experience Journey (Call Center), Prepaid Activation Journey, Postpaid Activation Journey, Broadband Installation/FR Journey</t>
  </si>
  <si>
    <t>LAPU_MT, LAPU_GT, Nova App, Avaya, Mediation_IL, Nokia_OSS, Service Portal, Selfcare_B2C, Mitra, PACS</t>
  </si>
  <si>
    <t>INC15634298</t>
  </si>
  <si>
    <t xml:space="preserve">Multiple services were impacted in KK Circle, including Voice and Data services, Online and Retail recharges, Call Center advisors were unable to access Avaya application, plan detail fetch for prepaid LOB on service portal, and provisioning for Prepaid, Postpaid, and Broadband. </t>
  </si>
  <si>
    <t xml:space="preserve"> The issue in KK Circle impacted multiple services due to power issue at NSG Hosur site. Power was restored, All nodes were recovered, leading to improvement and restoration of recharges and prepaid/postpaid provisioning. For partial failures in Nokia oss due to TAS issues, repush is being done at Nokia end.</t>
  </si>
  <si>
    <t xml:space="preserve">      Root Cause Summary: 
•	Multiple applications (LAPU_MT, LAPU_GT, Service Portal, Mediation_IL, Selfcare_B2C, Nova App, Mitra, Nokia_OSS, PACS, Avaya) services experienced disruptions., Impact was particularly seen in including Voice and Data services, Online and Retail recharges, Avaya application, plan detail fetch for prepaid LOB on service portal, provisioning for Prepaid, Postpaid, and Broadband orders across the states of Karnataka, Tamil Nadu, Andhra Pradesh, and the West region.
•	This resulted in partial disruption of VoLTE, data, broadband, FWA, recharge, and postpaid service
•	Additionally, because of High call volume of KK circle outage, System didn’t have the capacity to register advisor due to which Call Center advisors were unable to access Avaya application for North Hub. 
•	The incident began with an Electricity Board (EB) power supply failure at the Hosur Road MSC site.
•	Although the Diesel Generator (DG) sets auto-started as expected, the breakers/panel failed to close due to an automation system failure. This caused a total loss of power supply at the site, as the backup DG power could not be connected to the load, leading to a significant outage.
•	The automation failure in the breaker panel prevented the seamless switchover from EB supply to DG supply.
•	The SMPS/UPS systems provided initial backup power for some equipment, and certain PACs (Precision Air Conditioners) ran on non-critical UPS power temporarily. However, once the battery backup was exhausted, these units lost power.
•	The restoration team bypassed the faulty DG panel/breaker approximately 63 minutes after the incident, restoring power at 11:51 AM.
•	(OEMs) Original Equipment Manufacturers and the central technical team have been engaged for a detailed root cause investigation however, detailed RCA not yet received.</t>
  </si>
  <si>
    <t>PRB0044544</t>
  </si>
  <si>
    <t>Broadband, Digital Acquisition, Digital Experience B2C, Prepaid</t>
  </si>
  <si>
    <t>P3
P2
P3
P2
P3
P2
P2
P2
P2</t>
  </si>
  <si>
    <t>Alert98791818 / Alert98791819 / Alert98791822
INC15632921/INC15632919/INC15632916/INC15632917
INC15632904
INC15632922
TG Alert 
INC15632958 / INC15632968 / INC15632958 / INC15632958
INC15633037
INC15633072
INC15633397</t>
  </si>
  <si>
    <t>Direct 
1)Multiple LapuMT_1002_responsecode
Trigger Name : High count for 1002 response code in last 5 min
SERVER:10.222.197.219 /10.241.177.25/ 10.241.177.26/ 10.222.197.211
Alert time : 2025-08-24 10:58
Event No : Alert98791818 / Alert98791819 / Alert98791822
2)multiple Node DOWN 
Node = BAL-KK-3Flr-EX2200-SW-3, Node IP = 10.97.161.7
Node = BAL-KK-4200-MSU-SW1, Node IP = 10.97.45.154
Node = BAL-KK-MSU-3F-HUB-EX2200-SW-2, Node IP = 10.97.161.5
Node = BAL-KK-MSU-GF-HUB-EX2200-SW1, Node IP = 10.97.148.11
Alert time -2025-08-24 10:58
Event no  - INC15632921/INC15632919/INC15632916/INC15632917
Symptom:
1)Hostname:mitra_LapuFailureTrend_ErrorCode severity: Average Trigger: THRESHOLD - 400
Trigger Name : mitra_LapuFailureTrend_ErrorCode for - 555
Alert time :2025-08-24 10:56
Event No : INC15632904
2)Hostname:DPS_PREPAID_Service severity: Warning Trigger: High 400 Failure for PREPAID-LAPU1-ADAPTER 
Alert time :2025-08-24 10:58
Event No :INC15632922
3)Host Name : Lapu MT Circlewise Failure Transaction_MT_V1
Business Group : PREPAID
Alert time :  2025-08-24 11:03 
Event No : TG Alert 
4)Multiple SP_MT_RULE_FAILURE
Alert time : 2025-08-24 11:03 
Event No :INC15632958 / INC15632968 / INC15632958 / INC15632958
5)Hostname:Channel-Backend-Alerts-cx-Plan severity: High Trigger: 5XX | /v1/current-plan 
Alert time : 2025-08-24 11:12
Event No : INC15633037
6)Hostname:Channel-Backend-Alerts-cx-usage severity: High Trigger: 5XX | /usage
Alert time : 2025-08-24 11:20
Event No : INC15633072
7)Difference in AW and Nokia count in last 1 hr
Difference in last 1hr | AW Count: 1043  |  Nokia Count : 900  
Alert time : 2025-08-24 12:04
Event No: INC15633397</t>
  </si>
  <si>
    <t>8/24/2025 10:58
8/24/2025 10:58
8/24/2025 10:56
8/24/2025 10:58
8/24/2025 11:03
8/24/2025 11:23
8/24/2025 11:12
8/24/2025 11:20
8/24/2025 12:04</t>
  </si>
  <si>
    <t>8/24/2025 11:03
8/24/2025 12:01
8/24/2025 13:16
8/24/2025 11:56
8/24/2025 13:00
8/24/2025 11:32
8/24/2025 11:46
8/24/2025 11:56
8/24/2025 12:29</t>
  </si>
  <si>
    <t xml:space="preserve"> LAPU_MT/GT- 1 Lakh+ recharges impacted
PACS: 1700 orders.
Broadband provisioning: 735 orders.
Service portal succuss dip- (D vs D-6 : 7290629 vs 3475484) is no dip.
Avaya: 3 call centers were impacted.
Selfcare_B2C success dip- (D vs D-5: 59345708 vs 43424930) is no dip.
MITRA- 42412 impacted recharges.</t>
  </si>
  <si>
    <t>HB_ATOM, NovaWorks, Nokia_OSS</t>
  </si>
  <si>
    <t>Broadband order Provisioning was impacted.</t>
  </si>
  <si>
    <t xml:space="preserve"> Partial failures were observed in Nokia_OSS due to TAS related issues. As VoLTE traffic was being served via the DRA link, it resulted in congestion and partial failures in TAS, impacting Broadband provisioning orders. To restore, a repush was carried out by the Nokia_OSS team post which broadband provisioning orders got cleared post-repush, and the issue stands resolved.</t>
  </si>
  <si>
    <t>INC15633397
INC15633648</t>
  </si>
  <si>
    <t>Symptoms: 
1)Difference in AW and Nokia count in last 1 hr
Difference in last 1hr | AW Count: 1043  |  Nokia Count : 900  
Alert time : 2025-08-24 12:04
Event No: INC15633397
2)hb_atom_taskwise_Nokia-IMS_Failed 
Alert time :2025-08-24 12:30
Event No : INC15633648</t>
  </si>
  <si>
    <t>8/24/2025 12:04
8/24/2025 12:30</t>
  </si>
  <si>
    <t>8/24/2025 12:29
8/24/2025 12:40</t>
  </si>
  <si>
    <t>Broadband provisioning: 735 orders.</t>
  </si>
  <si>
    <t>Prepaid Activation Journey</t>
  </si>
  <si>
    <t>INC15645808</t>
  </si>
  <si>
    <t>Prepaid activation orders were getting delayed for Bihar circle.</t>
  </si>
  <si>
    <t xml:space="preserve"> In this issue, it was identified that multiple inactive sessions were being observed from the update query. To restore, DBA team killed the update query sessions. Following this, PACS team took service refresh and then re-pushed the pendency. Post that, the pendency started clearing and the issue got resolved.</t>
  </si>
  <si>
    <t xml:space="preserve"> INC15641460
 INC15641597</t>
  </si>
  <si>
    <t>Symptom:
1)AppDynamics has detected a problem with DB Server *IPAC NEW BBN: IPAC NEW BBN: 10.223.131.107
Alert time: 2025-08-25 12:22
Event No : INC15641460
2)PACS Success Pendency Increased at ECAF
HUB : East
Current Value : 1581.0
Alert time :2025.08.25 12:39:31
Event No :INC15641597</t>
  </si>
  <si>
    <t>2025-08-25 12:22
2025.08.25 12:39</t>
  </si>
  <si>
    <t>2025-08-25 12:50
2025-08-25 13:02</t>
  </si>
  <si>
    <t>3.77K pendency</t>
  </si>
  <si>
    <t>Mediation_EL</t>
  </si>
  <si>
    <t>INC15649576</t>
  </si>
  <si>
    <t>CDR processing was impacted.</t>
  </si>
  <si>
    <t>In this issue, Mediation_EL CDR processing was impacted because their 3 servers went down after the last night network activity (CHG0190301). Unix team performed reboot of all the impacted servers, after which all servers came up successfully. Services were then initiated on these servers and CDR processing resumed back to normal.</t>
  </si>
  <si>
    <t>INC15648505
INC15648631</t>
  </si>
  <si>
    <t>1)ping response on IP 10.5.75.234/235 is down
Alert time - 2025-08-26 02:00Hrs
Event NO - INC15648505
2)Telegraf_Agent DownAlert: N2PL-PA-MED01.india.novatel.internal ip: 10.5.249.172 , 10.5.249.171
Alert time - 2025-08-26 02:15Hrs
Event no - INC15648631</t>
  </si>
  <si>
    <t>2025-08-26 02:00
2025.08.26 02:15</t>
  </si>
  <si>
    <t>Open
2025-08-26 02:24</t>
  </si>
  <si>
    <t>Whole CDR Execution was Hampered.</t>
  </si>
  <si>
    <t>CHG0190301</t>
  </si>
  <si>
    <t>INC15653524</t>
  </si>
  <si>
    <t>Prepaid Acquisition dip-(D vs D-7 : 6664 vs 9972 = 3308) is 33% Postpaid Acquisition Dip-( D vs D-7 : 90 vs 219=129) is 59% Simswap Acquisition Dip-( D vs D-7 : 1719 vs 4072=2353) is 58%</t>
  </si>
  <si>
    <t>INC15652768</t>
  </si>
  <si>
    <t xml:space="preserve">Fx3.0 Rating process was impacted for Broadband and Postpaid LOB. </t>
  </si>
  <si>
    <t>In this issue, FX3 server primary node (10.14.113.37) went down, triggering the issue. Unix team confirmed hardware issue for the node and failed over the services to secondary node (10.14.113.38) to mitigate the impact followed by powering up the primary node, but the Rating app reported slowness on the secondary node. Further, to mitigate the issue, Unix team shifted the services to primary node and raised a case with vendor for analysis.</t>
  </si>
  <si>
    <t>INC15652460</t>
  </si>
  <si>
    <t>)VCS state of FXMMNCLS_PDN1 is not running_HA Failover Alert_event.alert.vom.vcs.cluster.system.down_HostName : N1PL-PD-FXMMN02  _sysUpTime : 203 days, 6:18:40.95
Alert time- 2025-08-26 12:38Hrs
Event NO -INC15652460</t>
  </si>
  <si>
    <t xml:space="preserve">
2025-08-26 12:38</t>
  </si>
  <si>
    <t>INC15654815</t>
  </si>
  <si>
    <t>In this issue, Feild engineers observed error during Broadband installation due to failures in CPE configuration from ACS. Upon investigation, it was identified that one of their API servers was not functioning properly for which ACS team performed a service refresh of the affected server, after which the configuration process started working normally and the issue was resolved.</t>
  </si>
  <si>
    <t>INC15653792
Alert98891801</t>
  </si>
  <si>
    <t>Symptom:
1)Multiple  DN_TASK_FAILURE_ALERT_NOC
SYSTEM : DSL Config - ACS
Componet : DN_SYSTEM_FAILURE_ALERT_NOC
Alert time: 2025-08-26 15:13:53
INC: INC15653792, Alert98891801</t>
  </si>
  <si>
    <t>2025.08.26   3:13:00 PM</t>
  </si>
  <si>
    <t>2025.08.26   3:23:00 PM</t>
  </si>
  <si>
    <t>956 CPE config failure Hits.</t>
  </si>
  <si>
    <t>Black Customer Experience Journey (Call Center), Broadband Customer Experience Journey (Call Center), DTH Customer Experience Journey (Call Center), IPTV Customer Experience Journey (Call Center), Postpaid Customer Experience Journey (Call Center), Prepaid Customer Experience Journey (Call Center)</t>
  </si>
  <si>
    <t>INC15659621</t>
  </si>
  <si>
    <t>CC advisors were unable to login Service Portal.</t>
  </si>
  <si>
    <t xml:space="preserve"> In this issue, Service Portal login functionality was impacted due to an activity(CHG0193681) where the pointing was changed from A name record to C name record. After removing the A name record, the C name record could not be created, leading to disruption. The team has now rolled back the change, after which the login functionality has been restored to normal.</t>
  </si>
  <si>
    <t>INC15659054</t>
  </si>
  <si>
    <t>Symptom:
1)sp_homes_getHeaderV2_failure
URL : /dt-homes/user/rest/homes/get-headerV2
Total Count : 372,Failure Count : 40 ,Failure % : 10.75
Issue Start Time : 2025.08.27 01:11
Event NO -INC15659054</t>
  </si>
  <si>
    <t xml:space="preserve"> Service Portal Success dip: 924(D vs D-3 : 356 vs 1280) is 72% dip.</t>
  </si>
  <si>
    <t>CHG0193681</t>
  </si>
  <si>
    <t xml:space="preserve"> INC15662128</t>
  </si>
  <si>
    <t>Black Acquisition was impacted intermittently for DTH plan bundle_593.</t>
  </si>
  <si>
    <t xml:space="preserve"> In this issue, it was identified that eCAF was getting error from One EPC for DTH Black bundling which further impacted Black acquisition intermittently. During the troubleshoot, DTH team confirmed that plan(EPCN_21867) was enabled at Marketing end yesterday end but the same plan was not enabled at One EPC end which triggered the issue. To restore, One EPC team enabled the plan, post which issue got resolved.</t>
  </si>
  <si>
    <t>17 orders.</t>
  </si>
  <si>
    <t>EPCN_21867</t>
  </si>
  <si>
    <t>INC15674168</t>
  </si>
  <si>
    <t>Unbarring orders for JK10 was impacted</t>
  </si>
  <si>
    <t>In this issue, as a part of business requirement, the JK10 orders were not supposed to be barred, but the application team was unable to fulfill the same as there was some issue with the code which was run to stop the barring of JK10 orders. Further, ATOM team Unbarred the JK10 Orders manually and restored their services.</t>
  </si>
  <si>
    <t>58K</t>
  </si>
  <si>
    <t>INC15672178</t>
  </si>
  <si>
    <t xml:space="preserve">In this issue, Broadband tag change orders were stuck at Nokia_OSS leading to impact on installation/ provisioning. A change (CHG0191297) was deployed at Nokia end kdue to which the issue triggered. Here, Network Element parameter was getting wrongly picked, leading to impact in such orders. Nokia Team rolled back the change, post which pendency was repushed and issue got resolved. </t>
  </si>
  <si>
    <t>INC15671680, INC15671681</t>
  </si>
  <si>
    <t>Symptom:
1) Orders stuck at Tag change State - FTTH broadband orders
Host Name : NovaTel_Works alerts for Broad Band Journey
COMPONENT : ordercound_mop_ftth_tag_change
INSTANCE : 10.5.31.145:9091
Alert Start Time: 28/08/2025 10:06 Hrs
Event No: INC15671680, INC15671681</t>
  </si>
  <si>
    <t>434 Orders</t>
  </si>
  <si>
    <t>CHG0191297</t>
  </si>
  <si>
    <t>INC15673387</t>
  </si>
  <si>
    <t>In this issue, Field engineers observed error during provisioning of Broadband installation due to failures in CPE configuration from ACS. However, services started working normally without any technical intervention and the issue stands resolved.</t>
  </si>
  <si>
    <t>INC15671958,INC15671968</t>
  </si>
  <si>
    <t>Symptom:
1) DN_SYSTEM_FAILURE_ALERT_NOC
Current Value : 75.33
API : CPE Configuration
Alert Start Time: 28/08/2025 10:33 Hrs
Event No:INC15671958,INC15671968</t>
  </si>
  <si>
    <t>1372 total CPE config failed Hits.</t>
  </si>
  <si>
    <t xml:space="preserve">APB_CKYC, APB_DT, APB_Fast Tag, APB_Payment Security, APB_DIGILOCKER, APB_DMS </t>
  </si>
  <si>
    <t>INC0565585</t>
  </si>
  <si>
    <t>Multiple Nova Payments Bank (NFB) applications experienced disruption due to an underlying issue in the AWS infrastructure.</t>
  </si>
  <si>
    <t>In this issue, the NFB Onboarding Team has reported a critical outage: the NFB‑CKYC system—along with multiple applications—was affected due to an AWS Direct Connect failure on AWS’s end. The connection between AWS and our on‑premises infrastructure has gone down completely. (According to AWS O.E.M., the impacted link runs from STT Delhi DC2 (New Delhi, India) to the AWS AP‑SOUTH‑1 (Mumbai) region, and this disruption is causing severe network impairment. To fully resolve the issue, the OEM team has determined that hardware replacement is required. The estimated completion time for this replacement is 19:00 Hrs IST. As a consequence of the loss of connectivity, CKYC Face Recognition and DigiLocker services are non-functional, resulting in a total disruption of CKYC operations. To mitigate the immediate impact, the Cloud team has rerouted traffic over a VPN as a temporary workaround. Once AWS confirms that the hardware replacement has been completed, traffic will be reverted back to AWS via a planned change. Following these actions, we have observed an improvement in service performance, and the issue has now been resolved.</t>
  </si>
  <si>
    <t>For NFB-CKYC Account Creation Comparison Time: 12:30 to 15:12 {D vs (D-7)= 62-1103=1041 (94% drop in account creation)}
For NFB-DMS (Onboarding) Time: 12:30 to 15:12 - 100% Impacted, images were not getting uploaded in the S3 bucket.
For NFB-FASTag/NETC Time: 12:30 to 15:18—100% impact for asynchronous API response
For NFB-DT (call center agent affected) Time: 12:30 to 16:16—100% of users from the call center were affected.
For NFB-PAYMENT-SECURITY Time: 12:30 to 15:18—100% of users were affected.</t>
  </si>
  <si>
    <t xml:space="preserve">INC15674651 </t>
  </si>
  <si>
    <t xml:space="preserve"> Rating and DNC processes were impacted</t>
  </si>
  <si>
    <t xml:space="preserve"> In this issue, FX6 server ( 10.223.145.141) went in hung State due to which Core processes were getting terminated with error : "Node is not ready", which impacted rating and DNC processes. Further, OCP team took reboot of the impacted worker node ,following which application team restarted the services. Post which the processes started running fine and issue got resolved.</t>
  </si>
  <si>
    <t>Total IR Files : 23935 ( CDR's : 1lakh 83K ) Total Normal Files : 45215 ( CDR's : 8MN )</t>
  </si>
  <si>
    <t>Nova IQ SMS Journey, Postpaid New Customer Acquisition-MNP Journey, Prepaid Retail Recharge Journey</t>
  </si>
  <si>
    <t>Nova IQ_SMS, Mitra, BTFLY_Atom</t>
  </si>
  <si>
    <t>INC15683230</t>
  </si>
  <si>
    <t>Retail Recharges/Login through Mitra was impacted.</t>
  </si>
  <si>
    <t>In this issue, multiple ping-down alerts were observed for certain N1 applications. Upon investigation, network team identified high utilization leading to MLAG flapping on some switches in N1. This caused instability and impacted Mitra database connectivity. To mitigate, network Team isolated the affected switch. Additionally, a service leaf in Bangalore was found to be in hung state, causing service disruptions for Nova IQ_SMS. However, once the switch got rebooted, Banglore services also got restored.</t>
  </si>
  <si>
    <t>Digital Acquisition, Postpaid, Nova IQ</t>
  </si>
  <si>
    <t>P3
P1
P1
P1
P1
P1
P3</t>
  </si>
  <si>
    <t>INC15678149,INC15678150,INC15678152
INC15679643
INC15679746, INC15679751
INC15679302
INC15679337,INC15679349,INC15679347,INC15679348
INC15680304
INC15679227,INC15679220</t>
  </si>
  <si>
    <t>1)Multiple Network Alert with condition Mlag and Out of Memory where count is greater than 0 for 10.222.20.XX
Alert Start Time: 28/08/2025 22:35 Hrs
Event NO:INC15678149,INC15678150,INC15678152
2)vCenter has suspended management of the host. This might be due to - explicitly disconnecting the host, or trying to connect to a host which is in not respondin for10.242.4.247
Alert Start : 28/08/2025 23:57 Hrs
Event NO:INC15679643
3)Multiple Network alert for     10.92.200.XXX
Alert Start Time: 29/08/2025 12:02 Hrs
Event NO:INC15679746, INC15679751
Symptom:
1)The database status is UNKNOWN
Node:nN2PL-PD-AMITRADB02 10.5.52.58 
Alert Start Time: 28/08/2025 23:39 Hrs
Event NO: INC15679302
2)Multiple Appd alert for Mitra
a)Mitra-Phase1*. *Mitra_Phase_1-Prepaid Retail Recharge-OverallAvgResponseTime&amp;gt;700ms_Sev-1
b)Mitra2-Phase2*. *Mitra2_Phase_2-Prepaid Retail Recharge Journey-Overall Avg Response Time&amp;gt;700ms_Sev-1
c)Digital_Payments-Prepaid Retail Recharge Journey-Overall Response Time greater than 700ms_Sev-1
d)Mitra2_Phase_2-Prepaid Retail Recharge Journey-DB_OverallAvgResponseTime&amp;gt;200ms_Sev-1
Alert Start Time: 28/08/2025 23:42 Hrs
Event NO:INC15679337,INC15679349,INC15679347,INC15679348
3)Multiple ping response alert for 10.222.xxx.xx,10.14.xxx.xx,10.5.xxx.xx
Alert Start Time: 28/08/2025 23:42 Hrs
Event NO:INC15680304
4)Multiple Network alert for 10.222.xx.xx
Alert Start Time: 28/08/2025 23:29 Hrs
Event NO:INC15679227,INC15679220</t>
  </si>
  <si>
    <t xml:space="preserve">2025-08-28 22:36:02
2025-08-28 23:57:57
2025-08-29 00:02:52
2025-08-28 23:39:58
2025-08-28 23:43:54
2025-08-29 00:25:41
2025-08-28 23:29:23
</t>
  </si>
  <si>
    <t xml:space="preserve">2025-08-28 22:45:02
2025-08-29 00:08:57
2025-08-29 00:51:02
2025-08-29 02:30:22
2025-08-29 00:08:41
2025-08-29 01:05:53
2025-08-29 03:09:31
</t>
  </si>
  <si>
    <t xml:space="preserve"> 1700 MNP orders impacted.</t>
  </si>
  <si>
    <t>Prepaid Online Recharge Journey</t>
  </si>
  <si>
    <t>LAPU_MT</t>
  </si>
  <si>
    <t>Online recharges were Impacted.</t>
  </si>
  <si>
    <t>In this issue multiple DB down alerts were triggered, which impacted the online recharges. To mitigate this issue, DBA team manually brought all DB nodes up, post which issue got resolved.</t>
  </si>
  <si>
    <t>INC15681172, INC15681166,INC1568116
Alert99015141
INC15681178,INC15681178,INC15681192
INC15681325,INC15681306,INC15681283</t>
  </si>
  <si>
    <t>1)Multiple Network Alert with condition Mlag and Out of Memory where count is greater than 0 for 10.222.20.XX
Alert Start Time: 29/08/2025 02:06 Hrs
Event NO:INC15681172, INC15681166,INC1568116
Symptom:
1)LAPU-Online Recharge Journey-MT_Hub1_Lapu-Overall Response time 1000ms_Sev-1
Alert Start Time: 29/08/2025 02:26 Hrs
Event NO:Alert99015141
2)Multiple ping response alert for 10.222.XXX.XX,10.223.XXX.XX,10.14.XXX.XX,10.241.XXX.XX
Alert Start Time: 29/08/2025 02:11 Hrs
Event NO:INC15681178,INC15681178,INC15681192
3)Multiple Application DB down alert for 10.241.XXX.XX
Alert Start Time: 29/08/2025 02:11 Hrs
Event NO:INC15681325,INC15681306,INC15681283</t>
  </si>
  <si>
    <t>2025-08-29 02:06:11
2025-08-29 02:21:58
2025-08-29 02:05:35
2025-08-29 02:11:14</t>
  </si>
  <si>
    <t>2025-08-29 02:14:11
2025-08-29 02:26:58
2025-08-29 04:02:50
2025-08-29 06:10:54</t>
  </si>
  <si>
    <t>1K Recharges impacted</t>
  </si>
  <si>
    <t>INC15682504</t>
  </si>
  <si>
    <t>In this issue, DB of 4 CUs were down due to which multiple business KPIs were impacted. To mitigate this issue Oracle DBA team brought all DBs up manually, post which issue got resolved.</t>
  </si>
  <si>
    <t>INC15682364,INC15682380,INC15312009</t>
  </si>
  <si>
    <t>1)Multiple database alert of BTFLY_Billing
Node:    bdrpl-pd-btfcu53 10.92.12.188 
              bdrpl-pd-btfcu49 10.92.12.186
             bdrpl-pd-btfcu51 10.92.12.187
Alert Start Time: 2025-07-25 04:33
Event NO:INC15682364,INC15682380,INC15312009</t>
  </si>
  <si>
    <t>LAPU_MT, Mitra</t>
  </si>
  <si>
    <t>FRC through Mitra was impacted.</t>
  </si>
  <si>
    <t>In this Issue, Multiple complaints regarding pending FRCs were reported from the market. The issue was traced back to the Mitra DB issue that occurred yesterday. To mitigate this, LAPU team repushed the pending FRCs, post which the pendency was cleared and the issue was resolved.</t>
  </si>
  <si>
    <t>2700 orders were impacted.</t>
  </si>
  <si>
    <t>DTH Change Order Journey, DTH Customer Experience Journey</t>
  </si>
  <si>
    <t>INC15692874</t>
  </si>
  <si>
    <t xml:space="preserve"> DTH Resumption and change orders were impacted.</t>
  </si>
  <si>
    <t xml:space="preserve"> In this issue, DTH resumption and change orders were stuck due to blocking sessions in the database. DBA team resolved this by killing the blocking session followed by job restart by  DTH team, post this issue got fixed.</t>
  </si>
  <si>
    <t>INC15691708
TG Alerts</t>
  </si>
  <si>
    <t>1)Metrics Global Cache Blocks Lost is at 343
Alert Start Time: 30/08/2025 03:23 Hrs
Event NO: INC15691708
2)Multiple InflowOutflowAlerts_changeOrder
Host Name : changeOrders
Sev-3 Current Value : 0.0
Alert Start Time: 30/08/2025 06:05 Hrs
Event NO: TG Alerts</t>
  </si>
  <si>
    <t>8/30/2025  03:23
8/30/2025  6:09</t>
  </si>
  <si>
    <t>8/29/2025  06:58
Open</t>
  </si>
  <si>
    <t>1800 resumption
2000 change order</t>
  </si>
  <si>
    <t>INC15703286</t>
  </si>
  <si>
    <t xml:space="preserve"> IPTV installation was impacted as EDT Task was not getting closed in NovaWorks.</t>
  </si>
  <si>
    <t xml:space="preserve"> In this issue, FEs were facing errors while closing EDT tasks in NovaWorks for IPTV. During troubleshooting, it was identified that orders on DTH_Vector were stuck during SI creation, leading to missing customer IDs and NA responses. To restore,  DTH_Vector team performed a sequential restart of acquisition jobs, after which the pendency began to clear. Subsequently, NovaWorks team performed a reconciliation to address the remaining EDT task closure pendency. The pendency was successfully cleared.</t>
  </si>
  <si>
    <t>INC15693342 ,INC15693477</t>
  </si>
  <si>
    <t>1)High Failure in last 10min | ICX API Failing with 404 Status||https://icx-server.streamnovaota.com/dmpserver/v1/devices
Host Name : sp_multitenant_icx_404_status
Sev-3 Current Value : 50.4
Alert Start Time: 30/08/2025 09:59 Hrs ( Fluctuating)
Event NO:INC15693342 ,INC15693477</t>
  </si>
  <si>
    <t xml:space="preserve"> DTH_Vector: 226 orders.
NovaWorks: 800 orders were pending at QMS task.</t>
  </si>
  <si>
    <t>INC15696275</t>
  </si>
  <si>
    <t>Prepaid activation was getting delayed for East Hub.</t>
  </si>
  <si>
    <t>In this issue, it was identified that multiple inactive sessions were observed from several queries &amp; load average was high at PACS DB nodes (10.223.131.106/107). However, the issue got auto-resolved without any technical intervention. Further, DBA team killed the query sessions, after which the pendency was getting cleared in auto-repush and the issue got resolved.</t>
  </si>
  <si>
    <t>INC15695716</t>
  </si>
  <si>
    <t>1)PACS Success Pendency Increased at ECAF
Host Name : Ecaf_Nirvana_Pacs_Pendency_Hub_Wise
Current Value : 1040</t>
  </si>
  <si>
    <t>PACS_Success Pendency for East Hub: 316</t>
  </si>
  <si>
    <t>Black Acquisition Journey, Broadband Customer Experience Journey (Call Center), Broadband Dunning Order Journey, Black Dunning Journey, Broadband Change Order Journey, Black Change Order Journey, Broadband Activation Journey, Nova App Experience Journey, Postpaid Customer Experience Journey (Call Center), Postpaid Dunning Order Journey, Postpaid Change Order Journey</t>
  </si>
  <si>
    <t>HB_ATOM, HB_CRM, BTFLY_ATOM, Selfcare_B2C</t>
  </si>
  <si>
    <t>INC15702080</t>
  </si>
  <si>
    <t>HB_CRM application was down and Connectivity issue observed on CAT DB.</t>
  </si>
  <si>
    <t>For HB_CRM issue: HB_CRM was impacted because NAS IP was not reachable due to ongoing network activity(CHG0194805). Once the network team completed their activity, NAS IP started responding, and the application team performed a service refresh after which mount points became accessible at around 5:45 Hrs.
For CAT_DB issue: Application team was getting no listener error while connecting to Database. Database team performed CAT DB failover from 10.14.113.175 to 10.14.113.174, after which orders started processing and issue stand resolved.</t>
  </si>
  <si>
    <t>Incident Overview –
During Network Activity CHG0194805 (leaf switch replacement in I Row and C Row at Sector 62 DC), multiple applications (HB_CRM, HB_ATOM, BTFLY_CRM, BTFLY_ATOM, Selfcare B2C) and the FX 3.0 CAT DB experienced service disruption. The incident led to production impact across applications and a critical database.
Incident Timeline -
03:05 AM – Switch replacement triggered port down event; NAS became inaccessible.
-	HB_CRM: All app nodes went down.
-	BTFLY_CRM: Nodes up, but NAS inaccessible.
-	FX 3.0 CAT DB listener hung, failover ineffective.
03:11 AM – Network ports restored; IPs started responding but NAS Controller 3 failed to serve nodes.
03:11 AM – 05:45 AM – Prolonged service outage due to Controller 3 not handling requests.
05:45 AM – Storage team switched services from Controller 3 → Controller 4, restoring HB_CRM and BTFLY_CRM.
06:25 AM – DBA manually failed over CAT DB services, restoring database.
Key Findings -
-	Storage Degradation Pre-Activity: One MLAG was already down since 29th Aug; system was on single LAG, increasing risk.
-	Network Impact: Ports brought offline impacted NAS connectivity, despite activity being declared non-disruptive.
-	Storage Controller Issue: Controller 3 was configured correctly, but NFS IP (10.14.113.168) did not serve nodes during the outage. Another NFS IP (10.14.113.169) on the same controller worked correctly from 03:11 AM.
-	Database Delay: CAT DB listener hung at 03:05 AM; failover not triggered automatically, manual failover delayed until 06:25 AM.
-	Response Gaps: Storage team delayed switchover, and DBA team delayed correlation of DB listener issue.
Root Cause Analysis - 
-	Primary: Network activity (switch replacement) disrupted active ports while storage was already running on a degraded setup (single LAG).
-	Secondary: Controller 3 did not serve one NFS IP (10.14.113.168) despite being correctly configured; failover was not immediately executed.
-	Contributing: Ineffective auto-failover of CAT DB listener delayed manual interventions and lack of cross-team dependency assessment.
Preventive Actions -
1.	Network:  
-	Future activities to be planned with agreed downtime if approach carries risk.
-	Improved pre-checks on storage dependencies before execution.
2.	Storage:
-	Enable ping monitoring for all storage IPs; escalate immediately on ping loss.
-	Faster failover actions when connectivity loss is observed.
3.	Database:
-	Enhance monitoring to detect listener hung states early.</t>
  </si>
  <si>
    <t>PRB0044545</t>
  </si>
  <si>
    <t>Broadband, Postpaid, Digital Experience B2C</t>
  </si>
  <si>
    <t>P1/P1/P1/P1/P1/P1/P1
P2
P3/P3/P3/P3/P3/P3</t>
  </si>
  <si>
    <t>INC15699613 / INC15699616 / INC15699597 / INC15699401 / INC15699396 / INC15699397 / INC15699387
INC15699659
INC15699751/INC15699809/INC15699807/INC15699806/INC15699804/INC15699811</t>
  </si>
  <si>
    <t>Symptom:
1)Multiple BGP peer down 
10.222.9.33 BGP Peer State of BAL-NDA62-1A-7050-LEAF
10.222.8.33 BGP Peer State of BAL-NDA62-1A-7050-LEAF
10.222.9.32 BGP Peer State of BAL-NDA62-1A-7300-SPIN
10.222.8.10 BGP Peer State of BAL-NDA62-1A-7300-SPIN
10.222.8.11 BGP Peer State of BAL-NDA62-1A-7050-LEAF
10.222.9.11 BGP Peer State of BAL-NDA62-1A-7050-LEAF
10.222.9.10 BGP Peer State of BAL-NDA62-1A-7300-SPIN
Alert time : 2025-08-31 02:38
Event No : INC15699613 / INC15699616 / INC15699597 / INC15699401 / INC15699396 / INC15699397 / INC15699387
2)The current status of the target is Down | 10.14.113.175/174
Alert time : 2025-08-31 03:12
Event No : INC15699659
3)Multiple :10.222.185.102/115 /114 /102 severity: Average Trigger: Load average is too high
Alert time - 2025-08-31 03:21
Event no - INC15699751/INC15699809/INC15699807/INC15699806/INC15699804/INC15699811</t>
  </si>
  <si>
    <t>8/31/2025 3:09
8/31/2025 4:19
8/31/2025 3:21</t>
  </si>
  <si>
    <t>8/31/2025 6:13
8/31/2025 5:40
8/31/2025 4:56</t>
  </si>
  <si>
    <t>Barring/Unbarring :3000 orders impacted
HB_ATOM: total orders 4815 ( Change order:6 , Involuntary Remove -OGB : 3 ).
Selfcare_B2C: 104(D vs D-5: 116 vs 220).</t>
  </si>
  <si>
    <t>Broadband New Customer Acquisition Journey, Broadband Activation Journey, Black Acquisition Journey</t>
  </si>
  <si>
    <t>eCAF_eDSL, Ecom</t>
  </si>
  <si>
    <t>INC15701851</t>
  </si>
  <si>
    <t xml:space="preserve">Broadband and Black acquisition was intermittently impacted.  </t>
  </si>
  <si>
    <t xml:space="preserve"> In this issue, eCAF was facing JBL pool error while connecting with HB_CRM. Upon investigation, it was found to be a known bug error. To resolve this, HB_CRM admin team performed a service restart, after which the error got cleared and the issue was resolved.</t>
  </si>
  <si>
    <t>Broadband: 16(D vs D-7: 4 vs 20).
Homes: 50(D vs D-7: 50 vs 100).</t>
  </si>
  <si>
    <t>INC15720121</t>
  </si>
  <si>
    <t xml:space="preserve"> Issue was identified at UIDAI end due to which eKYC via Face Auth and BMD was impacted in eCAF, leading impact on prepaid acquisition. Further dKYC was also impacted intermittently. To restore this, corrective action was taken at UIDAI end post which issue got resolved.</t>
  </si>
  <si>
    <t>P4
P4
P4
P1</t>
  </si>
  <si>
    <t xml:space="preserve"> INC15708139/INC15708138/INC15708197
 INC15708193</t>
  </si>
  <si>
    <t>Symptom:
1)Multiple INTEGRATION_UIDAI_TOMCAT_INT_API_HIGH_RESPONSE
APINAME : /ASA2_6/customer/verifycustomer/verifycustomerAsadetails/v2/verifyCustomerAsaDetails
SERVER : 10.222.185.212
SERVER : 10.241.150.222
SERVER : 10.241.150.219
SERVER : 10.241.150.221
Alert time :  2025-09-01 06:37
Event No :INC15708139/INC15708138/INC15708197
2)UIDAI_KUA_KSA-Postpaid/Prepaid New Customer Acquisition Journey-RS_uidaiinternal.novatel.example:443
Alert time : 2025-09-01 06:53
Event no-INC15708193</t>
  </si>
  <si>
    <t>09/01/2025  06:37
09/01/2025  06:37
09/01/2025  06:53
09/01/2025  08:23</t>
  </si>
  <si>
    <t>09/01/2025   08:51 
09/01/2025   08:47
09/01/2025   08:53
09/01/2025   08:42</t>
  </si>
  <si>
    <t>Prepaid success Dip : (D vs D-7: 11113 vs 7071= -4043) is No dip</t>
  </si>
  <si>
    <t>Broadband New Customer Acquisition Journey, Postpaid New Customer Acquisition Journey, Prepaid New Order Sim Swap Journey, Prepaid New Customer Acquisition-MNP Journey, Prepaid Customer Retail Acquisition Journey</t>
  </si>
  <si>
    <t>eCAF, eCAF_Sim Swap, eCAF_eDSL</t>
  </si>
  <si>
    <t>INC15719026</t>
  </si>
  <si>
    <t>Prepaid, Postpaid, Simswap and Broadband acquisition were impacted.</t>
  </si>
  <si>
    <t>In this issue, image was not getting uploaded while doing dKYC due to which acquisition flow for Prepaid, Postpaid, Simswap and Broadband were impacted. Further it was identified that one of the 4 nodes was restarted at night which triggered the issue. As a workaround, initially eCAF team isolated the impacted node. To resolve the same eCAF Dev team changed the owner for the files which were proceeded via impacted node, post which improvement was observed and issue resolved.</t>
  </si>
  <si>
    <t>TG Alert</t>
  </si>
  <si>
    <t>Symtom:
1)Web service
[N2 - ECAF - document-handler-service] - UploadImageControllerV2
Failure rate increase
424 requests/min impacted
by a failure rate increase to 6.33 %
Alert time-2025-09-01 07:23 Hrs
Event NO -TG Alert</t>
  </si>
  <si>
    <t>Prepaid Success Dip:( D vs D-7: 26252 vs 12391= -13861) is no dip
SimSwap Success Dip: (D vs D-7: 909 vs 1635= 726) is 44%
Postpaid Success Dip:(D vs D-7: 101 vs 76= -25 ) is no dip
Broadband Success Dip:(D vs D-7: 2833 vs 644= -2189) is no dip</t>
  </si>
  <si>
    <t xml:space="preserve"> Issue was identified at UIDAI end due to which eKYC via Face Auth was impacted in eCAF, leading impact on prepaid acquisition. To restore this, corrective action was taken at UIDAI end post which issue got resolved.</t>
  </si>
  <si>
    <t>INC15713571,INC15713578,INC15713594,INC15713602,Alert99184049,INC15713610,INC15713627
INC15708424
TG Alert</t>
  </si>
  <si>
    <t>1)Multiple INTEGRATION_UIDAI_TOMCAT_INT_API_HIGH_RESPONSE
APINAME : /ASA2_6/customer/verifycustomer/verifycustomerAsadetails/v2/verifyCustomerAsaDetails
SERVER : 10.241.150.222
SERVER : 10.241.150.221
SERVER : 10.241.150.220
SERVER : 10.222.185.204
SERVER : 10.241.150.219
SERVER : 10.222.185.212
SERVER : 10.241.150.223
SERVER : 10.222.185.205
Alert time :2025-09-01 18:26 HRS
Event No :INC15713571,INC15713578,INC15713594,INC15713602,Alert99184049,INC15713610,INC15713627	
2)UIDAI_KUA_KSA-Postpaid/Prepaid New Customer Acquisition Journey-RS_
uidaiinternal.novatel.example:443_OverallErrorRate&amp;gt;5%_Sev-1
Alert time :2025-09-01 18:27 Hrs
Event No :INC15708424
3) Status Code[504] Count Greater than [1000] in Last 10 Minutes
Current Value : 1361.0
AUTHORITY : uidaiinternal.novatel.example
CLUSTER_NAME : NonDMZ-Prod-Gloo-n1ocp-pclus-04
Alert time :2025.09.01 18:31 Hrs
Event No :TG Alert</t>
  </si>
  <si>
    <t>9/1/2025 18:26
9/1/2025 18:27
2025.09.01 18:31</t>
  </si>
  <si>
    <t>9/1/2025 19:06
9/1/2025 19:01
 2025.09.01 19:01:54</t>
  </si>
  <si>
    <t>Prepaid success Dip : (D vs D-7: 16149 vs 14845) is No dip
SimSwap: 2738(D vs D-7: 1985 vs 4726) is 58% dip</t>
  </si>
  <si>
    <t>Prepaid New Order Sim Swap Journey, Prepaid Customer Retail Acquisition Journey</t>
  </si>
  <si>
    <t>Issue was identified at UIDAI end due to which eKYC via Face Auth and BMD was impacted in eCAF, leading impact on prepaid acquisition. To restore this, corrective action was taken at UIDAI end post which issue got resolved.</t>
  </si>
  <si>
    <t>P4
P4
P4
P4
P4
P4
P4</t>
  </si>
  <si>
    <t>INC15718743, INC15718761, INC15718772, INC15718796, INC15718793, INC15718758, INC15718770</t>
  </si>
  <si>
    <t>Direct:
1) Multiple AppD Alerts
a)UIDAI_KUA_KSA-Postpaid/Prepaid New Customer Acquisition Journey-RS_uidaiinternal.novatel.example:443_OverallResponseTime&amp;gt;3000ms_Sev-1
b)UIDAI_KUA_KSA-Postpaid/Prepaid New Customer Acquisition Journey-OverallResponseTime&amp;gt;4000ms_Sev-1
Alert Start Time: 02/09/2025 07:38
Event No: INC15708193, INC15708424, INC15708400
2) Multiple DT Alrts
a)[aadhaar-aua-service] Response time degradation 87.8 requests/min impacted
b) ecaf- EKYC Phase2- 10.5.35.51:7443 Response time degradation 87.8 requests/min impacted
Alert Start Time: 02/09/2025 08:16
Event No: TG Alert
Symptom:
1) Multiple 5XX Failure&gt;35 in 10 min| and HRT COUNT&gt;10 FOR RESPONSE TIME&gt;14000MS in 10 minutes Alerts
Host Name : INTEGRATION_UIDAI_TOMCAT_ACCESS_API_5XXFAILURES
APINAME : /ASA2_6/customer/verifycustomer/verifycustomerAsadetails/v2/verifyCustomerAsaDetails
SERVER : 10.241.XXX.XXX/10.222.XXX.XXX
Alert Start Time: 02/09/2025 07:40
Event No: INC15718743, INC15718761, INC15718772, INC15718796, INC15718793, INC15718758, INC15718770</t>
  </si>
  <si>
    <t>9/2/2025  07:40
9/2/2025  07:42
9/2/2025  07:43
9/2/2025  07:47
9/2/2025  07:47
9/2/2025  07:42
9/2/2025  07:42</t>
  </si>
  <si>
    <t>9/2/2025  08:50
9/2/2025  08:42
9/2/2025  08:43
9/2/2025  08:47
9/2/2025  08:47
9/2/2025  08:52
9/2/2025  08:52</t>
  </si>
  <si>
    <t xml:space="preserve"> Prepaid Success Dip: (D vs D-7: 11053 vs 13078: 2025) is 15%.
SimSwap Success Dip: (D vs D-7: 391 vs 820: 429) is 52%.</t>
  </si>
  <si>
    <t xml:space="preserve">INC15722706 </t>
  </si>
  <si>
    <t>Self KYC was impacted in eCAF application.</t>
  </si>
  <si>
    <t>In this issue, eCAF team identified that one of the APIs used for video uploading was returning a 404 error, due to which Self-KYC was impacted for COCP and re-verification orders. To resolve the issue, the eCAF team performed a media service refresh, after which the issue was resolved.</t>
  </si>
  <si>
    <t>400 orders were delayed.</t>
  </si>
  <si>
    <t>APB_CKYC, APB_SBA, APB_Wallet</t>
  </si>
  <si>
    <t>INC0568656</t>
  </si>
  <si>
    <t xml:space="preserve">An issue was being observed in the CBS API due to NFB-SBA and NFB-CKYC account creation being impacted. </t>
  </si>
  <si>
    <t>In this issue, the NFB-Onboarding team reported that error code “A044” was being returned from the CBS system, resulting in failures across both NFB-SBA and NFB-CKYC account creation workflows. During investigation, the NFB-DBA Team highlighted that a recent change activity (CHG0007913 – Reduct policy implementation on PII data in the CBS Database) had been executed, after which the issue surfaced. As part of troubleshooting, the NFB-CBS Team performed a restart of all 16 JVMs, but this did not resolve the problem. Subsequently, the NFB-DBA Team executed a refresh of invalid database objects using UTLRP, which successfully cleared the error. Following this action, account creation workflows resumed normal functioning without further issues.</t>
  </si>
  <si>
    <t>For NFB-SBA Account Creation Comparison: {D vs (D-7) =3-82= 79 (96.34%) For NFB-CKYC Account Creation Comparison: {D vs (D-7) =15-436= 421 (96.56%) For NFB-Wallet Account Creation Comparison: {D vs (D-7) =28-585= 557 (95.21%)</t>
  </si>
  <si>
    <t xml:space="preserve">CHG0007913 </t>
  </si>
  <si>
    <t>VPN</t>
  </si>
  <si>
    <t>INC15731773</t>
  </si>
  <si>
    <t>Users across locations were intermittently unable to connect to VPN.</t>
  </si>
  <si>
    <t>In this issue, users reported that they couldn't connect to the VPN, but the VPN team confirmed the service was working fine on their end. However, issue was resolved on its own without any technical intervention, and users are now able to connect.</t>
  </si>
  <si>
    <t>Multiple users unable to connect to VPN.</t>
  </si>
  <si>
    <t>INC15728414</t>
  </si>
  <si>
    <t>Billing process was impacted for Fx 6.0</t>
  </si>
  <si>
    <t>In this issue, BTFLY_Billing team observed that they were unable to run any billing process due to 100% memory utilization. Further, to resolve the issue, OCP team increased the allocated memory from 18 TB to 20 TB for the application, post which the billing process started normally.</t>
  </si>
  <si>
    <t>P4
P3
P3</t>
  </si>
  <si>
    <t>INC15727085
TG Alert
TG Alert</t>
  </si>
  <si>
    <t>Symptom:
1)VROPS_N1VPPOLFXBA0021/10.223.162.139_Capacity_VM CPU utilization has reached a critical level
Alert Start Time: 03/09/2025 12:52 Hrs
Event NO:INC15727085
2)Multiple Load average is too high for 10.223.162.139
Alert Start Time: 03/09/2025 12:56 Hrs
Event NO:TG Alert
3)Multiple High CPU utilization for 10.223.162.139
Alert Start Time: 03/09/2025 01:22 Hrs
Event NO:TG Alert</t>
  </si>
  <si>
    <t xml:space="preserve">03/09/2025 12:52
03/09/2025 12:56
03/09/2025 01:22 </t>
  </si>
  <si>
    <t>03/09/2025 04:29
03/09/2025 04:41
03/09/2025 03:52</t>
  </si>
  <si>
    <t>Delay in BIP Billing process</t>
  </si>
  <si>
    <t xml:space="preserve">INC15720121 </t>
  </si>
  <si>
    <t xml:space="preserve">Prepaid Acquisition was impacted. </t>
  </si>
  <si>
    <t>Issue was identified at UIDAI end due to which eKYC was impacted in eCAF, leading impact on prepaid acquisition. To restore this, corrective action was taken at UIDAI end post which issue got resolved.</t>
  </si>
  <si>
    <t>P1
TG Alert
P4</t>
  </si>
  <si>
    <t>Alert99255294, INC15729416, INC15729438, INC15729431
TG Alert
INC15729359, INC15729357, INC15729403, INC15729456, INC15729492, INC15729565</t>
  </si>
  <si>
    <t>Direct:
1) Multiple AppD Alerts
a) UIDAI_KUA_KSA-Postpaid/Prepaid New Customer Acquisition Journey-RS_uidaiinternal.novatel.example:443_OverallResponseTime&amp;gt;3000ms_Sev-1
b) UIDAI_KUA_KSA-Postpaid/Prepaid New Customer Acquisition Journey-OverallResponseTime&amp;gt;4000ms_Sev-1
Alert Start Time: 03/09/2025 07:37
Event No: Alert99255294, INC15729416, INC15729438, INC15729431
2) Multiple DT Alrts
a)[aadhaar-aua-service] Response time degradation 28 requests/min impacted
b) [ekyc-service] - EkycController Response time degradation 127 requests/min impacted
Alert Start Time: 03/09/2025 07:45
Event No: TG Alert
Symptom:
) Multiple 5XX Failure&gt;35 in 10 min| and HRT COUNT&gt;10 FOR RESPONSE TIME&gt;14000MS in 10 minutes Alerts
Host Name : INTEGRATION_UIDAI_TOMCAT_INT_API_HIGH_RESPONSE
APINAME : /ASA2_6/customer/verifycustomer/verifycustomerAsadetails/v2/verifyCustomerAsaDetails
SERVER : 10.241.XXX.XXX/10.222.XXX.XXX
Alert Start Time: 03/09/2025 07:42
Event No: INC15729359, INC15729357, INC15729403, INC15729456, INC15729492, INC15729565</t>
  </si>
  <si>
    <t>2025-09-03 07:37
TG Alert 
2025-09-03 07:42</t>
  </si>
  <si>
    <t>2025-09-03 07:41
TG Alert 
2025-09-03 08:52</t>
  </si>
  <si>
    <t>Prepaid Success Dip: No Dip (D vs D-7: 13605 vs 10201: -3404)</t>
  </si>
  <si>
    <t>INC15732940</t>
  </si>
  <si>
    <t xml:space="preserve">Field Engineers were unable to view Task List in NovaTel works. </t>
  </si>
  <si>
    <t>In this issue, Field Engineers were unable to access Task List in NovaWorks. However, the issue got resolved without any technical intervention. Further it was identified that a long running query was observing high response time.</t>
  </si>
  <si>
    <t>Symptom:
1) Multiple Postgres DB Alert 
a) Postgres - skeletor_service Response time degradation 345 requests/min impacted
b) Postgres - rostering_service Response time degradation 158 requests/min impacted
c) Postgres - config_master Failure rate increase 485 requests/min impacted
d) Postgres - task_hdo Failure rate increase 12.4 requests/min impacted
e) Postgres - task_b2b NovaTelWorks- Tasks_DB Postgres - ResTime&gt; 200m
Alert start time: 03/09/2025 10:17
Event No: TG Alert</t>
  </si>
  <si>
    <t>7% failure</t>
  </si>
  <si>
    <t>INC15734294</t>
  </si>
  <si>
    <t>SimSwap orders were partially  impacted in Kerala and Tamil Nadu .</t>
  </si>
  <si>
    <t>In this issue, circle mismatch error was observed while doing Sim Swap for Tamil Nadu and Kerala circle leading to partial impact on the SimSwap orders. Last night, One_NMS went live for these impacted circles. One_NMS team repushed all the failed cases.</t>
  </si>
  <si>
    <t>30 Orders (Approx)</t>
  </si>
  <si>
    <t>INC15734669</t>
  </si>
  <si>
    <t>COCP orders were impacted intermittently.</t>
  </si>
  <si>
    <t>In this issue, eCAF was getting 406 error while processing COCP orders. Further, anomaly was identified in one of the canary Pod of eCAF. To resolve, eCAF team took refresh of the impacted canary Pod, post which issue got resolved.</t>
  </si>
  <si>
    <t xml:space="preserve"> COCP Success Dip- (D vs D-7: 17 vs 8=9 ) is No Dip</t>
  </si>
  <si>
    <t>INC15732608</t>
  </si>
  <si>
    <t>Broadband Business reports delivery were impacted.</t>
  </si>
  <si>
    <t>In this issue, it was identified that HB team was receiving an "IO Error" due to Node 2 being down in HB near DR. As a result, the delivery of Broadband-related business reports was impacted. To mitigate the issue, DBA team restarted Node 2, after which the services came up and the issue was resolved.</t>
  </si>
  <si>
    <t xml:space="preserve">INC15730203
INC15730340
</t>
  </si>
  <si>
    <t>Direct:
1) Incident (ORA 32701) detected in /u02/app/oracle/diag/rdbms/hbprmis/HBPRMIS4/alert/log.xml at time/line number: Wed Sep  3 10:07:37 2025/106393
Node- btfcrmdbadm04vm5
Alert start time: 03/09/2025 10:08
Event no :INC15730203
2) Incident (ORA 32701) detected in /u02/app/oracle/diag/rdbms/hbprmis/HBPRMIS3/alert/log.xml at time/line number: Wed Sep  3 10:07:37 2025/100450
Node- btfcrmdbadm03vm5
Alert start time: 03/09/2025 10:23
Event no :INC15730340</t>
  </si>
  <si>
    <t>2025-09-03 10:08
2025-09-03 10:23</t>
  </si>
  <si>
    <t>2025-09-03 10:40
2025-09-03 10:40</t>
  </si>
  <si>
    <t>(Approx.) 150 reports were impacted.</t>
  </si>
  <si>
    <t>INC15732334</t>
  </si>
  <si>
    <t>Billing process was impacted for FX6.0 converge on CU33.</t>
  </si>
  <si>
    <t xml:space="preserve"> In this issue, due to delay in execution of multiples queries, slowness was observed in the BIF process for FX6.0 Converge on CU33. To mitigate this issue App Dev team, along with Application DBA and Project team optimized the queries post which execution time normalized, pendency cleared and issue got resolved.</t>
  </si>
  <si>
    <t>13k Pendency.</t>
  </si>
  <si>
    <t>eCAF, Nova IQ_Voice, EV Portal, OneNova</t>
  </si>
  <si>
    <t>INC15734762</t>
  </si>
  <si>
    <t>Multiple applications hosted in Ph2 DC observed service disruptions.</t>
  </si>
  <si>
    <t>In this issue, multiple node down alert received for Ph2 DC which impacted multiple application functionalities. During troubleshooting, Network team confirmed that F-Row Leaf Switch went down which impacted the applications. To mitigate the issue, Network team isolated the impacted switch post which issue got resolved.</t>
  </si>
  <si>
    <t>Digital Acquisition, Nova IQ</t>
  </si>
  <si>
    <t>P1  
P2 
P1  
P3</t>
  </si>
  <si>
    <t>INC15733088
INC15733101
INC15733216
INC15733208
INC15733362
INC15733195
INC15733191
INC15733180</t>
  </si>
  <si>
    <t>Direct
1)A Network Interface goes DOWN at Wednesday, September 3, 2025 3:04 PM for Node = BAL-NDAPH2-K19-N93360-AGGR-LEAF-2, Node IP = 10.242.31.102, Interface Name = Tunnel25, 
Alert time - 2025-09-03 15:04Hrs
Event No -INC15733088
2)Node DOWN at Wednesday, September 3, 2025 3:05 PM for Node = BAL-NDAPH2-F1-N93180-LEAF-2, Node IP = 10.242.31.2
Alert time - 2025-09-03 15:06Hrs
Event No -INC15733101
Symptom:
1)Multiple ping response on IP 10.5.xx.xx,10.241.xx.xx,10.242.xx.xx is down error message "ping timeout"_10.5.2xx.xx,10.241.xx.xx,10.242.xx.xx
Alert time - 2025-09-03 15:06Hrs
Event No -INC15733216, INC15733208, INC15733362, Alert99270017
2)Multiple Application perfomance Alert
Alert time - 2025-09-03 15:11Hrs
Event No -INC15733195,INC15733191,INC15733180</t>
  </si>
  <si>
    <t>9/3/2025 15:04 
9/3/2025 15:06  
9/3/2025 15:12 
9/3/2025 15:12</t>
  </si>
  <si>
    <t>9/3/2025 15:51 
9/3/2025 15:23  
9/3/2025 15:22</t>
  </si>
  <si>
    <t>36 EV_Submitted cases for Broadband. No dip in acquisition was observed.</t>
  </si>
  <si>
    <t>APB_CKYC</t>
  </si>
  <si>
    <t>INC0569303</t>
  </si>
  <si>
    <t>NFB-CKYC flow, the VPA name was not received from the Payment Hub, resulting in an impact on account creation.</t>
  </si>
  <si>
    <t>In this issue, the NFB-CKYC Team reported that the VPA name was not being received from the Payment Hub in the CKYC flow, resulting in an impact on account creation. Upon investigation with the Payment Hub team, it was identified that the issue originated from the Razorpay side. The concern was raised with Razorpay, and after they implemented the necessary corrective action, the issue was resolved.</t>
  </si>
  <si>
    <t>For NFB-CKYC Account Creation Comparison: {D vs (D-7) =438-536=98 (14.8%) PM Condition: NA</t>
  </si>
  <si>
    <t>INC15759463</t>
  </si>
  <si>
    <t>Few streams of CDR reports were impacted.</t>
  </si>
  <si>
    <t>In this issue, Darts team confirmed that business reports were failing, due to backfill jobs were running and data loading was not happening. To mitigate the issue, Darts team stopped the backfill jobs, after which CDR daily session KPI reports started running fine and the issue got resolved.</t>
  </si>
  <si>
    <t>20 reports were impacted.</t>
  </si>
  <si>
    <t>INC15793902</t>
  </si>
  <si>
    <t>Broadband provisioning was getting delayed.</t>
  </si>
  <si>
    <t>In this issue, some anomaly was suspected at NSG_NOC end due to which Altiplano connectivity was impacted which delayed broadband provisioning. To mitigate this issue corrective action has been taken from NSG_NOC end post which pendency cleared and issue got resolved.</t>
  </si>
  <si>
    <t>INC15787532</t>
  </si>
  <si>
    <t>Symptom:
1)NovaTel_Works alerts for Broad Band Journey
Current Value : 171.0
COMPONENT : ordercount_mop_ftth_task1
Issue Start Time : 2025.09.04 17:56
Event no : INC15787532</t>
  </si>
  <si>
    <t>414 Orders Impacted</t>
  </si>
  <si>
    <t>Broadband Customer Experience Journey (Call Center), DTH Customer Experience Journey (Call Center), Postpaid Customer Experience Journey (Call Center), Prepaid Customer Experience Journey (Call Center), Nova App Experience Journey</t>
  </si>
  <si>
    <t>Nova App, Careshark, ECHO, Service Portal</t>
  </si>
  <si>
    <t>INC15794051</t>
  </si>
  <si>
    <t>CC advisors were unable to see the details in Service Portal along with that Echo dialer was also impacted intermittently.</t>
  </si>
  <si>
    <t>In this issue, It was identified that multiple application OCP routes health check was getting failed for both DC and alerts were triggered for the same which further impacted the application services. However, without any technical intervention it came back to normal and issue got resolved.</t>
  </si>
  <si>
    <t>P3
P1
P1
P1
P3
P1
P3</t>
  </si>
  <si>
    <t>Alert99370509 
INC15788139
INC15788037
INC15788130
TG alert 
INC15788683
TG Alert</t>
  </si>
  <si>
    <t>1)Multiple alert of Pods Not Running | myNovaTelapp-analyticsstore (OCP DC1 / DC2)
myNovaTelapp-analyticsstore-canary-0: PodInitializing
Host: MyNovaTelApp_infra
Start time  2025.09.04  17:54 hrs 
Event no : Alert99370509 ,Alert99370557,Alert99370592,Alert99370777
2)Multiple alert of KONG_OCP KONG 503 ERROR is Greater Than 25||KONG 503 ERROR is Greater Than 25 | digianalytics-kong-0 | /analytics/bulk-pixel
DIGITAL_EXPERIENCE_KONG_INFRA
Current Value : 14999.
Issue Start Time : 2025.09.04 18:01 hrs 
Event no : 
INC15788139,INC15788037,INC15788130
3)Multiple alert of myNovaTelapp-sentinel-OCP-myNovaTelapp-sentinel.dc1.channels.india.novatel.internal - status failed (1) -- Service Down
Issue Start Time: 2025.09.04  18:11 hrs 
Incident : TG alert 
4)Host Name : Careshark_CONSUMER_EXCEPTION_OCCURRED_Count
Current Value : 139.0
Issue Start Time : 2025.09.04 18:10 hrs 
Event no: INC15788683
5)Multiple alert of careshark-exchange-ingestion.dc1/dc2.channels.india.novatel.internal]:80/careshark-exchange-ingestion/health/check [TCP/IP] -- HTTP: Error receiving data 
-- Connection reset by peer
Issue Start Time:  2025.09.04  18:10 hrs 
Alert no : TG Alert</t>
  </si>
  <si>
    <t>9/4/2025  5:54:00 PM
9/4/2025  6:02:00 PM
9/4/2025  6:02:00 PM
9/4/2025  6:02:00 PM
9/4/2025  6:11:00 PM
9/4/2025  6:10:00 PM
9/4/2025  6:10:00 PM</t>
  </si>
  <si>
    <t>9/4/2025  5:56:00 PM
9/4/2025  6:23:00 PM
9/4/2025  6:32:00 PM
9/4/2025  6:17:00 PM
9/4/2025  6:32:00 PM
9/4/2025  6:20:00 PM
9/4/2025  6:32:00 PM</t>
  </si>
  <si>
    <t>D (1,185,529 hits total ) and D-3 (1,312,239 hits total) :- dip around 1,26,710 hits</t>
  </si>
  <si>
    <t>Broadband Customer Experience Journey (Call Center)</t>
  </si>
  <si>
    <t>HB_CRM, Service Portal</t>
  </si>
  <si>
    <t>INC15831991</t>
  </si>
  <si>
    <t>CC advisors were unable to access HB_CRM along with Link status was showing NA and MOP scenario was not working.</t>
  </si>
  <si>
    <t>In this issue, CC advisors reported that they were unable to access HB_CRM application. Further, during troubleshooting they were able to login but faced latency in HB_CRM along with MOP scenario not working and Link status showing NA. However, issue resolved without any technical intervention.</t>
  </si>
  <si>
    <t>Broadband, Digital Experience B2C</t>
  </si>
  <si>
    <t>CC advisors were facing latency in portal.</t>
  </si>
  <si>
    <t>INC15838980</t>
  </si>
  <si>
    <t>Users were unable to Login VDI from public network.</t>
  </si>
  <si>
    <t>In this issue, users reported that they were unable to login to VDI via public network both accessing directly and using Zscaler. However, issue stands resolved without any technical intervention.</t>
  </si>
  <si>
    <t>Multiple users unable to login VDI</t>
  </si>
  <si>
    <t>Nova App Experience Journey, Broadband Customer Experience Journey, DTH Customer Experience Journey (Call Center), Broadband Customer Experience Journey (Call Center), IPTV Customer Experience Journey (Call Center), Postpaid Customer Experience Journey (Call Center), Prepaid Customer Experience Journey (Call Center)</t>
  </si>
  <si>
    <t>Nova App, Financial Services, Service Portal</t>
  </si>
  <si>
    <t>INC15842482</t>
  </si>
  <si>
    <t>Multiple alerts were triggered for Ph2 DC.</t>
  </si>
  <si>
    <t>In this issue, multiple applications hosted in Ph2 DC reported fluctuations in their applications. During troubleshooting Network team confirmed that it was due to activity (CHG0190669) carried out at their end. As soon as the activity got completed, issue got resolved.</t>
  </si>
  <si>
    <t>P2
P1
P2</t>
  </si>
  <si>
    <t>INC15830767
INC15832415
INC15828783,INC15828797,INC15829243,INC15829307,INC15833790,INC15828783,INC15828797,INC15839730,Alert99443945,INC15840137,Alert99435852,Alert99436583,Alert99427088,INC15835909,INC1584101</t>
  </si>
  <si>
    <t>1)Device Firepower 4140 Security Module 36 named BAL-NDAPH2-FPR-4140-Intra-Services IP: 10.5.145.69
Alert time - 2025-09-05 02:34 Hrs
Event No -INC15830767
2)A Network Interface goes DOWN at Friday, September 5, 2025 2:53 AM for Node = BAL-NDAPH2-K19-N93360-AGGR-LEAF-2, Node IP = 10.242.31.10
Alert time - 2025-09-05 02:53 Hrs
Event No -INC15832415
Symptom:
2)Multiple Application perfomance Alert
Alert time - 2025-09-05 02:09 Hrs
Event No -INC15828783,INC15828797,INC15829243,INC15829307,INC15833790,INC15828783,INC15828797,INC15839730,Alert99443945,INC15840137,Alert99435852,Alert99436583,Alert99427088,INC15835909,INC15841011</t>
  </si>
  <si>
    <t>2025-09-05 02:34:48
2025-09-05 02:53:09
2025-09-05 02:09:00</t>
  </si>
  <si>
    <t>2025-09-05 03:22:23
2025-09-05 05:58:19
2025-09-05 02:24:02</t>
  </si>
  <si>
    <t>CC Advisors facing errors and latency while accessing Service Portal</t>
  </si>
  <si>
    <t>CHG0190669</t>
  </si>
  <si>
    <t>INC15849294</t>
  </si>
  <si>
    <t>CDR files of broadband were impacted for KK circle.</t>
  </si>
  <si>
    <t>In this issue, Nokia_OSS team was generating CDR files and sending them to the Mediation team. During this process, Network team observed latency issues while connecting to the Mediation server, which resulted in delays in CDR files for broadband. As a workaround, Network team reduced the bandwidth limit for two IPs (10.92.100.26/134) from 1 GB to 500 MB, after which the issue was resolved.
For a permanent fix, Network team has raised a ticket with the AES team, and will be addressed accordingly.</t>
  </si>
  <si>
    <t>1800 files were delayed.</t>
  </si>
  <si>
    <t>Nova App Experience Journey, Prepaid Customer Experience Journey (Call Center), Postpaid Customer Experience Journey (Call Center)</t>
  </si>
  <si>
    <t>Multiple applications hosted in Phase2 DC observed service disruptions.</t>
  </si>
  <si>
    <t>In this issue, multiple device down alerts were observed due to OCP pods were down leading to impact on multiple applications hosted in Phase2 DC. However, applications got restored around @10:52 Hrs. and issue got auto-resolved without any technical intervention by any technical team.</t>
  </si>
  <si>
    <t>P4
P1</t>
  </si>
  <si>
    <t>TG alert
INC15847128,INC15847127
TG Alerts
INC15847184</t>
  </si>
  <si>
    <t>Symptom:
1) Multiple alert of Pods Not Running | myNovaTelapp-analyticsstore (OCP DC1 / DC2)
myNovaTelapp-vernac-OCP-myNovaTelapp-vernac.dc2.channels.india.novatel.internal - status failed (1) -- Service Down
Alert Start Time: 05/09/2025 10:38
Event No: TG alert
2) Multiple alert of myNovaTelapp
High Pod Restart Count | myNovaTelapp-analyticsstore (OCP DC1)
myNovaTelapp-analyticsstore-1: CrashLoopBackOff
Alert Start Time: 05/09/2025 10:40
Event No: INC15847128,INC15847127
3) Multiple Alerts
careshark-wf-v3-careshark-wf-v3.dc2.channels.india.novatel.internal - failed protocol test [HTTP] at [careshark-wf-v3.dc2.channels.india.novatel.internal]:80/careshark-wf-v3/healthcheck [TCP/IP] -- HTTP: Error receiving data -- Connection reset by peer
Alert Start Time: 05/09/2025 10:41
Event NO: TG Alerts
4) Multiple alert of careshark-exchangeCareshark_CONSUMER_EXCEPTION_OCCURRED_Count||Careshark_CONSUMER_EXCEPTION_OCCURRED_Count
APP : reporting-analytics
Issue : High Exception Count in last 10 mins
Alert Start Time: 05/09/2025 10:46
Event No: INC15847184</t>
  </si>
  <si>
    <t>9/5/2025 10:38
9/5/2025 10:42
9/5/2025 10:46
9/5/2025 10:46</t>
  </si>
  <si>
    <t>Open
9/5/2025 11:07
9/5/2025 10:56
Open</t>
  </si>
  <si>
    <t>Service Portal Success Hits: (D vs D-3: 142952 vs 153356: 10404) is 6.78%.</t>
  </si>
  <si>
    <t>INC15853603</t>
  </si>
  <si>
    <t>Broadband installation/Actvation was impacted.</t>
  </si>
  <si>
    <t xml:space="preserve">In this issue, Task 2 was not getting received for MDU broadband install orders. Upon investigation it was identified that, HB_ATOM Optimus task-wise pendency got increased. However, during the course of troubleshoot, the pendency got cleared without any technical intervention.  </t>
  </si>
  <si>
    <t>INC15850594
INC15850597,INC15850643</t>
  </si>
  <si>
    <t>1)hb_atom_taskwise_optimus_Inprogress|Current Value : 914|Sev-3
Alert Start Time: 05/09/2025 05:25 Hrs
Event NO:INC15850594
2)Pendency alert for component MDU_Task_2 not recieved
Alert Start Time: 05/09/2025 05:26 Hrs
Event NO:INC15850597,INC15850643</t>
  </si>
  <si>
    <t xml:space="preserve">9/5/2025 17:25
9/5/2025 17:26
</t>
  </si>
  <si>
    <t xml:space="preserve">9/5/2025 17:35
9/5/2025 17:41
</t>
  </si>
  <si>
    <t>254 orders</t>
  </si>
  <si>
    <t>INC15853285</t>
  </si>
  <si>
    <t>IPTV installation was impacted intermittently.</t>
  </si>
  <si>
    <t>In this issue, IPTV installation orders were stalled due to a failure in the getboxdetails service. Further, it was identified that the machine type for the service had been incorrectly changed from a 16-core to an 8-core configuration under an unauthorised change causing 2 out of 5 service nodes to go down, triggering the issue. The IPTV team resolved the problem by reverting the machine type to 16-core and restarting the getboxdetails service, which cleared the pending orders and allowed services to resume as normal.
Regards, MIM Team</t>
  </si>
  <si>
    <t>TG Alerts
Alert99484827 ,Alert99484938,INC15852595,INC15852595</t>
  </si>
  <si>
    <t>1)Multiple HIGH - Failed to get box details Alerts
Sev-1 &amp; 2  Error while getting box details: 3 times
Alert Start Time: 05/09/2025 21:26 Hrs
Event NO:TG alerts
2)atv-sms-service-prd-logstash ELASTIC Error while getting box details: 4 times
Alert Start Time: 05/09/2025 21:26 Hrs(Fluctuating)
Event NO:Alert99484827 ,Alert99484938,INC15852595,INC15852595</t>
  </si>
  <si>
    <t xml:space="preserve">9/5/2025 21:26
9/5/2025 21:26
</t>
  </si>
  <si>
    <t xml:space="preserve">9/5/2025 21:26
9/5/2025 21:27
</t>
  </si>
  <si>
    <t>25 orders</t>
  </si>
  <si>
    <t>INC15856578</t>
  </si>
  <si>
    <t>CDR process was impacted for international customers.</t>
  </si>
  <si>
    <t>In this issue, connection issue to the server was observed, which prevented the CDRs for international customers from being available to the application creating a backlog of around 25000+ files at Syneverse end. However, the connectivity was restored automatically without any technical intervention, and the issue is now resolved.</t>
  </si>
  <si>
    <t>CDR files not received.</t>
  </si>
  <si>
    <t>Black Acquisition Journey, Broadband New Customer Acquisition Journey, Black Customer Experience Journey (Call Center), DTH Customer Experience Journey (Call Center), Postpaid Customer Experience Journey (Call Center), Prepaid Customer Experience Journey (Call Center), Prepaid New Order Sim Swap Journey</t>
  </si>
  <si>
    <t>DPS, Financial Services, Nova App, eCAF_Sim Swap, eCAF_eDSL, ECHO, Careshark, Service Portal, Thanks App</t>
  </si>
  <si>
    <t xml:space="preserve"> INC15859585</t>
  </si>
  <si>
    <t>1. CC advisors were facing issues while using Service portal, ECHO and other CCT apps. 
2. Broadband, Black and Simswap acquisitions were impacted as Payments link and QR were impacted.</t>
  </si>
  <si>
    <t>In this issue, it was identified that OCP pods restart issue retriggered, resulting in latency and intermittent failures in service portal, echo dialer and other CCT application. On further analysis it was observed that health check services were failing on cluster router of OCP which might have triggered the issue. While teams were drilling down, issue got auto-resolved at 10:30 Hrs</t>
  </si>
  <si>
    <t xml:space="preserve">Primary Root Cause :
Leg 01 – Specification 
Q1. Why was service disruption observed for multiple Digital Experience B2C and Acquisitions applications? 
A1. Because all three ingress router pods in RHOCP restarted simultaneously, causing cluster instability and repeated pod restarts. This led to widespread service degradation impacting multiple Digital Experience B2C applications (including call center operations) and acquisition journeys (Broadband, Black, SIM swap). The outage also degraded DPS Kong services, resulting in failed payment flows and disrupted QR links. 
Q2. Why did ingress routers restart? 
A2. Because of a sudden exponential spike in incoming connections, which exhausted available CPU and memory resources. Connection volume surged from~3,000 to ~30,500 per pod (totaling ~80,000 across all router pods), leading to high CPU utilization, service unavailability and eventual router pod restarts. 
Q3. Why did resource exhaustion occur? 
A3. Because router pods could not sustain the sudden spikes in concurrent connections. This triggered Out-of-Memory kills and repeated container restarts as readiness/liveness probes failed. The cycle of failures and restarts caused continuous resource exhaustion, preventing the pods from stabilizing under load. 
Q4. Why did excessive connections pile up on router pods? 
A4. Because the Nova App’s - Analytics Store microservice became overloaded due to Kafka consumer saturation. High message inflow exhausted the available thread pool, leaving consumer requests unprocessed. These backlogs triggered retries and sustained open sessions, which piled up connections on the router pods, increasing load toward failure. The root cause was Kafka brokers experiencing high I/O and storage latency, which delayed message acknowledgments, increased consumer retries and further built-up backlogs. As these backlogs grew, the Analytics Store service faced sustained overload, exhausting its resources and augmenting the overall connection surge. 
Q5. Why did Kafka experience storage and I/O issues? 
A5. Because the Kafka broker infrastructure was running on aging VMs with inherent performance limitations, which constrained I/O throughput and storage operations under high load. These limitations caused delayed message processing and acknowledgment to consumers, contributing to backlog buildup in the Analytics Store. The issue was resolved only after migrating Kafka brokers to new physical hosts and scaling the cluster, which improved performance and restored system stability.
Leg 02 – Detection 
Q1. Why wasn’t the surge detected proactively? 
A1. Because the monitoring system was focused on infrastructure metrics, such as CPU utilization spikes and router pod restarts and lacked visibility into application-level indicators. Key root causes like Kafka broker latency and Analytics Store consumer overload were not tracked or correlated, preventing early detection of the surge before it impacted services. 
Q2. Why wasn’t Kafka instability identified earlier? 
A2. Because the initial investigation focused primarily on OCP ingress and load balancer traffic, without analyzing the downstream application and Kafka dependencies. As a result, early signs of Kafka latency, consumer backlogs and thread pool exhaustion in the Analytics Store microservice were missed, delaying the identification of the true root cause. 
Q3. Why didn’t alerts correlate app-level failures with infra-level surges? 
A3. Because the monitoring framework lacked correlation rules to tie application-layer errors (Kafka broker failures, Analytics Store latency) with infrastructure-layer anomalies (ingress router traffic spikes, pod restarts).Thresholds were defined in isolation for each layer, which meant alerts fired separately without cross-domain linkage. As a result, app teams saw failures and infra teams saw surges, but the system didn’t automatically surface the dependency between the two. 
Q4. Why wasn’t there a predefined response procedure for Analytics Store/Kafka failures? 
A4. Previous surge incidents had been classified and managed as generic infrastructure scaling issues (CPU/memory exhaustion, pod restarts), with the assumption that increasing infra capacity was sufficient. Application-level impacts on Kafka/Analytics Store were not deeply analyzed or documented. Because failures were not historically traced back to backend dependencies.
Leg 3 – Systemic Failure 
Q1. Why did one application failure impact the entire cluster? 
A1. Because a single shared ingress controller handled traffic for all namespaces. When router pods for one application failed, it caused restarts that disrupted platform services and multiple other applications across the cluster. The lack of namespace-level isolation meant that failures were not contained, increasing the impact of a single application issue. 
Q2. Why was the ingress controller shared across all services? 
A2. Because the OpenShift default design—one ingress router per master node—was implemented without additional namespace-level segregation or sharding. As a result, all applications and platform services depended on the same ingress router. This design choice increased the blast radius, so failures in one service impacted the entire cluster instead of being isolated. 
Q3. Why wasn’t router sharding or dedicated ingress implemented earlier? 
A3. Because capacity planning and resilience design focused on average cluster load and did not anticipate application-specific traffic surges. Without considering these peak scenarios, no dedicated ingress routers or sharding strategies were implemented, leaving all applications dependent on shared ingress and increasing the risk of cluster-wide impact when a single app experienced high traffic. 
Q4. Why did auto-scaling not prevent the impact? 
A4. Because, although ingress pods were configured to scale, the downstream backend systems—including Kafka, databases, and APIs—became bottlenecks under high load. The scaling of ingress alone could not address these backend constraints, so traffic continued to pile up, increasing connection backlogs and resource exhaustion across the cluster. 
Preventive Measures : 
1. Draft and propose a design to segregate critical applications using multiple ingress routers (Router Sharding) or namespace-based routing to prevent cascading failures. – Sachin Rana, Vikash Maurya - (Open)
2. Review and adjust application timeout settings to ensure connections are released quickly during high load or degraded states, avoiding router crashes. – Sachin Rana / Saurabh Gulia - (Open)
</t>
  </si>
  <si>
    <t>PRB0044547</t>
  </si>
  <si>
    <t>P3
P3
P1
P2
P2
P1</t>
  </si>
  <si>
    <t>TG alert
Alert99509686, Alert99510720
TG Alert
INC15857078
INC15857091,INC15857085,INC15857097,INC15857096
INC15857162</t>
  </si>
  <si>
    <t>Symptom:
1) Multiple alert of Pods Not Running | myNovaTelapp-analyticsstore (OCP DC1 / DC2)
Alert Start Time: 06/09/2025 08:19 Hrs
Event No: TG alert
1) Multiple alerts of container restarted
Container has restarted for openshift-ingress - router-default-b76c9b8f6-4kv2m - router
Host Name : N1OCP-PCLUS-03-THANKSAPP
Alert start Time: 6/09/2025 08:33 Hrs
Event No: Alert99509686, Alert99510720
2) Multiple careshark alert
a) careshark-wf-v3-careshark-wf-v3.dc1.channels.india.novatel.internal - failed protocol test [HTTP] at [careshark-wf-v3.dc1.channels.india.novatel.internal]:80/careshark-wf-v3/healthcheck [TCP/IP] -- HTTP: Error receiving data -- Connection reset by peer
b) careshark-exchange-ingestion-careshark-exchange-ingestion.dc2.channels.india.novatel.internal - failed protocol test [HTTP] at [careshark-exchange-ingestion.dc2.channels.india.novatel.internal]:80/careshark-exchange-ingestion/health/check [TCP/IP] -- HTTP: Error receiving data -- Connection reset by peer
c) care-shark-event-handler-careshark-event-handler.dc2.channels.india.novatel.internal - failed protocol test [HTTP] at [careshark-event-handler.dc2.channels.india.novatel.internal]:80/care-shark-event-handler/health [TCP/IP] -- HTTP: Error receiving data -- Resource temporarily unavailable
Alert start Time: 6/09/2025 08:28 Hrs
Event No: TG Alert
3) Recharges - Prepaid Details Page||Full Page Failure Percentage &gt; 10
Recharges - SOP for Alerts
Alert start Time: 6/09/2025 08:41 Hrs
Event No: INC15857078
4) Multiple KONG_OCP Alerts
KONG 503 ERROR is Greater Than 25||KONG 503 ERROR is Greater Than 25 
Alert Start Time: 6/09/2025 08:41 Hrs
Event No: INC15857091,INC15857085,INC15857097,INC15857096
5) Careshark_LIVECHAT_THREAD_CASE_MESSAGES_CREATION_LATENCY_TM||Careshark_LIVECHAT_THREAD_CASE_MESSAGES_CREATION_LATENCY_TM
APP : tm-v2
Issue : High Latency in last 10 mins
Threshold : 95th percentile of response time is greater than 10 sec
Alert start Time: 6/09/2025 08:54 Hrs
Event No: INC15857162</t>
  </si>
  <si>
    <t>6/9/2025 8:19
9/6/2025 8:33
6/9/2025 8:28
9/6/2025 8:41
9/6/2025 8:42
9/6/2025 8:54</t>
  </si>
  <si>
    <t>6/9/2025 10:35
9/6/2025 8:39
Open
9/6/2025 9:28
9/6/2025 8:54
9/6/2025 9:04</t>
  </si>
  <si>
    <t>Broadband Success Dip:(D vs D-7: 566 vs 954: 388) 
SimSwap Success Dip: (D vs D-7: 2399 vs 5198: 2799)
Service Portal Success Hits Dip: (D vs D-3: 815447 vs 830856= 15409)</t>
  </si>
  <si>
    <t>Broadband New Customer Acquisition Journey, Black Acquisition Journey</t>
  </si>
  <si>
    <t>eCAF_eDSL, Ecom, Feasibility, POQ</t>
  </si>
  <si>
    <t xml:space="preserve">INC15861460 </t>
  </si>
  <si>
    <t>Broadband and FWA acquisition was impacted.</t>
  </si>
  <si>
    <t>In this issue, the Feasibility team confirmed that they were receiving I/O errors on GET requests for the (GetFWA5GFeasible) API at the NSG end. Further investigation revealed that a power issue in the Manesar DC which lead to outage. NSG teams worked on bringing the servers up and took necessary corrective actions, after which the issue was resolved and services were restored.</t>
  </si>
  <si>
    <t xml:space="preserve">Primary Root Cause :
Leg 01 – Specification 
Q1. Why was Broadband new customer acquisition journey affected? 
A1. Because the Feasibility APIs hosted at Manesar DC experienced high I/O errors. This directly impacted Broadband and FWA acquisition processes and caused disruption in multiple dependent applications including eCAF_eDSL, Feasibiity, POQ, and eCOM. 
Q2. Why did the Feasibility APIs face high I/O errors? 
A2. Because the application servers hosting these APIs lost stable power supply from their connected Power Distribution Units (PDUs), resulting in degraded performance and service disruption. 
Q3. Why did the PDUs lose power? 
A3. Because multiple UPS units in the Manesar DC failed simultaneously. Specifically, UPS-5 and UPS-9 were in OFF condition and UPS-6 tripped due to an inverter overload alarm, which caused a sudden load loss on the PDUs feeding the critical application racks. 
Q4. Why were multiple UPS units down simultaneously? 
A4. Because UPS-5 suffered multiple fuse and module failures, UPS-6 tripped under overload while attempting to sustain redirected load and UPS-9 went into OFF condition with a critical alarm status. On inspection by OEM (Vertiv), UPS-5displayed blown rectifier and inverter fuses across U, V, W phases and booster negative pole fuse. The site operations team temporarily restored the load through super bypass mode on DG power. Later, the OEM Customer Engineer (CE)replaced faulty modules (U-phase and V-phase power modules) and fuses. After parallel testing with UPS-6 and UPS-9, the system was restored back on load. 
Q5. Why did UPS-5 fail with blown fuses/modules? 
A5. Because of an internal component-level failure (blown rectifier/inverter fuses and power module faults). The exact cause of component failure (whether due to aging, thermal stress or electrical surge) is under detailed OEM (Vertiv) factory-level analysis.
Leg 02 – Detection 
Q1. Why were the UPS component failures not detected earlier? 
A1. Because alarms were raised only after fuses/modules had failed, by which time the PDUs feeding the servers had already lost load. 
Q2. Why were the UPS alarms not proactively escalated? 
A2. Because the Building Management System (BMS) monitoring was reactive and lacked predictive analytics, only reporting failures once components reached a critical alarm state instead of providing early warning signals. 
Leg 03 – Systemic Failure
Q1. Why did power loss on one UPS cluster affect application services? 
A1. Because the Feasibility servers were concentrated on racks powered by the affected UPS/PDUs and critical application servers were not distributed across multiple UPS and PDU sources. This lack of power source diversity created single points of failure, making the servers and the dependent acquisition services vulnerable to any localized UPS/PDU outage. 
Actions in Progress : 
• NXTRA has engaged UPS OEM (Vertiv) to perform detailed inspections of UPS-5, UPS-6 and UPS-9 and remediate all underlying issues. 
Preventive Measures : 
• Validation ensured all critical acquisition servers are connected to diverse UPS sources to maintain availability during isolated failures. - Dinesh (Closed) 
• Validation completed for redundant PDUs and power supplies at rack level to support high availability. – Dinesh (Closed)
</t>
  </si>
  <si>
    <t>PRB0044548</t>
  </si>
  <si>
    <t>INC15856202,INC15856226</t>
  </si>
  <si>
    <t>Direct:
1)Multiple Growth Feasibility Alert for NON 20 ALERT
I/O error on GET request for "https://surecoverageb2b.novatel.example/fwa_feas/Service1.svc/GetFWA5GFeasible"
Alert Start Time: 06/09/2025 05:58 Hrs
Event NO:INC15856202,INC15856226</t>
  </si>
  <si>
    <t>Broadband Success Dip: 952(D vs D-7: 9261 vs 10213) is 9% dip. Broadband overall lead creation: (D vs D-7: 14200 vs 21011: 6811) is 32.41%. FWA order count: (D vs D-7: 42 vs 1672: 1630) is 97%.</t>
  </si>
  <si>
    <t>INC15869948</t>
  </si>
  <si>
    <t>Users were unable to login into GOAL app intermittently.</t>
  </si>
  <si>
    <t>In this issue, application team observed some JDBC connection errors due to which intermittent log in issues were observed in GOAL app. To restore, application team took service restart, post which issue got resolved.</t>
  </si>
  <si>
    <t>GOAL Reports were impacted.</t>
  </si>
  <si>
    <t>To fix the ongoing PODS restart issue, RHEL OEM was engaged, who recommended to implement a command to enable monitoring service on PODS to identify the exact cause of PODS restart. As soon as the command was implemented again call centers started facing issue and QR payment link for Broadband, Black and Simswap got impacted, as the command got failed. While drilling down, it was identified that, ongoing OCP level issue increased the load on DPS kong layers.  Further to restore the issue, OCP team rolled back the command and issue got mitigated.
Regards, MIM Team</t>
  </si>
  <si>
    <t>INC15858162
INC15858176</t>
  </si>
  <si>
    <t>Symptom:
1)Multiple DPS_Payment_Options_Service severity
a)High 500 Failure for PROMOTIONS-OFFERS Text_To_Speech
URL-:https://opsanalytics.novatel.example/d/dB9amaxnz/dps-api-metrics?orgId=1&amp;refresh=5m,
Alert start Time: 6/09/2025    10:53 Hrs
Event No: INC15858162
b)High 500 Failure for SAVED-CARDS-V6 Text_To_Speech
URL-:https://opsanalytics.novatel.example/d/dB9amaxnz/dps-api-metrics?orgId=1&amp;refresh=5m,
Alert start Time: 6/09/2025   10:56 Hrs
Event No: INC15858176</t>
  </si>
  <si>
    <t>9/6/2025 10:54
9/6/2025 10:56</t>
  </si>
  <si>
    <t>9/6/2025 11:39
9/6/2025 11:41</t>
  </si>
  <si>
    <t>Broadband Activation Journey</t>
  </si>
  <si>
    <t>eCAF, eCAF_eDSL</t>
  </si>
  <si>
    <t>INC15870149</t>
  </si>
  <si>
    <t>Broadband activation delay was observed as orders were stuck in EV Submitted status.</t>
  </si>
  <si>
    <t>In this issue, it was identified that BB orders were stuck in Ev_submitted stage. As mentioned by the eCAF Team, they encountered an error related to the DMQueue (BroadbandWorkerConsumerTopic) for which the ESB team is currently investigating. This issue got auto-resolved and as of now respective teams are investigating internally on the cause.</t>
  </si>
  <si>
    <t>INC15860779 ,INC15860933
TG Alarts</t>
  </si>
  <si>
    <t>)Broadband milestone pendency alert in last 10 min || EV_SUBMITTED
Host Name : Milestone_pendency_broadband_ecaf
Sev-2 Current Value : 209.0
Alert start Time: 2025-09-06 16:02 Hrs
Event No:INC15860779 ,INC15860933
2}Web request service
ecaf- EV Phase2- :80
Failure rate increase
55.2 requests/min impacted
by a failure rate increase to 55 %
Service method: /opus-evtask/opus/evtask/utils/getEVResponseOfCaf
Alert start Time: 2025-09-06 16:29 Hrs
Event No:TG Alarts</t>
  </si>
  <si>
    <t>9/6/2025 16:02
9/6/2025 16:29</t>
  </si>
  <si>
    <t>9/6/2025 16:12
9/6/2025 17:16</t>
  </si>
  <si>
    <t>1000 orders.</t>
  </si>
  <si>
    <t>INC15862746</t>
  </si>
  <si>
    <t xml:space="preserve"> Inflight (FTTH to FWA) order provisioning was impacted.</t>
  </si>
  <si>
    <t>In this issue, the cascading impact from NSG caused old in-flight orders to get stuck. To resolve the issue, the Feasibility team worked with the DEV team, who enabled the retry functionality so that when engineers try the in-flight orders again, the system could recheck feasibility and allow them to pass through, which were earlier stuck due to today’s failure. After this no system level issue observed now. Further will be validating and monitoring with field team tomorrow.</t>
  </si>
  <si>
    <t>INC15856202,INC15856226
Alert99509375</t>
  </si>
  <si>
    <t>1)Multiple Growth Feasibility Alert for NON 20 ALERT
I/O error on GET request for "https://surecoverageb2b.novatel.example/fwa_feas/Service1.svc/GetFWA5GFeasible"
Alert Start Time: 06/09/2025 05:58 Hrs
Event NO:INC15856202,INC15856226
Symptom:
1)Host Name : oracle-ecom |DIP_10_Percent_Telemedia_Lead_Sent_to_AW | Count D : 5934 | Count D_7: 7014
Current Value : 7014 |Sev-4
Alert Start Time: 06/09/2025 08:22 Hrs
Event NO:Alert99509375</t>
  </si>
  <si>
    <t>9/6/2025  5:58
9/6/2025  8:23</t>
  </si>
  <si>
    <t>9/6/2025  8:55
9/6/2025  8:27</t>
  </si>
  <si>
    <t>BB Total leads: 296907(D vs D-7:207903 vs 504810) is 58% dip.</t>
  </si>
  <si>
    <t>Broadband activation was delayed as orders were stuck in EV Submitted status.</t>
  </si>
  <si>
    <t>In this issue, Intermittent DB spikes on both DB noded were causing an increase in pendency at the Ev_submitted stage. However, the pendency started clearing automatically post settlement of the spike. Currently, DB team investigating the underlying cause of the issue.</t>
  </si>
  <si>
    <t>INC15862442</t>
  </si>
  <si>
    <t>1)Broadband milestone pendency alert in last 10 min || EV_SUBMITTED
Host Name : Milestone_pendency_broadband_ecaf
Sev-2 Current Value : 340
Alert start Time: 2025-09-06 20:22
Event No:INC15862442</t>
  </si>
  <si>
    <t>250 orders</t>
  </si>
  <si>
    <t>Case &amp; Interaction</t>
  </si>
  <si>
    <t>INC15879724</t>
  </si>
  <si>
    <t>Bundling orders were stuck at Case Platform.</t>
  </si>
  <si>
    <t>In this issue, it was suspected that, the pendency piled up due to failure of downstream system, which case retry mechanism clears in the span of 1 hour and this resulted in the orders getting stuck at case platform. However, pendency got cleared without any technical intervention post which issue got resolved.</t>
  </si>
  <si>
    <t>2773 orders</t>
  </si>
  <si>
    <t>Blink</t>
  </si>
  <si>
    <t>INC15882283</t>
  </si>
  <si>
    <t xml:space="preserve">Black acquisition was intermittently impacted.  </t>
  </si>
  <si>
    <t xml:space="preserve"> In this issue, a spike was observed due to data loading activity during the traffic movement from N1 to N2, which caused intermittent issues related to the eligibility of Broadband orders. To mitigate the issue, the traffic was completely shifted to N2. After the traffic movement was completed, the services stabilized and the issue stand resolved.</t>
  </si>
  <si>
    <t>INC15880812
INC15880599
TG alert</t>
  </si>
  <si>
    <t>1)|VALIDATE_ELIGIBILITY High Failure in last 10M | Total Count : 1232 |  Failure Count : 187 | FailurePercentage %: 15.18 | Threshold: 15%
API : VALIDATE_ELIGIBILITY
Alert start Time: 2025-09-08 16:33
Event No:INC15880812
2)OneNova-Black Customer Experience Journey-Homes-RS_blinkmdm.novatel.example_Overall Error rate is greater than 5%_Sev-1* 
Alert start Time: 2025-09-08 16:38
Event No:INC15880599
3)Increase in Failure Hits for BLINKREAD_PINCODESERVICEABILITY|| Total Count: 315 | Failure Count: 151 | Failure Percentage: 47%
API : BLINKREAD_PINCODESERVICEABILITY
Alert start Time: 2025-09-08 16:16
Event No:TG alert</t>
  </si>
  <si>
    <t>9/8/2025  4:33:00 PM
9/8/2025  4:36:00 PM
TG alert</t>
  </si>
  <si>
    <t>9/8/2025  4:50:00 PM
9/8/2025  4:42:00 PM
TG alert</t>
  </si>
  <si>
    <t>Homes: 12(D vs D-7: 5 vs 17) orders.</t>
  </si>
  <si>
    <t>INC15882345</t>
  </si>
  <si>
    <t>ROP reports delivery was delayed.</t>
  </si>
  <si>
    <t>In this issue, DARTS team reported that server (10.5.232.72) went into hung state and unable to come up, which prevented ROP reports from being delivered. While troubleshooting, the server came back online, but the control center went down, causing another issue. To fix this, the DARTS DevOps team rebooted the control center server, which restored the services and resolved the problem.</t>
  </si>
  <si>
    <t>INC15880568</t>
  </si>
  <si>
    <t>1)VCS state of DARTS-CDA12node is not running_HA Failover Alert_event.alert.vom.vcs.cluster.system.down_HostName : n2pl-pac-abc157.india.novatel.internal
Alert start Time: 2025-09-08 20:32
Event No:INC15880568</t>
  </si>
  <si>
    <t>Delay in Aio tableaus and Business Dashboards.</t>
  </si>
  <si>
    <t>DARTS, Message Broker, 121 Selfcare</t>
  </si>
  <si>
    <t>INC15887653</t>
  </si>
  <si>
    <t>Users were not getting response while sending sms on 121.</t>
  </si>
  <si>
    <t>In this issue, 121 Selfcare team confirmed that all types of requests were being forwarded from their end to users, but all requests were stuck at MB end due to broken connectivity between 121 Selfcare &amp; Message broker. To resolve the issue, MB team performed a service restart, after which the requests started processing normally and the issue was resolved.</t>
  </si>
  <si>
    <t>ABGB, Analytics, Postpaid</t>
  </si>
  <si>
    <t>FTA pull and port in eligibility was impacted via 121.</t>
  </si>
  <si>
    <t>INC0574032</t>
  </si>
  <si>
    <t>SBA conversion was intermittently down approx. 6% where we were seeing low success rate at KUA /AUA.</t>
  </si>
  <si>
    <t>In this issue, the NFB-SBA Team informed that they were observing a low conversion rate in SBA account opening. During the troubleshooting, NFB-Network informed that last night there was a change deployed under this change no. CHG0007113 (enable TCP Shield on PDC and FDR DDOS Devices), post that SBA conversion rate was dropped. Hence, to restore the issue, the NFB-Network Team rolled back the changes after the SBA conversion rate improved, and the issue was resolved.</t>
  </si>
  <si>
    <t>For NFB-SBA Account Creation Comparison-{D vs (D-7)= 8756-9250=494(5.34% dip in account creation).</t>
  </si>
  <si>
    <t>INC15899292</t>
  </si>
  <si>
    <t>Black Acquisition was impacted for DTH plan (BLACK_579) for Rajasthan &amp; NESA circle.</t>
  </si>
  <si>
    <t>In this issue, it was identified that eCAF was receiving errors from One EPC for DTH Black bundling, which further impacted Black acquisition. During troubleshooting, DTH team confirmed that a plan (EPCN-22011) was implemented yesterday at One EPC end, which triggered the issue. To resolve this, Application team rolled back the change, followed by cache refresh was done by both One EPC and DTH teams, after which the issue was resolved.</t>
  </si>
  <si>
    <t>Symptom:
1)[cart-catalog-service] - PlansController
Failure rate increase
32 requests/min impacted
by a failure rate increase to 100 %
Alert start Time: 2025-09-10 08:18
Event No: TG Alert</t>
  </si>
  <si>
    <t xml:space="preserve">9/10/2025  8:18:00 AM
</t>
  </si>
  <si>
    <t xml:space="preserve">9/10/2025  8:22:00 AM
</t>
  </si>
  <si>
    <t>Homes Success Dip: No Dip (D vs D-7: 854 vs 695: -159).</t>
  </si>
  <si>
    <t>EPCN-22011</t>
  </si>
  <si>
    <t>INC15912643</t>
  </si>
  <si>
    <t>In this issue, it was identified that the apache services were hung, which triggered the issue. To restore this, ACS team performed a service refresh, after which the issue was resolved.</t>
  </si>
  <si>
    <t>INC15903607</t>
  </si>
  <si>
    <t>CC advisors were unable to raise SR for multiple LOBs in Service Portal.</t>
  </si>
  <si>
    <t>In this issue, SR creation was impacted for multiple LOBs which further degraded the customer experience. To resolve the issue Case team took service refresh but no improvement observed. However issue got resolved without any technical intervention.</t>
  </si>
  <si>
    <t xml:space="preserve">Root Cause Summary:  
•	In this problem, CC advisors encountered an error message stating that "SR could not be raised" when attempting to establish SR for several LOBs in the Service Portal.
•	
•	For the Create case API, the RT and error rate were both high. The Case team claims that SR creation requests were not getting through to their system, so they refreshed the system to generate SR however, this did not reduce the issue, and it was subsequently resolved automatically later.
•	
•	Error-"status_code": "0" was being received by the service portal from the case platform. Gloo team also verified the logs for the V3/troubleticket API and reported that they were receiving 504 error upstream timeouts, since the default timeout was 15 seconds during which no answer was received.
•	
•	The RCA for this outage is still unknown because both teams verified their records, but no specific findings were found that would have helped pinpoint the exact cause.
Preventive Actions - 
•	Enhance monitoring for critical API (Create CASE) and enable logging to dig down to facilitate deeper analysis- Open Ravinder Singh
</t>
  </si>
  <si>
    <t>PRB0044549</t>
  </si>
  <si>
    <t>INC15902374, INC15902441,Alert99734198</t>
  </si>
  <si>
    <t>sp_multitenant_audit_raiseSRViaCase_latency_failure||High Latency in last 10M ** 95th Percentile : 7.65   seconds *</t>
  </si>
  <si>
    <t xml:space="preserve">9/10/2025  15::49 PM
</t>
  </si>
  <si>
    <t xml:space="preserve">9/10/2025  16:08:00 PM
</t>
  </si>
  <si>
    <t>(D vs D-7: 1452 vs 1560 Dip in SR is108)</t>
  </si>
  <si>
    <t>Xstream App Customer Experience Journey</t>
  </si>
  <si>
    <t xml:space="preserve">INC15906023 </t>
  </si>
  <si>
    <t xml:space="preserve">Fresh login was impacted in Xstream Play application. </t>
  </si>
  <si>
    <t>In this issue, users reported that they were having trouble while performing a fresh login in NovaTel XStream Play application. Further, IPTV team took a service refresh, post which the issue stands resolved.</t>
  </si>
  <si>
    <t xml:space="preserve">
:Alert99749088,Alert99745873 ,Alert99749088</t>
  </si>
  <si>
    <t>p99 discovery-client-service Sev 3 &amp; Sev 2 on 
Sev-3  Alert: Service discovery-client-service had high p99latency over Alert start Time: 2025-09-10 21:00 Hrs (Fluctuating)</t>
  </si>
  <si>
    <t xml:space="preserve">9/10/2025  21::00 PM
</t>
  </si>
  <si>
    <t xml:space="preserve">9/10/2025  21::35 PM
</t>
  </si>
  <si>
    <t>2737 users impacted intermittently.</t>
  </si>
  <si>
    <t>APB_MicroATM</t>
  </si>
  <si>
    <t>INC0574951</t>
  </si>
  <si>
    <t>Micro ATM Transactions and Set Pin were impacted due to issue at Aerospike.</t>
  </si>
  <si>
    <t>In this issue, The NFB‑Payments1 team observed issues with Micro ATM Transactions and Set PIN operations, which were traced to a problem in the Aerospike cluster. During troubleshooting, the NFB‑Middleware team confirmed that a planned Aerospike node rack migration was in progress under Change ID: CHG0007703.
As part of this activity, the following Aerospike nodes were restarted (10.241.122.216, 10.241.122.217). Notably, node 10.241.122.217 had been quiesced from the cluster prior to the restart. After the migration and reboot, the node was re-added to the cluster, and cluster synchronization completed successfully. Post-synchronization, the services showed improvement, and the issues affecting Micro ATM and Set PIN operations were fully resolved.</t>
  </si>
  <si>
    <t>For NFB-Micro-ATM Dip in Successful transaction-{D)= 3928 failed out of 24412 = (16% dip in success rate).</t>
  </si>
  <si>
    <t>INC15913388</t>
  </si>
  <si>
    <t>SMS delivery was impacted for the Customers hosted on Phase2.</t>
  </si>
  <si>
    <t>In this issue, During the troubleshooting, it was identified that one of the device went down and the traffic got failover fails over 2nd engine within milliseconds. However, it impacted the SMS delivery for some customers. To mitigate the issue, Nova IQ_SMS team migrated the traffic to another DC and re-pushed the SMS.</t>
  </si>
  <si>
    <t>P2
P2
P2
P1</t>
  </si>
  <si>
    <t xml:space="preserve">INC15910737
INC15912383,INC15912405,Alert99788382,Alert99788383
INC15910597, INC15910596,Alert99779734 
INC15910626, INC15910611, INC15910619, INC15910659
</t>
  </si>
  <si>
    <t xml:space="preserve">Direct:
1)Device Juniper MX104 named BAL-NDAPH2-ENGG-TECH-MX104-SEC (IP: 10.5.61.233) has gone down at ${N=Generic;M=DateTime;F=DateTime
Alert start time: 2025-09-11 11:00Hrs
Event no : INC15910737
2)Multiple node down alerts 
Node IP = 10.0.45.xx
Alert start time: 2025-09-11 13:50Hrs
Event no :INC15912383,INC15912405,Alert99788382,Alert99788383
Symptom:
1)Multiple port_monitoring_10.241.102.125, 10.96.22.141, 10.222.186.212
sev-2 Trigger: Port alert on 10.3.209.122
Alert start time: 2025-09-11 10:48Hrs
Event no :INC15910597, INC15910596,Alert99779734 
2)Multiple of IQ SMS MDR NEW sev-4 Trigger: 51 ISSUE STARTED description: HDFC Traffic is less than 100 Delivered mgs in last minutes
Alert start time: 2025-09-11 10:50Hrs
Event no :INC15910626, INC15910611, INC15910619, INC15910659
</t>
  </si>
  <si>
    <t>2025-09-11 11:00:26
2025-09-11 13:50:39
2025-09-11 10:48:21
2025-09-11 10:50:20</t>
  </si>
  <si>
    <t>2025-09-11 11:19:21
2025-09-11 19:12:39
2025-09-11 10:58:16
2025-09-11 10:58:20</t>
  </si>
  <si>
    <t>100% Impact on customers hosted on Phase2 for impacted duration.</t>
  </si>
  <si>
    <t>INC15911416</t>
  </si>
  <si>
    <t>Pull SMS functionality was impacted for FTA process in Darts Application.</t>
  </si>
  <si>
    <t>In this issue, Darts team confirmed that they were getting "ORA-00600" error due to which FTA Pull reports were impacted for PAN India. Further, it was identified that Darts was getting some issue from eCAF DB. However, issue got auto-resolved without any technical intervention post which, reports have started processing and impact got mitigated.</t>
  </si>
  <si>
    <t>FTA Pull SMS functionality was impacted for PAN India.</t>
  </si>
  <si>
    <t>INC15912402</t>
  </si>
  <si>
    <t>CC advisors were facing issues in MOP scenario for broadband customers.</t>
  </si>
  <si>
    <t xml:space="preserve">In this issue, CC advisors were unable to raise SR for My internet is not working_MOP scenario (Broadband customers). However, during the course of troubleshoot, nothing conclusive was identified and issue got resolved automatically. </t>
  </si>
  <si>
    <t>TG alert
INC15911293,INC15911617,INC15911617</t>
  </si>
  <si>
    <t>Symptom:
1)Web service
N1 - ConnectedDeviceController - WebLogic humatom humatomdn-Cluster
Response time degradation
710 requests/min impacted
Alert start Time: 2025-09-11 11:57
Event No: TG alert
2)Multiple SP_MT_RULE_FAILURE (Fluctuating )
Downstream Logs : http://10.242.146.186:5601/goto/db29fe40-44e4-11f0-8798-57f2aafd28fb
Rule Logs : http://10.5.246.114:5601/goto/aee006c0-cce1-11ef-b76d-37ea99318b7e
Downstream Logs : http://10.242.146.186:5601/goto/db29fe40-44e4-11f0-8798-57f2aafd28fb
Rule Logs : http://10.5.246.114:5601/goto/aee006c0-cce1-11ef-b76d-37ea99318b7e
Alert start Time: 2025-09-11 11:58
Event No: INC15911293,INC15911617,INC15911617</t>
  </si>
  <si>
    <t>9/11/2025 11:56
9/11/2025 12:26</t>
  </si>
  <si>
    <t>9/11/2025 12:08
9/11/2025 12:39</t>
  </si>
  <si>
    <t>SR Success Count Dip: (D vs D-7: 259 vs 289: 30) is 10%.</t>
  </si>
  <si>
    <t xml:space="preserve"> Issue resurfaced where CC advisors were facing high latency in MOP scenario for broadband customers. Upon investigation, it was observed that RT was high for one of the ACS API (ConnectedDeviceController). However, during the course of troubleshoot, RT came back to normal and action taken to resolve remains unknown.</t>
  </si>
  <si>
    <t>TG alert
INC15911617</t>
  </si>
  <si>
    <t>Symptom:
1)Web service
N1 - ConnectedDeviceController - WebLogic humatom humatomdn-Cluster
Response time degradation
710 requests/min impacted
Alert start Time: 2025-09-11 12:17
Event No: TG alert
2)SP_MT_RULE_FAILURE 
Downstream Logs : http://10.242.146.186:5601/goto/db29fe40-44e4-11f0-8798-57f2aafd28fb
Rule Logs : http://10.5.246.114:5601/goto/aee006c0-cce1-11ef-b76d-37ea99318b7e
Alert start Time: 2025-09-11 12:18( Fluctuating )
Event No: INC15911617</t>
  </si>
  <si>
    <t>2025-09-11 12:17
2025-09-11 12:26:18</t>
  </si>
  <si>
    <t>2025-09-11 13:27
2025-09-11 12:39:36</t>
  </si>
  <si>
    <t>SR Success Count Dip: (D vs D-7: 748 vs 683) is no dip.</t>
  </si>
  <si>
    <t>B2B SMS Journey, Broadband Customer Experience Journey (Activation/Install), Prepaid Customer Experience Journey (Activation/Install)</t>
  </si>
  <si>
    <t>NovaWorks, HB_ATOM, Mediation_IL, Nokia OSS, SkyVault</t>
  </si>
  <si>
    <t>INC15916044</t>
  </si>
  <si>
    <t>Multiple applications observed service disruptions due to issue at NSG end.</t>
  </si>
  <si>
    <t>In this issue, multiple applications observed telnet connectivity issue at techlan end (NSG). Upon investigation, It was identified that there was UPS power rack issue observed at NSG end which triggered the outage. To resolve, NSG team took corrective action and replaced the faulty power plug post which connectivity got restored and  issue got resolved.</t>
  </si>
  <si>
    <t>Broadband, ABGB, Prepaid, Digital Acquisition</t>
  </si>
  <si>
    <t>P2
P3
P2
P2
P2</t>
  </si>
  <si>
    <t xml:space="preserve">
Alert99802028,Alert99802027
INC15915259,INC15915252,INC15915242
INC15915232,Alert99696944,Alert99779912,Alert99802407,Alert99801933
INC15915394,Alert99780247
Alert99803089</t>
  </si>
  <si>
    <t>Direct:
1)Multiple node down alerts 
Node IP = 10.0.45.xx
Alert start time: 2025-09-11   18:51Hrs
Event no :Alert99802028,Alert99802027 
Symptom:
1)Multiple Telnet Connectivity Issue
host name-10.5.xx.xx
Host Name : 10.96.3.95_telnet
Alert start time: 2025-09-11   18:58Hrs
Event no:INC15915259,INC15915252,INC15915242
2)Multiple HB_atom &amp; Nokia_OSS ports alert 
Host Name : port_monitoring_10.222.185.xx
Alert start time: 2025-09-11   18:50Hrs
Event no: ,INC15915232,Alert99696944,Alert99779912,Alert99802407,Alert99801933
3)Ecaf_prepaid_milestone_pacs_success having high count
Host Name : ECAF_PREPAID_MILESTONE_ORACLE
Sev-2 Current Value : 2036.0
Alert start time: 2025-09-11 19:05Hrs
Event no:INC15915394,Alert99780247
4)NovaTel_Works alerts for Broad Band Journey
Task 2 not received for FTTH broadband orders
Current Value : 168.0
Alert start time: 2025-09-11   19:11Hrs
Event no: Alert99803089</t>
  </si>
  <si>
    <t>2025-09-11 18:51:49
2025-09-11 18:59:01
2025-09-11 18:57:46
2025-09-11 19:05:09
2025-09-11 19:11:11</t>
  </si>
  <si>
    <t xml:space="preserve">2025-09-11 18:54:39
2025-09-11 19:18:56
2025-09-11 19:07:41	
2025-09-11 19:15:09
2025-09-11 19:16:11
</t>
  </si>
  <si>
    <t>Skyvault: 10 lakh SMS was failed 
Mediation_IL: 500 Orders activations delayed
NovaWorks: 168 Broadband orders delayed installation</t>
  </si>
  <si>
    <t>Nova App Experience Journey, Black Payment Posting Journey, Postpaid Customer Experience Journey (Call Center), Broadband Customer Experience Journey (Call Center), Prepaid Customer Experience Journey (Call Center)</t>
  </si>
  <si>
    <t>Nova App, Ecom, HB_ATOM, DCAP, Service Portal</t>
  </si>
  <si>
    <t>INC15922726</t>
  </si>
  <si>
    <t>Issue was observed with CU10 which impacted details fetching in Service Portal &amp; Nova App along with Payment posting for homes and Broadband orders.</t>
  </si>
  <si>
    <t>In this issue, failures were observed from BSL end which impacted bill view in Service Portal and Nova App along with Payment posting for homes and Broadband orders. Issue identified at CU10 and for restoration BSL team performed pods refresh for impacted CU after which it got resolved.</t>
  </si>
  <si>
    <t>P1
P1
P3
P3
P2
P2
P2
P1</t>
  </si>
  <si>
    <t>TG alert
INC15921474,INC15921468,INC15921472
Alert99840005,INC15921604
INC15921362 
INC15921438 
INC15921515
INC15921531,INC15921523
INC15921445,INC15921457</t>
  </si>
  <si>
    <t>Symptom:
1)OPEN Problem P-25099377 in environment dt-NovaTel
Alert start time:2025-09-12 10:53hrs 
Event no : TG alert
2)broadband service thanks ---- Plan Widget Failure Percent 
Alert start time: 2025.09.12 10:28Hrs
Event no :INC15921474,INC15921468,INC15921472
3)ecom_order_checkout_service_audit_logs
Alert start time:2025.09.12 10:31hrs
Event no:Alert99840005,INC15921604
4)Lapu BSL getBillingAccountDetails Error message count
Alert start time:2025.09.12 10:15hrs
Event no :INC15921362 
5)Multiple Dcap OCP 4 High Failures being Observed for home_fail
Alert start time:2025.09.12 10:24hrs
Event no :INC15921438 
6)SP_MT_RULE_FAILURE
Alert start time : 2025.09.12 10:33hrs
Event no: INC15921515
7) Channel-Backend-Alerts for NovaTel-billing 5XXFailure
Alert start time : 2025.09.12 10:34hrs
Event no: INC15921531,INC15921523
8)multiple homes + telemedia OneNova-Digital Customer Experience Journey-Homes 
Alert start time : 2025.09.12 10:25hrs
Event no : INC15921445,INC15921457</t>
  </si>
  <si>
    <t>9/12/2025  10:36
9/12/2025  10:43
9/12/2025  10:40
9/12/2025  10:15
9/12/2025  10:24
9/12/2025  10:33
9/12/2025  10:35
9/12/2025  10:25</t>
  </si>
  <si>
    <t>9/12/2025  10:52
9/12/2025  10:55
9/12/2025  10:50
9/12/2025  10:50
9/12/2025  10:54
9/12/2025  10:52
9/12/2025  10:55
9/12/2025  10:46</t>
  </si>
  <si>
    <t>Homes Payment posting: 281 orders. 
Service Portal Hits: (D vs D-7: 23 vs 12: -11), bill view was impacted.
HB_ATOM: 300 orders were impacted.</t>
  </si>
  <si>
    <t>INC15921765</t>
  </si>
  <si>
    <t>Prepaid CDR files processing was impacted in Mediation_EL.</t>
  </si>
  <si>
    <t xml:space="preserve"> In this issue, Mediation_EL north servers were observing issues while connecting to downstream system (CGNAT) due to which prepaid CDR files processing was impacted. However, teams were trying to debug the issue, file processing started running fine and buffer got reduced.</t>
  </si>
  <si>
    <t>50K+ files</t>
  </si>
  <si>
    <t>Issue resurfaced for CU10 which impacted bill view in Service Portal and Nova App along with Payment posting for homes and Broadband orders. Further, it was identified that response time was high for multiple CUs. However, issue got auto-resolved without any technical intervention the services came back to normal, post which issue got resolved.</t>
  </si>
  <si>
    <t>P3
P2
P3
P3
P1
P2
P1</t>
  </si>
  <si>
    <t>NC15921800,INC15922166,INC15922170
INC15922125,INC15922162
Alert99841894,Alert99842497
Alert99842210,Alert99842215
Alert99842383,Alert99842731
 INC15921531,INC15921523
Alert99842477,Alert99842624,Alert99842675,Alert99842907</t>
  </si>
  <si>
    <t>Symptom:
1)broadband service thanks ---- Plan Widget Failure Percent 
Alert start time: 2025.09.12 11:12Hrs
Event no :INC15921800,INC15922166,INC15922170
2)ecom_order_checkout_service_audit_logs
Alert start time:2025.09.12 11:26hrs
Event no:INC15922125,INC15922162
3)Lapu BSL getBillingAccountDetails Error message count
Alert start time:2025.09.12 11:10hrs
Event no :Alert99841894,Alert99842497
4)Multiple Dcap OCP 4 High Failures being Observed for home_fail
Alert start time:2025.09.12 11:14hrs
Event no :Alert99842210,Alert99842215
5)sp_broadband_shifting_elgibility_failure_percent
Alert start time : 2025.09.12 11:17hrs
Event no: Alert99842383,Alert99842731
6) Channel-Backend-Alerts for NovaTel-billing 5XXFailure
Alert start time : 2025.09.12 10:34hrs
Event no: INC15921531,INC15921523
7)multiple Homes+ telemedia OneNova-Digital Customer Experience Journey-Homes 
Alert start time : 2025.09.12 11:20hrs
Event no : Alert99842477,Alert99842624,Alert99842675,Alert99842907</t>
  </si>
  <si>
    <t>9/12/2025  11:13
9/12/2025  11:22
9/12/2025  11:10
9/12/2025  11:15
9/12/2025  11:17
9/12/2025  10:35
9/12/2025  11:20</t>
  </si>
  <si>
    <t>9/12/2025  11:19
9/12/2025  11:33
9/12/2025  11:15
9/12/2025  12:24
9/12/2025  11:36
9/12/2025  10:55
9/12/2025  11:28</t>
  </si>
  <si>
    <t>Homes Payment posting: 269 orders.  
Service Portal Hits: (D vs D-7: 210 vs 128: -82), bill view was impacted.
Nova App Success Hits: (D vs D-5: 3269533 vs 2897782: -371751).</t>
  </si>
  <si>
    <t>Nova IQ_SMS, Mediation_IL</t>
  </si>
  <si>
    <t>INC15925134</t>
  </si>
  <si>
    <t>Volte service activation/deactivation was impacted.</t>
  </si>
  <si>
    <t>In this issue It was identified that due to a cabling fault at the Bangalore DC, which caused two ports to go down, resulting in service disruption for Nova IQ_SMS and Mediation_IL. To mitigate the issue, DCO Team replaced the faulty cable. Post replacement, the connectivity was restored, and services resumed normal operations.</t>
  </si>
  <si>
    <t>Nova IQ, Prepaid</t>
  </si>
  <si>
    <t>INC15923914,INC15923922,INC15923923,INC15923937,INC15923947
INC15923942,INC15923950,INC15923927,INC15923932,
INC15923928,INC15923929
 INC15924197 , INC15924101  ,   INC15924035</t>
  </si>
  <si>
    <t>Direct
1)Multiple Network Interface goes DOWN 10.96.xx.xx
Alert time - 12/09/2025  3:00:13 PM
Event No - INC15923914,INC15923922,INC15923923,INC15923937,INC15923947
2)Multiple BGP Peer State 10.96.xx.xx
Alert time - 12/09/2025  3:00:13 PM
Event No - INC15923942,INC15923950,INC15923927,INC15923932,
INC15923928,INC15923929
Symptom:
1)Multiple ping response on 10.92.xx.xx,10.94.xx.xx
Alert time - 12/09/2025  3:04PM
Event No -     INC15924197 , INC15924101  ,   INC15924035</t>
  </si>
  <si>
    <t>09/12/2025  15:00
09/12/2025  15:02
09/12/2025  15:04</t>
  </si>
  <si>
    <t>09/12/2025  15:13
09/12/2025  15:16
09/12/2025  15:21</t>
  </si>
  <si>
    <t>Mediation_IL: Offline bulk provisioning and de-provisioning was delayed.</t>
  </si>
  <si>
    <t>INC15926091</t>
  </si>
  <si>
    <t>IPTV installation was impacted as EDT Task was not getting closed in NovaWorks.</t>
  </si>
  <si>
    <t>In this issue, IPTV Dev team had added new nodes which caused IPTV installation pendency. After removing the newly added nodes, success rate started improving. Further, on taking retries the pending orders started clearing, and the issue now stands resolved.</t>
  </si>
  <si>
    <t>TG Alerts
INC15925380
TG Alerts
INC15925747</t>
  </si>
  <si>
    <t>Symptom:
1) HIGH - Failed to get box details
Sev-1 Threshold Value: 25.0
Alert time - 12/09/2025  17:14Hrs
Event No -TG Alerts
2)atv-sms-service-prd-logstash ELASTIC Error while getting box details: 895 times
Alert time - 12/09/2025  17:14Hrs
Event No:INC15925380
3) p99 sms-service Sev 3 on  
Alert: Service sms-service had high p99latency over 5m - 8662.83682360112ms
Alert time - 12/09/2025  17:17 Hrs
Event No -TG Alerts
4)IPTV orders stuck in SDU MDU Validation status||EDT journey impacted
Host Name : NovaTel_Works alerts for Broad Band Journey
Sev-2 Current Value : 762.0
Alert time - 12/09/2025  18:02 Hrs
Event No -INC15925747</t>
  </si>
  <si>
    <t>09/12/2025  17:14
09/12/2025  17:14
09/12/2025  17:17
09/12/2025  18:02</t>
  </si>
  <si>
    <t>open
09/12/2025  18:01
09/12/2025  17:23
09/12/2025  18:32</t>
  </si>
  <si>
    <t>865 orders was stuck on EDT task.</t>
  </si>
  <si>
    <t>APB_CKYC, APB_Digilocker</t>
  </si>
  <si>
    <t>INC0576265</t>
  </si>
  <si>
    <t>CKYC Impacted due to issue from Cersai &amp; CKYC-Digilocker Impacted due to network activity.</t>
  </si>
  <si>
    <t>In this issue, Due to planned activities at Trackwizz on 12th September 2025 between 08:00 PM and 12:00 AM, the bank’s CKYC flow was impacted. In parallel, a network activity (CHG0008207) was executed to reroute AWS traffic from Noida-81 DC Direct Connect to the Pune Direct Connect link at the Pune DR location. During the late-night network activity, the Digilocker application experienced issue “since 01:35 Hrs” Although the AppProxy URL had been configured, the application unexpectedly started connecting to the DR AppProxy IP (10.56.63.254:4145) instead of resolving to both DC and DR environment IPs as per the expected behavior. This caused the application to become completely unavailable. As a workaround, the team updated the DC AppProxy IP (10.241.124.254) in the SSM configuration and restarted the service. The issue was resolved immediately after this change.
Next Steps: The Trackwizz teams are actively coordinating with CERSAI to address and permanently resolve the CKYC Search/download api issue.</t>
  </si>
  <si>
    <t xml:space="preserve"> For NFB-CKYC Digilocker D-39 vs D-173 (77.46%).</t>
  </si>
  <si>
    <t>i360</t>
  </si>
  <si>
    <t>INC15938537</t>
  </si>
  <si>
    <t>Broadband and IPTV Asset allotment was delayed</t>
  </si>
  <si>
    <t>In this issue, Initially Db services for i360 were impacted, later high latency was observed on application end, due to which IPTV and Broadband asset allotment to engineers was delayed. Further it was identified that, DB performance degradation was caused by excessive IOPS on the disk which led to the slowing down of the query execution. Once LRQ was cleared, application started working fine and issue got resolved.</t>
  </si>
  <si>
    <t xml:space="preserve">P3
P2
P2
</t>
  </si>
  <si>
    <t>INC15933282,INC15934207,INC15934489,INC15933698,Alert99905047,Alert99906402</t>
  </si>
  <si>
    <t xml:space="preserve">1)Hostname:10.223.161.41 sev-3 Trigger: PostgreSQL: Service has been restarted 
2)Hostname:10.223.161.42 sev-3 Trigger: PostgreSQL: Service has been restarted </t>
  </si>
  <si>
    <t>13/09/2025  06:03</t>
  </si>
  <si>
    <t>13/09/2025  10:30</t>
  </si>
  <si>
    <t xml:space="preserve">803 Installation </t>
  </si>
  <si>
    <t>APB_Tez Portal</t>
  </si>
  <si>
    <t>INC0577314</t>
  </si>
  <si>
    <t>Commission payout is impacted for 12th and 13th September.</t>
  </si>
  <si>
    <t>The NFB RnM Team reported a critical issue that fully impacted commission payouts. To resolve this, the EXEMPT REDACTION POLICY privilege was granted to the affected users, allowing their queries to bypass redaction parsing. Post-implementation validation under CHG0008261 confirmed successful query execution, while redaction policies remained enforced for all other users. During the change, the DBA Team had excluded the impacted users from the redaction policy; however, they continued receiving alerts related to data access restrictions. To address this inconsistency, the team will raise a Service Request (SR) with Oracle to investigate why the exclusion did not function as expected.</t>
  </si>
  <si>
    <t>Commission payout is impacted around 3,842,564 transactions affected for 12th &amp; 13th September.</t>
  </si>
  <si>
    <t>INC15938233</t>
  </si>
  <si>
    <t>Prepaid CDR file processing was impacted in Mediation_EL at NSG end.</t>
  </si>
  <si>
    <t>n this issue, CDR file processing for Kerala and Tamil Nadu circles was impacted due to an SFTP connectivity issue from Nokia. Mediation_EL team, in coordination with Techlan and Nokia teams, was actively engaged in troubleshooting. During the investigation, a suspected design issue (CRQ000005169565) related to OAM VPRN in Siruseri SR12 router was identified. As part of the recovery action, rollback of the change was executed by NSG. Post rollback, CDR file flow was successfully restored and issue got resolved.</t>
  </si>
  <si>
    <t>600 Files were impacted.</t>
  </si>
  <si>
    <t>INC15939405</t>
  </si>
  <si>
    <t>Issue was identified at UIDAI end due to which eKYC flow was impacted in eCAF, leading impact on prepaid acquisition. Concern regarding the same was raised to UIDAI. Corrective action was taken at UIDAI end post which issue got resolved.</t>
  </si>
  <si>
    <t>P3
P1
P1
P3</t>
  </si>
  <si>
    <t>INC15938952 , INC15938988 ,INC15939019,INC15939019
 INC15939054,Alert99928462
TG Alert 
 INC15939187</t>
  </si>
  <si>
    <t>1)Multiple INTEGRATION_UIDAI_TOMCAT_INT_API_HIGH_RESPONSE
Alert time :  2025-09-13 20:50:07
Event No  : INC15938952 , INC15938988 ,INC15939019,INC15939019
2)UIDAI_KUA_KSA-Postpaid/Prepaid New Customer Acquisition Journey-RS_uidaiinternal.novatel.example:443_OverallErrorRate&gt;5%
Alert time : 2025-09-13 21:01 Hrs
Event no-Alert99928462 ,INC15939054
3)Web service - [aadhaar-kua-service-canary] - KuaController 
Failure rate increase , 73.6 requests/min impacted
, by a failure rate increase to 34 %
Alert time - 2025-09-13 21:18Hrs
Event no - TG Alert 
4)5XX_StatusCode_Gloo_API_CS | AUTHORITY : uidaiinternal.novatel.example | Current Value : 601.0
Alert time : 2025.09.13 21:21Hrs
Event No  - INC15939187</t>
  </si>
  <si>
    <t>2025-09-13 20:50:08
2025-09-13 21:03:13
2025-09-13 21:18
2025-09-13 21:21:45</t>
  </si>
  <si>
    <t>2025-09-13 21:10:08
Open
Open
2025-09-13 22:01:45</t>
  </si>
  <si>
    <t>661 orders (D vs D-7: 2645 vs 3306) 19% dip</t>
  </si>
  <si>
    <t>INC15939368</t>
  </si>
  <si>
    <t>CC Advisors were unable to raise SR in Service Portal</t>
  </si>
  <si>
    <t>In this issue, CC advisors were observing the error "DFF not available". Upon investigation, it was confirmed that the errors are being observed from Case end. To resolve this, Case team took refresh of microservices post which issue got resolved.</t>
  </si>
  <si>
    <t>INC15939247 , INC15939248 
INC15939293</t>
  </si>
  <si>
    <t>1)5XX_StatusCode_Gloo_API_CS | AUTHORITY : casemgmt.india.novatel.internal | Current Value : 2563.0
Alert start time:   2025.09.13 21:31Hrs
Event no : INC15939247 , INC15939248 
2)srlisting||Unable to serve your request. Please try later | Current Value : 51.0
Alert start time:   2025.09.13 21:42Hrs
Event no :INC15939293</t>
  </si>
  <si>
    <t>2025-09-13 21:31:35
2025-09-13 21:42:02</t>
  </si>
  <si>
    <t>Open
2025-09-13 21:57:02</t>
  </si>
  <si>
    <t>Success Hits Dip: (D vs D-7: 1468 vs 1510: 42) is 2.7%.</t>
  </si>
  <si>
    <t>INC15948038</t>
  </si>
  <si>
    <t>Customers were unable access Sony LIV on Xstream Play.</t>
  </si>
  <si>
    <t>In this issue, it was identified that a sudden surge in traffic caused the GCP Firewall to get chocked due to which users were not able to get the OTPs further impacting login and content play in the Xstream Play. To mitigate the issue, GCP firewall was bypassed post which internal application traffic routing issue emerged. To resolve this, App team re-mapped the traffic route and took service refresh post which the issue got resolved.</t>
  </si>
  <si>
    <t xml:space="preserve">Primary root cause:
Specification Leg-01
Q1: Why there was a service degradation experience in Xstream Application?
Ans: Because, many new users were experiencing login and benefit activation issues, they were unable to utilize Sony Live through the Xstream program because they kept getting the error "Unable to play content, play back error" when they tried to access it.
Q2: Why did users face login and benefit activation issues?
Ans: Discussion with application team explore that, API calls were failing for new users logins and benefit activations while existing sessions remained unaffected.
Q3: Why were API calls started falling and firewall become a bottleneck?
Ans: Because the Palo Alto firewall became a bottleneck led blocking/dropping requests as its CPU utilization spiked to 200%, causing it to choke and blocked API calls due to a sudden surge in incoming traffic.
Q4: Why did the CPU utilization spike so rapidly?
Ans: Because there was a 10X increase in user traffic during a India PAK cricket series a major cricket event, far exceeding normal and expected loads.
Q5: Why was the firewall not prepared for this surge?
Ans: Because the infrastructure was not scaled for such extreme spikes, and application-side surge-handling recommendations were not implemented in timely manner.
Detection Leg- 02
Q1: Why issue was not proactively detected?
Ans: Although firewall metrics and alerting parameters were in place, the spike was rapid and exceeded the set thresholds before proactive action could be taken. The alerting was set at 70% utilization, but the traffic increase was so steep that the firewall choked before mitigation could be initiated.
Q2: Why mitigation plan took longer time led increase to higher MTTR?
Ans: Application team further explain that, even though as a mitigation, Palo Alto firewall bypassed and rerouted traffic through the NAT Gateway after security approval. There were initial routing issues that further disrupted API calls, including OTP delivery for user authentication, were resolved by updating network routes took longer time.
Systemic leg-03
Q1: Why did existing system allow this to happen?
Ans: Traffic surge was anticipated, however, firewall infrastructure was not proactively scaled for such an extreme, sudden surge in traffic and cross-team surge management actions were not executed in advance. Outgoing traffic was not automatically rerouted until utilization exceeded 90%, creating a window for service degradation. 
Observations: 
•	The overall MTTR was at the upper end as even firewall bypassed and rerouted traffic through the NAT Gateway, initial routing issues fixes took time.
•	There was approx. 10X surge in app traffic (from 0.5 million to 5.5 million users). For future surges, the team will actively bypass the firewall when utilization exceeds 90%.
•	Additional firewalls or compute augmentation are not required currently, but may be considered if traffic continues to grow.
Preventive Action:
•	Team should initiate a firewall bypass if incoming traffic exceeds 90%. Open Shiv
•	Alert situations need to be identified and onboarded to NOC(API Failures” user logins and benefit activations”) Open -Inderpal
</t>
  </si>
  <si>
    <t>PRB0044552</t>
  </si>
  <si>
    <t xml:space="preserve">1)[FIRING] 5xx sms-service Sev 3 on </t>
  </si>
  <si>
    <t>5 Lakh Customers</t>
  </si>
  <si>
    <t>APB_Payment_DMT, NFB-Payments-DMT, NFB-CMS, NFB-Transitcards</t>
  </si>
  <si>
    <t>INC0577107</t>
  </si>
  <si>
    <t>Multiple applications experienced an issue where customers were unable to receive OTPs due to the error: 'Unable to acquire a JDBC connection.</t>
  </si>
  <si>
    <t>In this issue, Multiple applications experienced OTP delivery failures due to the error: “Unable to acquire a JDBC connection.” During troubleshooting, it was identified that the database connection for DB Username: PROMOTEROB was being refused. The DBA team confirmed that the password for this username had been changed on Friday but was not updated across all dependent services. To restore services, the RnM TechOps team provided the previous password and updated it for PROMOTEROB user with the help of DBA team in Volt DB, after which the issue was resolved.</t>
  </si>
  <si>
    <t>For NFB-Payments-DMT (Use case: Partner and Retailer Channel) Success Count Comparison: D vs (D-7)= 87-7458=7371 (98.53%)
For NFB-CMS Success Count Comparison:
Use case Retailer Portal: D vs (D-7)=9-390= 381 (97.69%)
Use case Retailer App: D vs (D-7)=105-1530= 1425 (93.14%)
For NFB-Transitcards: for NCMC Use case 373 Transactions was impacted.</t>
  </si>
  <si>
    <t>Care Manager</t>
  </si>
  <si>
    <t>INC15951796</t>
  </si>
  <si>
    <t>CC Advisors were facing latency while accessing Care Manager.</t>
  </si>
  <si>
    <t>In this issue, CC advisors were unable to access Care Manger. Further, Care Manager team traced the cause to be high memory utilization on 3 Pods for which Pods restart was performed, post which issue stands resolved.</t>
  </si>
  <si>
    <t>INC15951547
Alert99991500</t>
  </si>
  <si>
    <t>Direct:
1) careshark-em-secondary (OCP DC1)
careshark-em-secondary-3:
CPU: 59.183% [&gt;90%]
MEM: 95.532% [&gt;90%]
Alert Start Time : 2025.09.15 10:33
Event no:INC15951547
Symtom:
2)Pods Not Running - careshark-em-secondary (OCP DC1)
careshark-em-secondary-10: PodInitializing
Alert Start Time: 2025.09.15 10:37
Event no:Alert99991500</t>
  </si>
  <si>
    <t>9/15/2025  10:33
9/15/2025  10:49</t>
  </si>
  <si>
    <t>9/15/2025  10:43
9/15/2025  11:07</t>
  </si>
  <si>
    <t>Success Hits (D vs D-4): 39,076 vs 33,980 is no dip.</t>
  </si>
  <si>
    <t>INC15955294</t>
  </si>
  <si>
    <t>Inflight orders were stuck</t>
  </si>
  <si>
    <t>In this issue, inflight orders were stuck due to an ongoing issue at NSG end with an error as 5G not Feasibile. Further, NSG team took corrective action at their end, post which issue stands resolved for new cases. Meanwhile, for old stuck orders, Feability team will work along with DEV team to repush the old stuck cases with a provided TAT of EOD.</t>
  </si>
  <si>
    <t>INC15953653,INC15953662</t>
  </si>
  <si>
    <t>1)Growth Feasibility NON 20 Alert | Current Value : 449.0 
API : FWA_FEASIBILITY
RESPONSEMESSAGE : I/O error on GET request for "https://surecoverageb2b.novatel.example/fwa_feas/Service1.svc/GetFWA5GFeasible"</t>
  </si>
  <si>
    <t>78 orders</t>
  </si>
  <si>
    <t>INC15955799</t>
  </si>
  <si>
    <t>Broadband installation/Activation were impacted.</t>
  </si>
  <si>
    <t>In this issue, during troubleshooting it was identified that Nokia team was facing a problem with one of the HSS (IMS Switch), which was causing order failures. On NSG team’s suggestion, Nokia_OSS team shifted the traffic to the backup HSS, after which improvement was observed and the issue stand resolved.</t>
  </si>
  <si>
    <t xml:space="preserve">INC15955403,INC15955388,INC15955362
INC15955437	</t>
  </si>
  <si>
    <t>Direct:
1)Multiple Port alert on 10.3.64.160
SOURCE_IP : 10.222.177.171/172/171
Issue start time:  2025.09.15   17:12 Hrs.
Event no:INC15955403,INC15955388,INC15955362
Symptom:
1)NovaTel_Works Task 2 not received for FTTH broadband orders||
Current Value : 158.0
Issue start time:  2025.09.15   17:21 Hrs.
Event no:Alert100003580</t>
  </si>
  <si>
    <t>15/09/2025  17:16
15/09/2025  17:21</t>
  </si>
  <si>
    <t>15/09/2025  17:43
15/09/2025  17:32</t>
  </si>
  <si>
    <t>450 connect orders were Impacted.</t>
  </si>
  <si>
    <t>INC15964913</t>
  </si>
  <si>
    <t>CC advisors were unable to access HB_CRM portal.</t>
  </si>
  <si>
    <t>In this issue, CC advisors reported that they were unable to access HB_CRM application as the server was busy. Further, during troubleshooting, HB_CRM team identified a server component was experiencing high utilization. Meanwhile, the utilization became normal, restoring the services.</t>
  </si>
  <si>
    <t>Symptom:
1)HB CRM SERVER COMP Alert eCommunicationsObjMgr_enu greater than 90% | 
Alert time -2025.09.16 16:09 Hrs 
Event NO - INC15964913</t>
  </si>
  <si>
    <t>Multiple CC Advisors faced access issue.</t>
  </si>
  <si>
    <t>NFB-Tez Portal, NFB-IVR, NFB-SBA, NFB-CKYC, NFB-Wallet, NFB-Payments Hub, NFB-IMPS, NFB-Payments-DMT, NFB-Payments-UPI</t>
  </si>
  <si>
    <t>INC0578882</t>
  </si>
  <si>
    <t>High response time observed, resulting in transaction failures across multiple applications.</t>
  </si>
  <si>
    <t>In this issue, Multiple application teams reported high response times from the CBS end, which resulted in transaction failures across several applications. During troubleshooting, the NFB-CBS team joined the bridge and initiated a CBS JVM restart. Post restart, improvement was observed from 21:18 Hrs., and the issue was resolved.</t>
  </si>
  <si>
    <t>INC15967401, INC15967406, INC15967423</t>
  </si>
  <si>
    <t>Symptom:
1)Multiple DPS_APB_SERVICE 
API:/apb-service/v1/payments/bank-profile
API : /apb-service/v1/payments/wallet-profile//IOS
API : /pg-service/v1/wallet/all/profile/BBPS_V2
API : BANK-PROFILE-ADAPTER
Alert time - 2025.09.16 21:10Hrs
Event No- INC15967401, INC15967406, INC15967423</t>
  </si>
  <si>
    <t>For NFB-Tez Portal Hits Comparison: Total Count Hits: 8,590, Success Count Hits: 8,254 (96.08%) Failure Count Hits: 336 (3.91%)
For NFB-IVR: Customer calls were not landed on IVR during the impacted window.
For NFB-SBA Account Creation Dip Comparison: {D vs (D-7)}= 27-261= 234 (10.34%)
For NFB-CKYC Account Creation Dip Comparison: {D vs (D-7)}= 23-137= 114 (16.78%)
For NFB-Wallet Creation Dip Comparison: {D vs (D-7)}= 24-187= 163 (12.83%)
For NFB-Payments Hub Transaction Dip Comparison: Total Transactions= 276,936 Success Transactions= 108,514 (39.18%), Failed Transaction=168,422 (60.82%)
For NFB-IMPS Transaction Dip Comparison:
IMPS-Inward Use case - {D vs (D-7)}= 1139-14172= 13033 (92% dip)(START TIME: 20:54 PM to End Time: 21:27 PM)
IMPS-Outward Use case - {D vs (D-7)}= 5929-18312= 12383 (68% dip)(START TIME: 20:54 PM to End Time: 21:27 PM)
For NFB-Payments-DMT Transaction Dip Comparison - {D vs (D-7)}= 6072-13941= 7869 (56% dip)(START TIME: 20:54 PM to End Time: 21:27 PM)
For NFB-Payments-UPI Transaction Dip Comparison- {D vs (D-7)}= 190617-816577= 625,960 (76.65% dip in UPI transactions compared to last week.)</t>
  </si>
  <si>
    <t>INC15971490</t>
  </si>
  <si>
    <t>Postpaid and Broadband SMS delivery (Instant and Non instant KCI) were impacted.</t>
  </si>
  <si>
    <t xml:space="preserve"> In this issue, BTFLY_KCI was not getting response from CLM end due to which Postpaid and Broadband SMS delivery (Instant and Non- Instant KCI) were impacted. Further It was identified that the JNDI Properties was hitting South URL which was not active, instead of North URL. To resolve the same On the suggestion of ESB team, CLM team removed the JNDI Properties for South URL completely and rerun the impacted Jobs. Post this Pendency started Clearing and issue got resolved.</t>
  </si>
  <si>
    <t>P3
P2
P2
P3</t>
  </si>
  <si>
    <t>INC15970581
INC15971028
INC15970184
INC15971267</t>
  </si>
  <si>
    <t>2025-09-17 05:06
2025-09-17 06:23
2025-09-17 07:41
2025-09-17 07:17</t>
  </si>
  <si>
    <t>17/09/2025 08:00
17/09/2025 08:51
17/09/2025 10:46
17/09/2025 07:47</t>
  </si>
  <si>
    <t>Instant KCI : 15k pendency.</t>
  </si>
  <si>
    <t>UIM_Service_Inventory</t>
  </si>
  <si>
    <t>INC15986686</t>
  </si>
  <si>
    <t>Slowness was observed in B2B order processing.</t>
  </si>
  <si>
    <t xml:space="preserve">In this issue, it was identified that UIM app DB was experiencing slowness as the app team migrated from legacy servers without assessing the capacity, causing B2B orders to queue up and delaying order completion. As part of the recovery plan, the application team shut down the application, followed by the DBA team shutting down the database and the UNIX team powering down the server. After this, VM team increased CPU/memory resources, powered on the VMs, and DBA team restarted the db. Post these actions, live traffic started getting cleared and app team is repushing the backlogs, post which the issue got resolved.  </t>
  </si>
  <si>
    <t>1300 Orders Impacted.</t>
  </si>
  <si>
    <t>INC0580039</t>
  </si>
  <si>
    <t>SBA conversion was intermittently down where we were seeing low success rate.</t>
  </si>
  <si>
    <t>In this issue, the NFB-SBA Team informed that they were observing a low conversion rate in SBA account opening. During the troubleshooting, NFB-Network informed that last night there was a change deployed under this change no. CHG0008383 (enable TCP Shield on PDC and FDR DDOS Devices), post that SBA conversion rate was dropped. Hence, to restore the issue, the NFB-Network Team rolled back the changes after the SBA conversion rate improved, and the issue was resolved.</t>
  </si>
  <si>
    <t>For NFB-SBA Account Creation Comparison-{D vs (D-7)= 537-691=154(22% dip in account creation).</t>
  </si>
  <si>
    <t>CHG0008383</t>
  </si>
  <si>
    <t>APB_Transit Cards, APB_Wallet</t>
  </si>
  <si>
    <t>INC0580030</t>
  </si>
  <si>
    <t>NFB-Transit cards were unable to issue the Debit cards due to an error "Couldn't find the Message for [-1]" coming from CBS.</t>
  </si>
  <si>
    <t>In this issue, NFB-Transit cards and NFB-Wallet were impacted due to  an error "Couldn't find the Message for [-1]" coming from CBS. During investigation actual caused was not identified at application end. However, issue got auto resolved without any technical intervention of domain teams.</t>
  </si>
  <si>
    <t>INC15981279,INC15981280 
Alert100111161</t>
  </si>
  <si>
    <t>Symptom:
1)DPS_APB_SERVICE , High 4XX Failure_High 429 Failure for WALLET-PROFILE/DETAILS-ADAPTER
Alert time : 2025-09-18 07:29 Hrs
Event No:INC15981279,INC15981280 
2)Multiple High 90th Percentile for /pg-service/v1/wallet/all/profile/PREPAID in last 10minutes
Host Name : DPS_PG_Service 
Current Value : 1270.5
API : /pg-service/v1/wallet/all/profile/PREPAID
Alert time :2025-09-18 07:32 Hrs
Event No :Alert100111161</t>
  </si>
  <si>
    <t>9/18/2025 07:29
9/18/2025 07:32</t>
  </si>
  <si>
    <t xml:space="preserve">
9/18/2025 07:44
9/18/2025 07:37</t>
  </si>
  <si>
    <t>For NFB-Wallet Creation failure rate Comparison Time (ZKYC wallet): 7:37 to 08:15 AM-{D vs (D-7)= 49-23=26 (53% increase in failure of wallet creation).
FPR NFB-Transit cards issuance impact count Comparison: {D vs (D-7)= 5-3=2 (25% increase in impact count).</t>
  </si>
  <si>
    <t>eCAF, eCAF_Sim Swap, Mitra, PACS</t>
  </si>
  <si>
    <t>INC15992383</t>
  </si>
  <si>
    <t>Prepaid and Simswap acquisition was impacted intermittently.</t>
  </si>
  <si>
    <t>In this issue, it was identified that (validateandallocate) API was experiencing high response time at DSA end. Further analysis revealed that some processes at NSG end were taking longer than expected. To resolve the issue, NSG team performed a service restart for the application, post which the issue stands resolved.</t>
  </si>
  <si>
    <t>INC15982495  
INC15982638,INC15982635,INC15982639
INC15982511</t>
  </si>
  <si>
    <t>Symptom:
1)ECAF^Brodband Acquisition^Anomaly^Disaster^ECAF-ecaf-simswap-service-Responsetime&gt;1000m
Web request service--
[ecaf-simswap-service] - simswap-new-app (/simswap-new-app)
[ecaf-orionmobileapi-service] - SukController
ecaf- CAF Phase2- 10.241.152.37:9443
10.5.135.249 on port 80
ecaf- CAF Phase2- 10.241.152.36:9443
ESB-Mob-ACQ on port 8011
Alert time :2025-09-1811:02 Hrs
Event No :INC15982495  
2)Multiple ESB KONG API 503 FAILURE PERCENTAGE GREATER THAN 64%
Host Name : ESBWEBLOGICKONGAPI503
Current Value : 53.62
APINAME : /services/resource/gatherresourceinformation/validateandallocate/sim/v1_3
Alert time : 2025-09-18  11:16 Hrs
Event No:INC15982638,INC15982635,INC15982639
3)ESB_Failure_Percent_Process_wise
Current Value : 7.08
PROCESS : ValidateandAllocateSIM_V1_3.validateandAllocateSIM
Alert time :2025-09-18 11:03 Hrs
Event No :INC15982511</t>
  </si>
  <si>
    <t xml:space="preserve">
9/18/2025 11:02
9/18/2025 11:03
9/18/2025 11:11</t>
  </si>
  <si>
    <t>9/18/2025 11:56
9/18/2025 13:13
9/18/2025 11:41</t>
  </si>
  <si>
    <t>SimSwap Success Dip: 5104 (D: 238 Vs D-7: 5342) is 95%.</t>
  </si>
  <si>
    <t>INC15984582</t>
  </si>
  <si>
    <t>M2M new registration orders were Impacted.</t>
  </si>
  <si>
    <t>In this issue, it was identified that due to a Mediation_EL end activity (CHG0197005 – VCS upgrade), M2M order pendency increased at the OMSaveMediationDetailReqT queue. This occurred because the SOP was not communicated by the Mediation_EL team to the BTFLY_ATOM team, which was required to be followed during the activity. To mitigate the issue, the ESB team performed a queue refresh and deleted older messages, after which the issue was resolved.</t>
  </si>
  <si>
    <t>INC15983486 ,INC15983487, INC15983527</t>
  </si>
  <si>
    <t>Symptom:
1)Multiple BTFLY ATOM OVERALL PENDING ALERT
Current Value : 7379.0
Alert time : 2025-09-18 12:46 Hrs
Event No:INC15983486 ,INC15983487, INC15983527</t>
  </si>
  <si>
    <t>20132 Orders Impacted.</t>
  </si>
  <si>
    <t xml:space="preserve">CHG0197005 </t>
  </si>
  <si>
    <t>In this issue, ESB observed high response time from DSA end. However during the troubleshooting response time came to normal without any manual technical intervention and issue got resolved.</t>
  </si>
  <si>
    <t>INC15985014,INC15985023
INC15985069  
INC15985081</t>
  </si>
  <si>
    <t>1)ESB_Failure_Percent_Process_wise
Current Value : 7.08
PROCESS : ValidateandAllocateSIM_V1_3.validateandAllocateSIM
Alert time :2025-09-18 15:42 Hrs
Event No :INC15985014,INC15985023
2)Access_log_critical_apis Failure Percent is Greater then 4 Host Name : ESB_Access_Log_Critical_API_Alert
Current Value : 29.19
API : /services/resource/gatherresourceinformation/validateandallo
Alert time :2025-09-18 15:48 Hrs
Event No :INC15985069  
3)ECAF^Brodband Acquisition^Anomaly^Disaster^ECAF-ecaf-simswap-service-Responsetime&gt;1000m
Web request service--
[ecaf-simswap-service] - simswap-new-app (/simswap-new-app)
[ecaf-orionmobileapi-service] - SukController
ecaf- CAF Phase2- 10.241.152.37:9443
10.5.135.249 on port 80
ecaf- CAF Phase2- 10.241.152.36:9443
ESB-Mob-ACQ on port 8011
Alert time :2025-09-18 15:48 Hrs
Event No :INC15985081</t>
  </si>
  <si>
    <t>2025-09-18 15:42:20
2025-09-18 15:48:29
2025-09-18 15:48:16</t>
  </si>
  <si>
    <t xml:space="preserve">2025-09-18 16:02:20
2025-09-18 16:08:29
2025-09-18 16:02:21
</t>
  </si>
  <si>
    <t>SimSwap Success Dip: 1028 (D: 225 Vs D-7: 1253)</t>
  </si>
  <si>
    <t>Broadband Activation Journey, Broadband Dunning Order Journey, Broadband Installation/FR Journey</t>
  </si>
  <si>
    <t>INC15994598</t>
  </si>
  <si>
    <t>Orders were getting stuck at HB_ATOM which was impacting Broadband installations, barring/unbarring and other orders.</t>
  </si>
  <si>
    <t>In this issue, HB_ATOM team confirmed that they were receiving 503 errors due to the connection pool getting breached at ESB end. To resolve the issue, ESB team increased the thread limit for the connection pool, followed by service refresh at HB_ATOM team, which fixed the issue.</t>
  </si>
  <si>
    <t>1098 orders were impacted.
NovaWorks Task2: 86 orders.</t>
  </si>
  <si>
    <t>BTFLY_ATOM, iWatch</t>
  </si>
  <si>
    <t>INC15999331</t>
  </si>
  <si>
    <t xml:space="preserve">Postpaid iWatch orders were impacted. </t>
  </si>
  <si>
    <t>In this issue, Postpaid e-SIM activations for smartwatches were stalled by a technical issue on Nokia_ES (NSG) system. After initial troubleshooting failed, Nokia_ES team along with R&amp;D team resolved the issue by blocking traffic across all 23 circles followed by unblocking traffic circle-by-circle. Meanwhile BTFLY_ATOM team repushed the orders for the same, post which services resumed normally.</t>
  </si>
  <si>
    <t>INC15995598,INC15995596</t>
  </si>
  <si>
    <t>Symptom:
1)BTFLY ATOM TASK WISE ES_failure seen more than 50
Host Name : BTFLY ATOM TASK WISE ES FAILURE
Sev-2 Current Value : 60.0
Alert time :2025-09-19 15:17 Hrs
Event No :INC15995598,INC15995596</t>
  </si>
  <si>
    <t>232 orders were stuck.</t>
  </si>
  <si>
    <t>INC15999338</t>
  </si>
  <si>
    <t>HAF and HOMES_CRM_LOB reports were impacted.</t>
  </si>
  <si>
    <t>In this issue, DARTS team observed that HAF and HOMES_CRM_LOB reports were not being fetched impacting the downstream processes and daily KPIs of DARTS team. Further, issue was traced to DAG job being failed, for which Product team re-ran the DAG job, post which the issue stands resolved.</t>
  </si>
  <si>
    <t>20 Reports and 15+ downstream tables delayed.</t>
  </si>
  <si>
    <t>INC16004370</t>
  </si>
  <si>
    <t>Multiple DARTS and Goals process impacted.</t>
  </si>
  <si>
    <t xml:space="preserve"> In this issue, DARTS team observed issue with various DARTS and Goals reporting processes. Further, Unix team identified corruption on data storage on 12 nodes of the Veritas Cluster Services (VCS). To fix this, UNIX Team Ran a full file system check (fsck) command, Post which corruption was repaired and jobs started running following this issue got resolved.</t>
  </si>
  <si>
    <t>Corruption</t>
  </si>
  <si>
    <t>200 Ab Initio batch jobs and approx 30 Exa table loads Impacted.</t>
  </si>
  <si>
    <t>Broadband Change Order Journey</t>
  </si>
  <si>
    <t>Nokia OSS</t>
  </si>
  <si>
    <t>INC16002064</t>
  </si>
  <si>
    <t>Broadband provisioning, disconnect &amp; plan change orders were impacted for South LDAP.</t>
  </si>
  <si>
    <t>In this issue, Nokia_OSS team observed multiple "LDAP: error code 32" due to which broadband provisioning, disconnect &amp; plan change orders failing at LDAP-1. During the planned activity (CRQ000005535740) at LDAP end last night, Nokia team mistakenly configured the wrong IP at their end. Instead of updating the IP only to North, they updated it to both South and North. To resolve the issue, Nokia_OSS team removed the IP from South LDAP. Post this, failed orders were re-executed, and the issue stands resolved.</t>
  </si>
  <si>
    <t>INC16001341</t>
  </si>
  <si>
    <t>Symptom:
1)NOKIA TASKWISE FAILURE COUNT Elastic||Nokia_taskwise_failure_count_LDAP | Threshold: 100
Current Value : 101.0
Alert time :2025-09-20 05:24 Hrs
Event No :INC16001341</t>
  </si>
  <si>
    <t xml:space="preserve"> Approx. 900 disconnection orders were failed at LDAP.
Plan change: 67 orders.</t>
  </si>
  <si>
    <t>CRQ000005535740</t>
  </si>
  <si>
    <t>Nova App Experience Journey, Broadband Customer Experience Journey (Call Center), Postpaid Customer Experience Journey (Call Center), Black Customer Experience Journey (Call Center), DTH Customer Experience Journey (Call Center), Prepaid Customer Experience Journey (Call Center), Postpaid New Customer Acquisition Journey, Black Acquisition Journey</t>
  </si>
  <si>
    <t>Service Portal, Careshark, OneNova, Nova App, Selfcare_B2C, ECHO, Ecom</t>
  </si>
  <si>
    <t>INC16004540</t>
  </si>
  <si>
    <t> Multiple Applications Hosted in ph2 were facing service disruption.</t>
  </si>
  <si>
    <t>In this issue, multiple device down alerts and Kong internal Gateway error were observed due to latency in ph2 DC, leading to impact on multiple applications hosted in ph2 . However, issue got auto-resolved without any technical intervention during the troubleshooting. Further LB team is working on the Root cause of the issue.</t>
  </si>
  <si>
    <t>TG Alert
P1
TG Alert</t>
  </si>
  <si>
    <t>TG Alert
INC16003878,INC16003873,INC16003870,INC16003852,INC16003866,INC16003851,INC16003861
TG ALERT</t>
  </si>
  <si>
    <t>Direct:
1) Problem : F5 Failover Status Changed
Device Name: BAL-NDAPH2-LTM-TENANT-DIGITAL-PRI.novatel.example
Alert Start Time: 20/09/2025 12:22
Event No: TG Alert
Symptom:
1) Multiple Application Alerts
Alert Start Time: 20/09/2025 12:22
Event No:INC16003878,INC16003873,INC16003870,INC16003852,INC16003866,INC16003851,INC16003861
2)Multiple High 503 error on 10.222.232.xx | DIGITAL_EXPERIENCE_KONG_INFRA
Alert time - 2025.09.20 12:24Hrs
Event no - TG ALERT</t>
  </si>
  <si>
    <t>9/20/2025 12:22
9/20/2025 12:30
9/20/2025 12:24</t>
  </si>
  <si>
    <t>Open
9/20/2025 12:40
9/20/2025 12:34</t>
  </si>
  <si>
    <t>eCOM- 148 Postpaid Orders
Homes Success Dip: (D vs D-7: 2 vs 8= 6)
Service Portal Success hits dip: (D vs D-7:1713 vs 1230= 483) is No Dip
Selfcare/Nova App Success hits dip: D vs D-3: 1209- 1327= 118) is 8% dip
ECHO: Echo dialer Login was impacted.</t>
  </si>
  <si>
    <t>INC16005250</t>
  </si>
  <si>
    <t>Issue was identified at UIDAI end due to which eKYC via Face Auth was impacted in eCAF, leading impact on prepaid acquisition. To restore this, corrective action was taken at UIDAI end post which issue got resolved.</t>
  </si>
  <si>
    <t>Direct:
1) Dynatrace Alert
a) Web request service - Aadhaar.NovaTel.in on port 443
Failure rate increase 909 requests/min impacted by a failure rate increase to 100 %
Response time degradation 909 requests/min impacted
b) Web request service ecaf- EKYC Phase2- 10.5.35.50:7443
Response time degradation 440 requests/min impacted
c) Web service [ekyc-service] - EkycController
Response time degradation 2.03k requests/min impacted
Alert Start time: 20/09/2025 12:32 Hrs
Event NO: TG Alert</t>
  </si>
  <si>
    <t>Prepaid Success Dip: (D vs D-7: 9906 vs 11458: 1552 is 13%).</t>
  </si>
  <si>
    <t>Broadband Customer Experience Journey (Call Center), DTH Customer Experience Journey (Call Center), Postpaid Customer Experience Journey (Call Center), Prepaid Customer Experience Journey (Call Center)</t>
  </si>
  <si>
    <t>INC16007851</t>
  </si>
  <si>
    <t>In this issue, CC advisors were observing the error "DFF not available" while raising SR in Service Portal. Upon investigation, it was confirmed that theses errors were being observed from Case end. To resolve this, Case team took refresh of microservice, post which issue got resolved.</t>
  </si>
  <si>
    <t>INC16007632
INC16007678,INC16007679</t>
  </si>
  <si>
    <t>Symptom:
1)Case URL Monitoring Rules Framework POD URL
URL : http://rulesframework-console.apps.n1ocp-pclus-01.india.novatel.internal/troubleticket/rules/v2/fetch
Current Value : 1
Alert start time:   2025.09.20 21:43Hrs
Event no :INC16007632
2)5XX_StatusCode_Gloo_API_CS | AUTHORITY : casemgmt.india.novatel.internal | Current Value : 3052
Alert start time:   2025.09.20 21:52Hrs
Event no : INC16007678,INC16007679</t>
  </si>
  <si>
    <t>9/20/2025  9:43
9/20/2025  9:52</t>
  </si>
  <si>
    <t>9/20/2025  9:53
9/20/2025  10:02</t>
  </si>
  <si>
    <t>Success Hits Dip: (D vs D-3: 112 vs 636: 524) is 82%.</t>
  </si>
  <si>
    <t>INC0582823</t>
  </si>
  <si>
    <t>NFB-UPI team were getting 503 error code (Service Unavailable server is temporarily unable to service requests.) from NPCI</t>
  </si>
  <si>
    <t>In this issue, NFB-UPI reported an issue due to intermittent 503 Service Unavailable errors received from NPCI. The error indicated that the server was temporarily unable to process requests. Upon investigation, it was identified that the issue originated from NPCI (a third-party) and was not caused by the NFB-UPI application. An email communication highlighting the issue was sent to the NPCI team, after which an improvement in behavior was observed. The issue eventually self-resolved without any technical intervention from the NFB domain teams.</t>
  </si>
  <si>
    <t>For NFB-PAYMENTS-UPI Success Transactions drop Comparison: {D vs (D-1)}= 431353-486286=54933(11.29% drop in Success transaction)</t>
  </si>
  <si>
    <t>INC16024700</t>
  </si>
  <si>
    <t>Prepaid MNP Acquisition was impacted</t>
  </si>
  <si>
    <t>In this issue, eCAF was getting error "No Data Found" from DSA end due to which MNP acquisition for prepaid was impacted. During troubleshooting it was identified that there was a patching activity in one aerospike server(10.242.136.145) at One_NMS end, which went down post activity and it is suspected to be the cause for the issue. To resolve the issue, One_NMS team took service refresh following which the error reduced and issue got resolved.</t>
  </si>
  <si>
    <t xml:space="preserve">Root cause Summary:
An issue was observed in the Prepaid MNP process within the East HUB, where the eCAF application encountered the error message "No Data Found.
Initial investigation suspected a hung/down Aerospike server, and a service refresh by One_NMS team temporarily reduced errors.
Aerospike server issues were also identified, linked to recent patching activities and high memory utilization, causing node failures and partition unavailability.
Temporary fixes included increasing Aerospike memory and restarting services.
Downstream systems received null or incorrect responses due to malformed tokens caused by illegal character conversions.
The root causes combined payload data issues and Aerospike server capacity/load limitations triggered by patching.
Aerospike OEM get engaged and suggest Long-term solution which ground team is taking up under CHG0200271 .
Adding two new nodes to the Aerospike cluster to handle load better.
Switching from memory-based to device-based storage to reduce memory pressure.
Extensive testing in Pre-Production before deploying configuration changes.
Observations:
Regularly review and optimize Aerospike cluster size based on traffic/load trends.
Maintain memory utilization below 50% by: 1-Adding nodes as needed, 2- Using device-based storage for data to reduce memory consumption.
Schedule patching during low-traffic windows and test patches extensively in Pre-Production environments
Preventive Actions:
Enhanced Monitoring &amp; Alerting- Alert need to be setup for-
Token validation failures-Null or malformed responses. Utkarsh/Ranjan
Aerospike partition unavailability or node down events. Open Utkarsh/Ranjan
Memory utilization thresholds (&gt;80%) in Aerospike nodes. Open Utkarsh/Ranjan
 </t>
  </si>
  <si>
    <t>PRB0044554</t>
  </si>
  <si>
    <t>01/10/225 12:08</t>
  </si>
  <si>
    <t>INC16019048
TG ALert
INC16019736, INC16019741 
INC16019880,Alert100272946 
TG Alert</t>
  </si>
  <si>
    <t>Symptom:
1)Aerospike Namespace Unavailable Partitions = 4096 on 10.94.136.58:9145
2025-09-22 04:22:19
Alert start time:2025-09-22 04:22 Hrs
Event no :INC16019048
2)Failure rate increase Oracle - ECAFDB
Service method: http://esbmobacq.novaworld.in:8011/services/customer/account/v1_2
Alert start time:2025-09-22 04:55 Hr
Event no :TG ALert
3)Failure Percent is Grater Than 20%
Host Name : ESB_access-log index alert
Current Value : 58.33 APINAME : /services/customer/orderhandling/ issuecustomerorder/changeorder/v2_1
Alert start time:  2025-09-22 05:48Hrs
Event no :INC16019736, INC16019741 
4)validateandAllocateSIM percent is greater than 5 in 20 min
Host Name : ESB_Failure_Percent_Process_wise
Current Value : 93.92
Alert start time:2025-09-22 06:02 Hrs
Event no : INC16019880,Alert100272946 
5)ecaf-orionmobileapi-service - SukController
Response time degradation
223 requests/min impacted
Alert start time:2025-09-22 07:03 Hrs
Event no :TG ALert</t>
  </si>
  <si>
    <t>9/22/2025 04:22
9/22/2025 04:55
9/22/2025 05:48
9/22/2025 06:02
9/22/2025 07:03</t>
  </si>
  <si>
    <t>9/22/2025 07:29
9/22/2025 05:02
9/22/2025 08:02
9/22/2025 06:03
9/22/2025 07:17</t>
  </si>
  <si>
    <t>Prepaid acquisition dip- (D vs D-7: 557 vs 854= 297)</t>
  </si>
  <si>
    <t>INC16024479</t>
  </si>
  <si>
    <t>CC Advisors were facing latency while accessing Careshark.</t>
  </si>
  <si>
    <t xml:space="preserve"> In this issue, initially CC advisors were facing latency while applying macros in Careshark due to high CPU utilization. Further, to mitigate the issue Careshark dev team took pod restart following which redis alert was triggered and this led to latency while accessing the application. However, the alert resolved without any other action and issue got resolved. </t>
  </si>
  <si>
    <t>INC16021920
 TG Alert</t>
  </si>
  <si>
    <t>Symptom:
1)High Resource % Usage -  careshark-em-secondary (OCP DC1)
careshark-em-secondary-4:
CPU: 54.42% [&gt;90%]
MEM: 92.234% [&gt;90%]
Alert start time:2025.09.22 11:08 Hrs
Event no :INC16021920 
2)careshark-redis-redis-careshark-10.222.235.98 - status failed (1) -- No of slaves are not consistent = 2
Alert start time:2025.09.22 11:46 Hrs
Event no: TG Alert</t>
  </si>
  <si>
    <t>9/22/2025 11:08
9/22/2025 11:46</t>
  </si>
  <si>
    <t>9/22/2025 11:23
9/22/2025 11:51</t>
  </si>
  <si>
    <t>Careshark success hits dip: (D vs D-4: 159200 vs 153392= 5808) is No dip</t>
  </si>
  <si>
    <t>Nova IQ SMS Journey, Nova IQ Voice Journey, Broadband Customer Experience Journey</t>
  </si>
  <si>
    <t>Nova IQ_SMS, Nova IQ_Voice, NovaWorks, Arcos, Bitbucket, Grafana, IMS, Kibana, One_NMS, Zscaler</t>
  </si>
  <si>
    <t>INC16025319</t>
  </si>
  <si>
    <t>Click2call functionality impacted intermittently along with users were unable to access multiple application URLs(ARCOS, Remedy etc.) via Zscaler intermittently.</t>
  </si>
  <si>
    <t>In this issue, multiple applications were facing latency while accessing their URLs via Zscaler along with Click2call functionality was impacted intermittently in NovaWorks. Network team traced the issue to high link utilization between Phase-2 and Sector 62, for which their initial attempt to resolve this by blocking some high-load IP addresses led to a slight improvement, but did not fully fix the problem. Further, issue was ultimately resolved after the team blocked two high-load IPs(Owned by Xsafe Mgmt) unblocking the rest, which successfully reduced the link utilization.</t>
  </si>
  <si>
    <t>AIOps, Nova IQ, Digital Acquisition, DC Infra, UNOC, Prepaid</t>
  </si>
  <si>
    <t>INC16022456
INC16022458
Alert100281943</t>
  </si>
  <si>
    <t>Direct
1)CENTRAL_PHASE-II :High Transmit Percent Utilization of Node port-channel20 · Connected to Sec-62 WAN-2 (10.222.20.3) Eth4/13 is greater than 80%, which is 97 %,Interface Name = port-channel20, Interface Description = Connected to Sec-62 WAN-2 (10.222.20.3) Eth4/13 _BAL-NDAPH-2-NX93148-WAN2_10.5.60.22
Issue Start Time:2025-09-22 12:10 Hrs
Event no:INC16022456
2)CENTRAL_Sector-62:High Receive Percent Utilization of Node Port-Channel20 · Connected to BAL-NDAPH-2-NX93148-WAN2 (10.5.60.22) Eth1/6 ### is greater than 80%, which is 95 %,Interface Name = Port-Channel20, Interface Description = Connected to BAL-NDAPH-2-NX93148-WAN2 (10.5.60.22) Eth1/6 ### _BAL-NDA62-1A-7500-WAN-2.novaworld.in_10.222.20.3
Issue Start Time:2025-09-22 12:10 Hrs
Event no:INC16022458
Symtom
1)NovaTel_IQ_Voice_HA*: 1) Condition 1 *Average Response Time (ms)'s* value *755.00* was *greater than* the threshold *500.00* for the last *5* minutes.
Issue Start Time:2025-09-22 11:47 Hrs
Event no:Alert100281943</t>
  </si>
  <si>
    <t>9/22/2025 12:10
9/22/2025 12:10
9/22/2025 11:47</t>
  </si>
  <si>
    <t>9/22/2025 13:48
9/22/2025 13:29
9/22/2025 11:52</t>
  </si>
  <si>
    <t>Nova IQ_SMS- approx. 30K messages.
Latency while accessing application URLs via Zscaler along with click2call connectivity for users.</t>
  </si>
  <si>
    <t>INC16027841</t>
  </si>
  <si>
    <t xml:space="preserve">Benefit was not getting updated on BTFLY_ATOM   </t>
  </si>
  <si>
    <t xml:space="preserve">In this issue, benefits were not getting updated on the BTFLY_ATOM system because they were stuck on the DARTS task. However, there was no impact observed at the customer end. To restore the services, the DARTS team refreshed their services, after which the orders started updating on the system and the issue stand resolved. </t>
  </si>
  <si>
    <t>INC16024248,INC16024263</t>
  </si>
  <si>
    <t>Symptom:
1)Multiple BTFLY ATOM Overall In-Progress Pendency seen more than 2500
Current Value : 3649
Alert time :2025-09-20 14:45 Hrs
Event No :INC16024248,INC16024263</t>
  </si>
  <si>
    <t>9k orders status were Impacted.</t>
  </si>
  <si>
    <t>INC16027740</t>
  </si>
  <si>
    <t xml:space="preserve"> Broadband NON Instant KCI was Impacted in FX6.0</t>
  </si>
  <si>
    <t>In this issue, it was found that the error was from the business side as the events were getting rejected because there was no active campaign against this campaign type and old campaigns got expired. As per process, if there is no active campaign, then no response will be sent for those events. The Campaign Creator team will now activate or reinitiate the particular campaign, after which the issue will be resolved.</t>
  </si>
  <si>
    <t>1900 Pendency was observed</t>
  </si>
  <si>
    <t>APB_DMT</t>
  </si>
  <si>
    <t>INC0583490</t>
  </si>
  <si>
    <t>DMT transactions were stuck in a pending state on the NFB-Payments-DMT application.</t>
  </si>
  <si>
    <t>During this incident, DMT transactions were observed to be stuck in a pending state on the NFB-Payments-DMT application. The issue auto-resolved during troubleshooting without any intervention from the technical domain teams. Currently, the DMT Technology team, in collaboration with the DBA team, is performing a detailed analysis to identify the root cause.</t>
  </si>
  <si>
    <t>For NFB-Payments-DMT Application Success Transactions Comparison (For Partner)= {D vs (D-7)}= 2543-13737=11,194 (81.49%) (The transactions dropped by ≈ 81.5% compared to last week.)</t>
  </si>
  <si>
    <t>INC16033467</t>
  </si>
  <si>
    <t xml:space="preserve">Prepaid, Postpaid and Simswap Acquisition were impacted. </t>
  </si>
  <si>
    <t xml:space="preserve"> Issue was identified at UIDAI end due to which eKYC via Face Auth was impacted in eCAF, leading impact on prepaid and Postpaid acquisition. To restore this, corrective action was taken at UIDAI end post which issue got resolved.</t>
  </si>
  <si>
    <t>Postpaid success dip: 201 (D vs D-7: 279 vs 480) is 47% dip.
Prepaid success dip: 6446 (D vs D-7: 7143 vs 13589)is 47% dip.
Simswap success dip: 2433 (D vs D-7:968 vs 3401) is 71% dip.</t>
  </si>
  <si>
    <t>INC0583654</t>
  </si>
  <si>
    <t>SBA conversion is intermittently down where we were seeing low success rate due to an error (Unable to fetch document details).</t>
  </si>
  <si>
    <t xml:space="preserve"> In this issue, the NFB-SBA Team reported a low conversion rate in SBA account openings. During troubleshooting, the Development Team identified an error message: "Unable to fetch document details," which appeared after the deployment of the change under CHG0008244. They updated the property file and merged the corresponding pull request to implement the fix. Following these actions, an improvement was observed, and the issue was resolved.</t>
  </si>
  <si>
    <t>For NFB-SBA Account Creation Comparison-{D vs (D-7)= 260-282=22(7.80% dip in account creation)</t>
  </si>
  <si>
    <t>INC16033079</t>
  </si>
  <si>
    <t>Issue was observed with eKYC Face Auth in eCAF due to which acquisition Journey was impacted for Prepaid, Postpaid and Simswap, as users were advised to use the latest version of Face RD application of UIDAI, but the application was not updated. However, teams were suggested to use BMD or DKYC to complete the acquisition journey. Further, it was identified that the UIDAI did not roll out the security upgrade completely for the latest version, due to which issue occurred. To resolve the same, UIDAI rolled out 100% update, post which application started working fine and issue got resolved</t>
  </si>
  <si>
    <t>Prepaid success dip: Prepaid Success Dip: (D vs D-7: 11519 vs 12672= 1153) is 9%
SimSwap Success Dip: (D vs D-7: 440 vs 835= 395 ) is 47%
Postpaid Success Dip: (D vs D-7: 68 vs 76= 8 )is 10%</t>
  </si>
  <si>
    <t>INC16035265</t>
  </si>
  <si>
    <t>Postpaid iWatch orders were impacted.</t>
  </si>
  <si>
    <t>In this issue, BTFLY_ATOM team was facing errors from NSG (Nokia ES), due to which iWatch orders were stuck. Further, Nokia_ES team along with TAC team, identified a surge in traffic as the root cause. To resolve the issue, NSG team cleared buffer and cache, and then gradually opened traffic circle-wise, post these actions, the issue got resolved.</t>
  </si>
  <si>
    <t>INC16032004</t>
  </si>
  <si>
    <t>Symptom:
1)BTFLY ATOM TASK WISE ES_failure seen more than 50
TYPE : ES_failure
Current Value : 60.0
Alert time :2025.09.23 08:45 Hrs
Event No :INC16032004</t>
  </si>
  <si>
    <t>103 orders were stuck.</t>
  </si>
  <si>
    <t>INC16033320</t>
  </si>
  <si>
    <t>Broadband installation orders were stuck at ZTE_NMS.</t>
  </si>
  <si>
    <t>In this issue, Nokia_OSS team observed that install orders were being stuck at ZTE_NMS. Further, it is identified that a change (CRQ000005541328) in setup was deployed at ZTE_NMS (NSG) end, post which an validation step was being failed. To mitigate this, Nokia_OSS team shifted the traffic to primary node, post which the pendency cleared and the issue stands resolved.</t>
  </si>
  <si>
    <t xml:space="preserve">P2
</t>
  </si>
  <si>
    <t>INC16032682,INC16032681</t>
  </si>
  <si>
    <t>Symptom:
1)Task 2 not received for FTTH broadband orders
COMPONENT : ordercount_mop_ftth_task1
Current Value : 151.0
Alert time:2025.09.23 10:31 Hrs
Event No :INC16032682,INC16032681</t>
  </si>
  <si>
    <t>Waiting for task 2 (FTTH + MOP) - 174 orders were stuck.</t>
  </si>
  <si>
    <t>CRQ000005541328</t>
  </si>
  <si>
    <t>INC16062056</t>
  </si>
  <si>
    <t xml:space="preserve">Call recording download was impacted for multiple customers. </t>
  </si>
  <si>
    <t>In this issue, a latency spike of 4.0 ms was observed on the Ironman S3 bucket, impacting the recording download functionality for NovaTel_IQ. Network and storage teams also did their analysis and no anomaly was seen on their end. The latency got auto-resolved without any manual intervention, and services are currently functioning normally.
For RCA of this issue, storage team has raised a case with NetApp Storage Team.</t>
  </si>
  <si>
    <t xml:space="preserve"> P3</t>
  </si>
  <si>
    <t>Alert100321282</t>
  </si>
  <si>
    <t>Symptom:
1)NovaTel_IQ_Voice_HA-Enterprise Customer Promotional Call Journey-RT_ironman-n62-grid_AmazonS3_Overall_Response_Time&amp;gt;1500ms_Sev1
Alert  Time : 2025-09-23 12:27hrs
Event no :Alert100321282</t>
  </si>
  <si>
    <t>Call recording downloading impacted.</t>
  </si>
  <si>
    <t>INC16046146</t>
  </si>
  <si>
    <t>In this issue, BTFLY_Billing team identified an issue where billing dispatches for bundled accounts were stalled due to the ESB queue entering a standby state. Further, ESB team mitigated this by blocking traffic to the South URL and whitelisting user IPs for the North URL. This action restored normal dispatch operations, and the backlog is expected to be cleared within the hour.</t>
  </si>
  <si>
    <t>43k dispatch stuck.</t>
  </si>
  <si>
    <t>APB_Transit-Acquiring</t>
  </si>
  <si>
    <t>INC0584296</t>
  </si>
  <si>
    <t>All Metro transactions are currently failing on the NFB-Transit-Acquiring application, with errors returning as ATTS99.</t>
  </si>
  <si>
    <t>In This issue NFB-Transit-Acquiring was impacted which cause Metro transaction to fail. During the troubleshooting, Application DB user getting error code ATTS99 from production DB (10.241.254.215) as HashiCorp database password was expired and connectivity got lost. Further Network team re-established the connectivity by allowing the required policy, post which improvement started and issue got resolved.</t>
  </si>
  <si>
    <t>For NFB-Transit-Acquiring:- Total Request – 7422, Success Request – 743, Failure Request - 6679</t>
  </si>
  <si>
    <t>INC0584461</t>
  </si>
  <si>
    <t>CKYC account creation was impacted due to issues in the Search and Download process.</t>
  </si>
  <si>
    <t xml:space="preserve">In this issue, NFB Onboarding team reported an issue where CKYC account creation was failing due to search and download errors. During investigation, it was identified that the public IPs 182.95.129.25 and 182.95.129.26, which were previously whitelisted on CERSAI, were returning errors. As an initial mitigation, with the help of the network team, PEG Team asked to block these IPs; however, the issue persisted. The next step was to remove these IPs from the NAT pool and modify the range from 182.95.129.22–24 to 182.95.129.27–30, explicitly excluding 182.95.129.25 and 182.95.129.26. Once the network team successfully removed them from the NAT pool, system performance improved, and the issue was resolved.
</t>
  </si>
  <si>
    <t>For NFB-CKYC account creation dip observed through Cersai:(D vs D-1)=(763-878 )=115 (13.1 %)</t>
  </si>
  <si>
    <t>INC16066174</t>
  </si>
  <si>
    <t>Broadband Install/FR Journey was impacted.</t>
  </si>
  <si>
    <t>In this issue, post last night's HB_ATOM DR activity (CHG0198996), NovaWorks team was facing timeout errors from downstream application, as NovaTel works was unable to hit downstream application. While drilling down, it was identified that, NovaWorks is hosted on OCP platform, for which policy was not enabled to run from DR site of downstream application. Firewall team enabled the policy for NovaWorks, as requested by HB_ATOM and NovaWorks team, post which issue got fixed.</t>
  </si>
  <si>
    <t>INC16054693,INC16054718,INC16054725,INC16054730
INC16055168</t>
  </si>
  <si>
    <t>Symptom:
1)multiple sp_multitenant_api_failure_percent
API:1)https://hbatomdn-prod.novatel.example/routermanagement/getConnectionDetails
2)https://hawkeye.novatel.example/QuotaTrigger/services/getRemainingBalance
3)https://hbatomdn-prod.novatel.example/routermanagement/getDeviceInfo
Alert Start Time : 2025.09.25 08:01 Hrs
Event No: INC16054693,INC16054718,INC16054725,INC16054730
2)Multiple Web service [task-manager-service] - ZeroTouchController
23.2 requests/min impacted
The current response time (3.06 s) exceeds the auto-detected baseline (229 ms) by 1,235 %
Alert time :2025.09.23 09:32 Hrs
Event No :INC16055168</t>
  </si>
  <si>
    <t>9/23/2025 08:00
9/23/2025 09:32</t>
  </si>
  <si>
    <t>9/23/2025 08:30
9/23/2025 10:00</t>
  </si>
  <si>
    <t>NovaWorks Success Dip: (D vs D-7: 125 vs 213: 88) is 41%.</t>
  </si>
  <si>
    <t>CHG0198996</t>
  </si>
  <si>
    <t>OWCC</t>
  </si>
  <si>
    <t>INC16064080</t>
  </si>
  <si>
    <t>OWCC application was not available</t>
  </si>
  <si>
    <t xml:space="preserve">In this issue, OWCC application team reported that users were unable to access the application, which was traced to unavailability of mount points on the nodes. Further, Unix team identified that while the servers were online, they were only partially up for Node 2. To resolve the issue, Unix team performed a server reboot, which restored the mount points along with raising a case with the OEM (Case - 250925-001526) to investigate the underlying cause. Following the reboot, the application team performed a service refresh, successfully resolving the issue. </t>
  </si>
  <si>
    <t>INC16063273 
INC16063272</t>
  </si>
  <si>
    <t>1)host: N2VL-PA-FNE01 ip: 10.5.78.175 path: /var is OFFLINE_10.5.78.175
Alert  Time : 2025-09-25 23:50
Event no :INC16063273
2)host: N2VL-PA-FNE02 ip: 10.5.78.176 path: /opt/wcc/shared7 is OFFLINE_10.5.78.176
Alert time : 2025-09-25 23:50
Event No : INC16063272</t>
  </si>
  <si>
    <t>9/25/25 23:50
2025-09-25 23:50:10</t>
  </si>
  <si>
    <t>9/26/25 0:10
2025-09-26 00:10:34</t>
  </si>
  <si>
    <t>Multiple users unable to access application.</t>
  </si>
  <si>
    <t>INC16070210</t>
  </si>
  <si>
    <t>Retail Prepaid Acquisition was impacted intermittently.</t>
  </si>
  <si>
    <t>In this issue, Prepaid Acquisition orders via Airport stores in Delhi were stuck in 'ev_pending' status but were marked as 'Accepted' at EV Portal. Further, eCAF team cleared such orders, post which issue stands resolved.</t>
  </si>
  <si>
    <t>Success Dip (D vs D-7: 20 vs 91) is 71 orders.</t>
  </si>
  <si>
    <t>INC16066021</t>
  </si>
  <si>
    <t>Skyvault traffic was impacted for North Hub.</t>
  </si>
  <si>
    <t>In this issue, network team observed one of the LBs in 62 DC got auto-failed over causing bind disconnections for SKV Telemarketers from North LB. Post which SKV team asked Telemarketers to shift their traffic from North to South Hub. Further, to resolve the issue Network team performed a manual failover of the impacted LB.</t>
  </si>
  <si>
    <t>Direct:
1)Multiple F5 Failover Status Changed
Device Name: F5.SMPPLB.NOIDA-PRI.novatel.example,
Device Name: F5.SMPPLB.NOIDA-SEC.novatel.example,
Issue start time: 2025-09-26 04:51 hrs.
Event No : TG alert</t>
  </si>
  <si>
    <t>5 customers were impacted.</t>
  </si>
  <si>
    <t>INC16081646</t>
  </si>
  <si>
    <t>CC Advisors were unable to raise SR in Service Portal intermittently.</t>
  </si>
  <si>
    <t>In this issue, CC advisors were observing the error "DFF not available" while raising SR in Service Portal. Upon investigation, it was confirmed that these errors were being observed from Case end. To resolve this, Case team took refresh of microservice (Rules framework), post which issue got resolved.</t>
  </si>
  <si>
    <t>INC16081396,INC16081441</t>
  </si>
  <si>
    <t>1)Case URL Monitoring Rules Framework POD URL
Current Value : 1
URL : http://rulesframework-console.apps.n1ocp-pclus-01.india.novatel.internal/troubleticket/rules/v2/fetch
2)5XX_StatusCode_Gloo_API_CS
Current Value : 3288
UTHORITY : casemgmt.india.novatel.internal
Alert Time : 2025.09.27 21:41hrs
Event no: INC16081441</t>
  </si>
  <si>
    <t>Success Hits Dip: 507 (D vs D-5: 307 vs 814) is 62%</t>
  </si>
  <si>
    <t>Postpaid Customer Experience Journey, Postpaid Customer Experience Journey (Call Center), Nova App Experience Journey, Broadband Customer Experience Journey (Call Center), DTH Customer Experience Journey (Call Center), Black Payment Posting Journey, Black Customer Experience Journey (Call Center)</t>
  </si>
  <si>
    <t>DCAP, Service Portal, Nova App, LAPU_MT, OneNova, Selfcare_B2C</t>
  </si>
  <si>
    <t xml:space="preserve">INC16082937 </t>
  </si>
  <si>
    <t>Postpaid bill payment in LAPU_MT and Black Payment posting in DCAP along with bill details fetch in Service Portal and Nova App were impacted.</t>
  </si>
  <si>
    <t xml:space="preserve">In this issue, high response time was being observed for multiple CUs (CU6, CU4, CU3, CU1) leading to impact on payment posting for Black and also CC advisors were unable to check bill details. App DBA team applied a plan fix at impacted CUs, post which the issue got resolved. Further, the same plan fix will be replicated on other CUs of FX6.0 by DBA team. </t>
  </si>
  <si>
    <t>Digital Experience B2C, Postpaid, Prepaid</t>
  </si>
  <si>
    <t xml:space="preserve">P4
P1
P3
P1
P3
P1
P2
</t>
  </si>
  <si>
    <t>TG Alerts
INC16081728,INC16081738
INC16081758,Alert100621584
INC16081784,INC16081792,INC16081784
INC16081806
INC16081818,INC16081838
INC16081878,Alert100622671,INC16081899</t>
  </si>
  <si>
    <t>Direct:
1)Multiple High Frequency CU's Alert
ProcessName: billing-account-details
Message: exception(): not able to call databaseService API on DB: PRDK6CU1/CU3/CU4/CU6
Count: 6948 
Alert Time : 2025-09-27 22:30hrs
Event no:TG Alerts
Symptom:
1)OneNova-Digital Customer Experience Journey-Homes-RS_bsl-prod.india.novatel.internal_Overall Error rate is greater than 5%_Sev-1
Alert Time : 2025-09-27 22:30hrs
Event no: INC16081728,INC16081738
2)Lapu BSL getBillingAccountDetails Error message count_Lapu BSL getBillingAccountDetails Error message count &gt; 10
Alert Time : 2025-09-27 22:30hrs
Event no:INC16081758,Alert100621584
3)Services Journey - Thanks App severity: Disaster Trigger: ---- Threshold &gt; 10 ---- Trigger Name : ---- postpaid service thanks ---- Bill Widget Failure PercentTrigger Value: 47.25 Current Threshold Value :47.25
Alert Time : 2025-09-27 22:37rs
Event no:INC16081784,INC16081792,INC16081784
3)Dcap OCP 4 High Response Time(90th Percentile) in last 15minutes||For /cap-account-summary/bill-payment-posting
Host Name : DCAP-OCP-KONG-API-FAILURE New
Alert Time : 2025-09-27 22:44hrs
Event no:INC16081806
4)High Response Time | channels-billing (Service View)
/bills | 99th RT (channels-billing-9): 7925.52 ms [&gt;5000 ms] | Hits: 82146
Alert Time : 2025-09-27 22:47hrs
Event no: INC16081818,INC16081838
5)sp_broadband_shifting_elgibility_failure severity: High Trigger: High Failure in last 10M  Total Count : 31  Failure Count : 18 ** Failure % : 64.29 
Alert Time : 2025-09-27 22:51hrs
Event no:INC16081878,Alert100622671,INC16081899</t>
  </si>
  <si>
    <t>9/27/2025  22:30
9/27/2025  22:30
9/27/2025  22:30
9/27/2025  22:37
9/27/2025  22:44
9/27/2025  22:46
9/27/2025  22:53</t>
  </si>
  <si>
    <t>9/27/2025  23:31
9/27/2025  23:07
9/27/2025  23:00
9/27/2025  23:18
9/27/2025  23:01
9/27/2025  23:21
9/27/2025  23:08</t>
  </si>
  <si>
    <t>LAPU_MT: 275 transactions for Postpaid bill payment
DCAP: 50 approx. black payment posting
Selfcare_B2C Success Hits Dip: 17,317 (D vs D-3: 75,692 vs 93,009) is 18%.</t>
  </si>
  <si>
    <t>INC16086347</t>
  </si>
  <si>
    <t xml:space="preserve"> Instant SMS for Postpaid and Broadband was impacted.</t>
  </si>
  <si>
    <t>In this issue, DNC team was not receiving responses from the CLM end, due to which their instant SMS for Postpaid and Broadband was getting stuck. On further investigation with the ESB team, it was identified that the CLM was giving the response back, but the DNC was unable to receive it. To resolve this, DNC team performed a service refresh at their end. After the refresh, the responses started getting received properly, and the pending SMS traffic began to clear.</t>
  </si>
  <si>
    <t>INC16086102</t>
  </si>
  <si>
    <t>Symptom:
1) Hostname:instant SMS Check FX6 severity
Trigger Name : instant SMS Check FX6_Cu1
Alert Start Time: 29/09/2025 12:00
Event No: INC16086102</t>
  </si>
  <si>
    <t>Mobility -- 5833 ,Telemedia - 2478</t>
  </si>
  <si>
    <t>HB_ATOM, HB_CRM, Nova App, Selfcare_B2C</t>
  </si>
  <si>
    <t>INC16088109</t>
  </si>
  <si>
    <t>Broadband shifting orders via Nova App were impacted.</t>
  </si>
  <si>
    <t>In this issue, broadband shifting journey was impacted due to a failure observed on the HB_Atom API. The issue was ongoing since 19th September, with a 100% failure rate, but was not detected earlier as the alert API was returning blank responses. On analysis, it was identified that HB_CRM was receiving invalid JSON(NULLTag value) from Selfcare, resulting in shifting SRs not being punched via the Nova App. Ideally, Selfcare should not publish null values. As confirmed, there have been no recent changes to the code since before 19th September. As mentioned by Selfcare Dev team, The data type for field tags is configured as string, which by default assigns a null value when no valid input is available. To minimize impact and restore functionality, the Selfcare Dev Team implemented a quick fix by adding a filter that sets the default value to an empty string instead of null. This action has restored the service and broadband shifting SRs are now getting created as expected.
Teams are analyzing the underlying root cause to ensure a comprehensive and permanent resolution.</t>
  </si>
  <si>
    <t xml:space="preserve">pvc_storage_status - app-ucm-prod_PVC Storge Utilization increased for app-ucm-prod &gt; 90% 
NODE:n2pc-w20.n2ocp-pclus-02.india.novatel.internal, 
INSTANCE:10.242.138.35:10250, </t>
  </si>
  <si>
    <t>INC16085594</t>
  </si>
  <si>
    <t>100% SR creation was impacted.</t>
  </si>
  <si>
    <t>Black Acquisition Journey, Black Customer Experience Journey (Call Center), Nova App Experience Journey</t>
  </si>
  <si>
    <t>Service Portal, eCAF, Ecom, Nova App</t>
  </si>
  <si>
    <t>INC16099257</t>
  </si>
  <si>
    <t>Customer profile details in Service Portal and Nova App along with Black bundling via eCOM were Impacted.</t>
  </si>
  <si>
    <t xml:space="preserve">In this issue, it was identified that eCOM was facing gateway timeout errors from UCM end via gloo, impacting Black acquisition and customer profile fetch in the Service Portal. OCP team confirmed that all UCM PODs are running fine from their end. UCM team took proactive refresh of the PODS, post which the timeout errors got resolved. Later, it was identified that, the UCM pods did not get auto scaled up due to which the issue occurred. </t>
  </si>
  <si>
    <t>INC16089062 , INC16089048,INC16089193, Alert100685717</t>
  </si>
  <si>
    <t>1)Host Name : ecom_order_checkout_service_audit_logs
2)Hostname:SP_MT_RULE_FAILURE 
3)Host Name : 5XX_StatusCode_Gloo_API_CS
4)Web service
5)Multiple selfcare alert
6)Web request service</t>
  </si>
  <si>
    <t>9/28/2025  19:35:00 PM</t>
  </si>
  <si>
    <t>2025-09-28 21:52 hrs</t>
  </si>
  <si>
    <t>Success Dip (D vs D-7: 2 vs 4) is 50%</t>
  </si>
  <si>
    <t>INC16092638</t>
  </si>
  <si>
    <t xml:space="preserve">Benefit posting via DARTS was impacted. </t>
  </si>
  <si>
    <t xml:space="preserve">In this issue, DARTS team reported that mount points were not visible on server (10.5.9.88) which is a physical server. To restore this, Unix team rebooted the impacted server, followed by sanity checks, post which the issue got resolved. </t>
  </si>
  <si>
    <t>Benefit posting via DARTS was impacted.</t>
  </si>
  <si>
    <t>INC16096584</t>
  </si>
  <si>
    <t>CC Advisors were unable to raise SR in Service Portal intermittently</t>
  </si>
  <si>
    <t>In this issue, CC advisors were unable to raise SR in Service Portal. Upon investigation, Service Portal Team identified that a Case Management API (TroubleTicket) was returning 'error:504' from Case end triggering the issue. However, the issue resolved automatically without any technical intervention.</t>
  </si>
  <si>
    <t>P2
P3
P4
TG Alert
P3</t>
  </si>
  <si>
    <t>INC16094923,INC16094481,INC16094950 
INC16094991
Alert100732112
TG alert
INC16095099</t>
  </si>
  <si>
    <t>9/29/2025 11:37
9/29/2025 11:42
9/29/2025 11:41
9/29/2025 11:45
9/29/2025 11:51</t>
  </si>
  <si>
    <t>9/29/2025 11:58
9/29/2025 11:57
9/29/2025 11:46
9/29/2025 11:57
9/29/2025 13:51</t>
  </si>
  <si>
    <t>Success dip (D vs D-6: 845 vs 952:107) is 11%.</t>
  </si>
  <si>
    <t>APB_IMPS, APB_Payment_DMT</t>
  </si>
  <si>
    <t>INC0586383</t>
  </si>
  <si>
    <t>NFB-DMT &amp; IMPS transactions are getting declined From NPCI end.</t>
  </si>
  <si>
    <t xml:space="preserve"> In this issue, NFB-IMPS &amp; DMT reported an issue where transactions were getting declined From NPCI end. Upon investigation, it was identified that the issue originated from NPCI (a third-party) and was not caused by the NFB-IMPS &amp; DMT application. The issue eventually self-resolved without any technical intervention from the NFB domain teams.</t>
  </si>
  <si>
    <t>For NFB-Payments-DMT(Partner) Success Transactions drop Comparison: {D vs (D-7)}= 48-3128=3080(98.46% drop in Success transaction)
For NFB-IMPS Success (inwards) Transactions drop Comparison: {D vs (D-7)}= 227-7142=6915(96.82% drop in Success transaction)
For NFB-IMPS Success (outwards) Transactions drop Comparison: {D vs (D-7)}= 116-5014=4898(97.68% drop in Success transaction)</t>
  </si>
  <si>
    <t>INC16098728</t>
  </si>
  <si>
    <t xml:space="preserve">Prepaid, Postpaid and Simswap Acquisition was impacted.  </t>
  </si>
  <si>
    <t>Issue was identified at UIDAI end due to which eKYC via Face Auth was impacted in eCAF, leading impact on prepaid and Postpaid acquisition. To restore this, corrective action was taken at UIDAI end post which issue got resolved.</t>
  </si>
  <si>
    <t>INC16096739,INC16096773
INC16096845,INC16096847 ,INC16096846,INC16096848
INC16096872</t>
  </si>
  <si>
    <t>9/29/2025 14:42
9/29/2025 14:50
9/29/2025 14:51</t>
  </si>
  <si>
    <t>9/29/2025 14:53
9/29/2025 15:00
Open</t>
  </si>
  <si>
    <t xml:space="preserve"> Postpaid success dip:  (D vs D-7: 486 vs 454) is no dip.
Prepaid success dip: (D vs D-7: 6670 vs 6361)is no dip.
Simswap success dip: 1322(D vs D-7:1385 vs 2707) is 49% dip.</t>
  </si>
  <si>
    <t>INC16116777</t>
  </si>
  <si>
    <t>Multiple Customers Call back SMS were impacted in Nova IQ_SMS.</t>
  </si>
  <si>
    <t>In this issue, IQ_SMS team confirmed that they were getting timeout error for multiple customers (SBI, BHIM, Phonepe and NPCI). For mitigation, Traffic was shifted to DR (BLR) by Nova IQ_SMS team but no improvement observed. During the troubleshooting, firewall team confirmed that, IPs got blocked due to DDoS, So they have done whitelisting post which improvement observed for most of the customers @13:00 Hrs. but fluctuation observed between 13:10 to 13:14 Hrs. for SBI only which later got settled.</t>
  </si>
  <si>
    <t>INC16095281</t>
  </si>
  <si>
    <t>100% impact for the users which removed the traffic.
SBI was 100% impacted as they can't remove their traffic.</t>
  </si>
  <si>
    <t>NFB-PAYMENTS-UPI, NFB-AePS, NFB-SBA, NFB-CKYC, NFB-Wallet, NFB-IMPS, NFB-CMS, NFB-Payments Hub</t>
  </si>
  <si>
    <t>Several applications were impacted due to fluctuations in the CBS system.</t>
  </si>
  <si>
    <t>In this issue, Several applications experienced impact due to fluctuations in the CBS system. The issue is expected to auto-resolve without requiring any technical intervention. The NFB-CBS team informed that a change (Change No: CHG0008648) was recently deployed, which included fixes and enhancements for CBS data integrity, EOM logging, ad-hoc purge stability, and indexing optimization. The observed fluctuations were noted during this change deployment.</t>
  </si>
  <si>
    <t>For NFB-PAYMENTS-UPI Transaction Dip Comparison: {D vs (D-7)}= 261640-216345= 45,295 (20.93%)
For NFB-SBA Account Creation Dip Comparison: {D vs (D-7)}= 2-63= 61 (96.8 %)
For NFB-CKYC Account Creation Dip Comparison: {D vs (D-7)}= 3-59= 56 (94.9 %)
For NFB-Wallet Account Creation Dip Comparison: {D vs (D-7)}= 8-61=53 (86.9 %)
For NFB-IMPS (Inwards Use case) Success Transactions Comparison: {D vs (D-7)}= 276-3306= 3030 (91.6 %)
For NFB-Payments Hub 256,903 Error hits was observed during the impacted window
For NFB-AePS Transaction Dip Comparison: {D vs (D-7)}= 3118-2123= 995 (46.9%)
For NFB-CMS Intermittent fluctuation was impacted during the impacted window</t>
  </si>
  <si>
    <t>CHG0008648</t>
  </si>
  <si>
    <t>INC0586975</t>
  </si>
  <si>
    <t>NFB-Payments1 are  encountering the AE700 error code on AEPS, resulting in a "Technical Issue" message due to which transaction was getting declined.</t>
  </si>
  <si>
    <t xml:space="preserve"> In this issue, the NFB-Payments1 team reported that they were encountering the AE700 error code on AEPS, resulting in a "Technical Issue" message, due to which transactions were failing. During troubleshooting, it was identified that a VLAN-related activity had been performed under change request CHG0008323, after which the issue was observed. Although the change was rolled back, the issue persisted. Further investigation by the NFB-AEPS team revealed a port misconfiguration by the respective team on 10.241.252.84:5055, where the backend IPs 10.83.6.201 and 10.241.244.23 were incorrectly configured with port 5055 instead of the correct port 443. The configuration was corrected to 10.83.6.201:443 and 10.241.244.23:443.Following this action, an improvement was observed, and the issue was successfully resolved.</t>
  </si>
  <si>
    <t>For NFB-AEPS Success Transactions drop Comparison: {D vs (D-7)} (06:00Hrs till 08:04hrs)= 20124-42496=22372(52.64% drop in Success transaction)</t>
  </si>
  <si>
    <t>CHG0008323</t>
  </si>
  <si>
    <t>INC0587010</t>
  </si>
  <si>
    <t xml:space="preserve">NFB-Payments1 are encountering the an error {"error":"Too Many Requests","message":"Your IP has been temporarily blocked due to excessive requests. Please try again later."} due to which online transactions of NCMC Transit-card were failing. </t>
  </si>
  <si>
    <t xml:space="preserve">In this issue, the NFB-Payments1 team reported that they were encountering an error {"error":"Too Many Requests","message":"Your IP has been temporarily blocked due to excessive requests. Please try again later."} due to which online transactions of Transit-card were failing. During troubleshooting, it was identified that yesterday night there was a change deployed under the change no. (CHG0008205), post that transaction were getting blocked due to this online transaction of NCMC Transit-Card were failing. Hence, to restore the issue, the NFB-Network Team rolled back the changes after that transaction rate improved and the issue was resolved.  </t>
  </si>
  <si>
    <t>For NFB-Transit-Acquiring Success Transactions drop Comparison (for balance-update): {D vs (D-1)} (06:00Hrs till 09:26hrs)= 1-160 = 159(99% drop in Success transaction)
For NFB-Transit-Acquiring Success Transactions drop Comparison (for money-load): {D vs (D-1)} (06:00Hrs till 09:26hrs)= 1-454 = 453(99% drop in Success transaction)</t>
  </si>
  <si>
    <t>CHG0008205</t>
  </si>
  <si>
    <t>eCAF, ESB</t>
  </si>
  <si>
    <t>INC16114613</t>
  </si>
  <si>
    <t>Postpaid Acquisition were impacted</t>
  </si>
  <si>
    <t>In this issue, eCAF was facing errors from ESB due to which postpaid orders were getting stuck. On further analysis, it was identified that ESB was receiving high response from FX3 Catalog DB. During the investigation, the high response from CAT DB stopped on its own and the issue got resolved without any technical intervention.</t>
  </si>
  <si>
    <t>Digital Acquisition, Integration</t>
  </si>
  <si>
    <t>180 Orders was impacted.</t>
  </si>
  <si>
    <t>INC16110522</t>
  </si>
  <si>
    <t>In this issue, CC advisors were observing the error "DFF not available" while raising SR in Service Portal. Upon investigation, it was confirmed that these errors were being observed from Case end. Case team confirmed that, while deploying change (CHG0200131), Case dev team observed issues in JAR, which they fixed and redeployed, post which issue got resolved.</t>
  </si>
  <si>
    <t>Symptoms:
1)StatusCode_Gloo_API_Informational_CS
Current Value : 1090
AUTHORITY : casemgmt.india.novatel.internal
CLUSTER_NAME : NonDMZ-Prod-Gloo-n2ocp-pclus-04
CLUSTER_NAME : NonDMZ-Prod-Gloo-n1ocp-pclus-04
Alert time : 2025.09.30 21:22hrs
Event no :TG alert</t>
  </si>
  <si>
    <t>9/30/2025  21:21:00 PM</t>
  </si>
  <si>
    <t>9/30/2025  21:2:900 PM</t>
  </si>
  <si>
    <t>Success Hits Dip: No dip (D vs D-5: 2697 vs 1560).</t>
  </si>
  <si>
    <t>CHG0200131</t>
  </si>
  <si>
    <t>INC16117537</t>
  </si>
  <si>
    <t>CROs at NovaTel Store were unable to access Service Portal via NovaWorks.</t>
  </si>
  <si>
    <t>In this issue, it was identified that a recent change(CHG0199646) at Service Portal end triggered the issue where CROs at NovaTel Stores were unable to serve customers other than acquisition through Service Portal via NovaWorks. To mitigate the issue, Service Portal team initiated a rollback. However, during the rollback, CC advisors were unable to login in Service Portal intermittently. Post completion of the rollback, fluctuations got settled and Service Portal started working fine and issue got resolved.</t>
  </si>
  <si>
    <t>D vs D3: 1088(1561 vs 473) is 69% dip.</t>
  </si>
  <si>
    <t>CHG0199646</t>
  </si>
  <si>
    <t>eCAF, Ecom, DPS, Nova App</t>
  </si>
  <si>
    <t>INC16122418</t>
  </si>
  <si>
    <t>Multiple domains of NovaTel Payment Bank were impacted due to which recharges and payment posting via DPS were impacted.</t>
  </si>
  <si>
    <t>In this issue, NFB team confirmed that their LB VIP through which their traffic was served to Nginix (via WAF) was in hung state which impacted multiple domains of NovaTel Payment Bank due to which recharges and payment posting via DPS where preferred bank was NFB were impacted. However, for other banks transactions were running fine. To mitigate the impact for DPS and Nova App Bank Page, NFB network team bypassed the LB, and made direct pointing in WAF to Nginix for different domains, post which issue got resolved.</t>
  </si>
  <si>
    <t>INC16119727</t>
  </si>
  <si>
    <t>MT_LOW_TRAFFIC_PARTNERWISE HUB1||airmoney
PARTNERNAME : airmoney 
Alert Start Time: 01/10/2025 20:00
Event No: INC16119727</t>
  </si>
  <si>
    <t>Broadband Success Dip: (D vs D-7: 1165 vs 972) No dip.
DPS Success Hits: (D vs D-7: 22551 vs 31314: 8763) is 27%.</t>
  </si>
  <si>
    <t>APB_CMS, APB_B2B, APB_My Nova App, APB_IBS, APB_BBPS_COU, APB_SBA, APB_Wallet, APB_IMPS, APB_Payment_DMT, APB_Payment_UPI, APB_Merchant UPI, APB_Tez Portal, APB_Retailer App, APB_IMS, APB_Transit Cards, APB_Payments Hub, APB_MicroATM, APB_Load Cash, APB_Fast Tag, APB_NETC, APB_eCOM, APB_AEPS</t>
  </si>
  <si>
    <t>INC0587826</t>
  </si>
  <si>
    <t>Multiple applications are impacted due to network inaccessibility.</t>
  </si>
  <si>
    <t>Multiple public-facing applications experienced downtime due to network inaccessibility. During investigation, the NFB Network Team found that the Load Balancer (LB) was not responding. As a temporary workaround, traffic was rerouted to the Nginx IP, which restored accessibility for NFB-IBS and the My Nova App. The team identified a suspected route configuration on the LB. The configuration was removed and subsequently re-added. Post this corrective action, the LB resumed normal functionality, and all public-facing applications were restored.</t>
  </si>
  <si>
    <t>1) MT_LOW_TRAFFIC_PARTNERWISE_HUB1||airmoney
PARTNERNAME : airmoney 
Alert Start Time: 01/10/2025 20:00
Event No: INC16119727</t>
  </si>
  <si>
    <t>For NFB-SBA Account Creation Dip Comparison: {D vs (D-7)}=0-1733=1733 (100% impacted)
For NFB-CKYC Account Creation Dip Comparison: {D vs (D-7)}= 0-751=751 (100% impacted)
For NFB-Wallet Account Creation Dip Comparison: {D vs (D-7)}=0-963=963 (100% impacted)
For NFB-CMS and NFB-B2B applications Traffic was completely down during the impacted window.
For NFB-IBS and NFB-My Nova App Traffic was completely down during the impacted window.
For NFB-IMPS, NFB-Payments-DMT, NFB-Payments-UPI, NFB-Merchant-UPI, NFB-Tez Portal, NFB-Retailer App, NFB-Ranger Portal/Promoter Portal, NFB-Ranger App/Promoter App, NFB-Merchant App, NFB-IMS, NFB-Transitcards, NFB-Transit-Acquiring, NFB-Payments Hub, NFB-Micro-ATM, NFB-Load Cash, NFB-FASTag/NETC Acquiring, NFB-FASTag/NETC, NFB-ECOM, NFB-AePS Traffic was completely down during the impacted window.
For NFB-USSD, NFB-TPRM, NFB-Cybersafe Approx. 30% Impact during the impacted window.</t>
  </si>
  <si>
    <t>Murex</t>
  </si>
  <si>
    <t>INC16122136</t>
  </si>
  <si>
    <t>Murex application was inaccessible to users.</t>
  </si>
  <si>
    <t>In this issue, Murex EOD was stuck due to a hardware failure in Prod DB(10.5.133.203) server requiring it to be rebuilt, which is EOL/EOS. Furthermore, UNIX team raised a request with the vendor, but the required replacement part was not in stock. To mitigate this, DBA team executed a switchover of 2 DR DB nodes to the Bangalore DR setup and subsequently performed a failover of 2 Prod DB nodes to this setup as well to avoid latency in system, post which primary core services resumed normally making the application accessible along with secondary services to resume in next 30 minutes.</t>
  </si>
  <si>
    <t>INC16121206
INC16121394,INC16121473</t>
  </si>
  <si>
    <t>Direct:
1)ping response on IP 10.5.133.203 is down error message "ping timeout"_10.5.133.203
Alert Time : 2025-10-01 22:47hrs
Event no:INC16121117
Symptom:
1)Telegraf_AgentDownAlert: CNDBMUREDBOP01 ip: 10.5.133.203
Alert Time : 2025-10-01 23:00hrs
Event no:INC16121206,
2)Agent Unreachable (REASON = Unable to connect to the agent at https://CNDBMUREDBOP01.murex.com:3872/emd/main/ [connect timed out]). Host is Unreachable (REASON = Ping timed out.)
Alert Time : 2025-10-01 23:30hrs
Event no:INC16121394,INC16121473</t>
  </si>
  <si>
    <t>10/01/2025 11:00
10/01/2025 11:30</t>
  </si>
  <si>
    <t>OPen
10/01/2025 1:51</t>
  </si>
  <si>
    <t>Murex application was down.</t>
  </si>
  <si>
    <t>Broadband Installation/FR Journey, Broadband Activation Journey</t>
  </si>
  <si>
    <t xml:space="preserve">INC16133237 </t>
  </si>
  <si>
    <t>Broadband installation/activation orders were impacted.</t>
  </si>
  <si>
    <t>In this issue, Nokia_OSS GIS team reported that, Reporting DB of Nokia_OSS GIS went down which further impacted application pods leading to impact on Broadband FTTH installation/Activation orders. Upon investigation, it was identified that the issue occurred as VM moved from one host to another as the Data store became inaccessible. VM team performed Vmotion once the data store got accessible at the first host, following which DB services were brought up by DB team. Post this the orders started processing and the issue got resolved.</t>
  </si>
  <si>
    <t>P1
P1
P3
P2</t>
  </si>
  <si>
    <t>INC16133177 
INC16133263
INC16133240,INC16133241
INC16133343</t>
  </si>
  <si>
    <t>Direct:
1)Datastore has lost connectivity to a storage device N1DC-HPE2-R06-PLAT04-SILVER02
Alert time : 2025-10-03 13:08hrs
Event no :INC16133177 
2)ping response on IP 10.223.161.79 is down error message "ping timeout"_10.223.161.79
Alert time : 2025-10-03 13:26hrs
Event no :INC16133263
Symptoms:
1) Multiple GIS_queue_monitoring_length Elastic
IP : 10.222.237.11
IP : 10.222.237.12
Alert time 2025.10.03 13:15 Hrs
Event NO :INC16133240,INC16133241
2)  NovaTel_Works alerts for BroadBand Journey
COMPONENT : ordercound_mop_ftth_tag_change
Alert time 2025.10.03 13:26 Hrs
Event NO : INC16133343</t>
  </si>
  <si>
    <t>10/3/2025 13:08
10/3/2025 13:17
10/3/2025 13:15
10/3/2025 13:26</t>
  </si>
  <si>
    <t>10/3/2025 13:23
10/3/2025 13:44
10/3/2025 13:45
10/3/2025 14:01</t>
  </si>
  <si>
    <t>Tag change (FTTH + MOP) - 516 orders are stuck.</t>
  </si>
  <si>
    <t>Postpaid New Customer Acquisition Journey, Prepaid New Order Sim Swap Journey</t>
  </si>
  <si>
    <t>eCAF, eCAF_Sim Swap, Ecom, POS</t>
  </si>
  <si>
    <t>INC16143587</t>
  </si>
  <si>
    <t>Postpaid new Acquisition and Simswap journey was impacted.</t>
  </si>
  <si>
    <t>In this issue, DB service on POS node(10.5.99.138) failed on October 3rd at 01:00 Hrs. While the alternate node(10.5.99.137) initially sustained application functionality, a fluctuation on this node subsequently caused business impact, impeding user acquisition of new Postpaid and SimSwap orders. Service was restored post DB and VMware teams performing a VMotion to migrate both DB nodes onto a single host. Database services have been verified as available on both nodes, and issue stands mitigated.</t>
  </si>
  <si>
    <t>P1
P2
P2
P1
P2</t>
  </si>
  <si>
    <t>INC16129362, INC16129393
INC16142836
INC16142855
Alert101094500
INC16132802,INC16142844</t>
  </si>
  <si>
    <t>Direct:
1)N2VL-PD-POCM02_Collection Name=resource_status_ora.asmgroup has 2 instances in OFFLINE State
Alert time : 2025-10-03 01:31hrs(Fluctuating)
Event no :INC16129362, INC16129393
2)Oracle-OEM13c_N2VL-PD-POCM01.india.novatel.internal-Oracle High Availability Service-has_N2VL-PD-POCM01.india.novatel.internal
Alert time : 2025-10-04 13:54hrs
Event no: INC16142836
3)Failed to connect to ASM instance. Failed to connect: java.sql.SQLException: Listener refused the connection with the following error: 
ORA-12505, TNS:listener does not currently know of SID given in connect descriptor
Alert time : 2025-10-04 13:58hrs
Event no :INC16142855
4) The database status is UNKNOWN
Node-N2VL-PD-POCM01 10.5.99.137
Alert time : 2025-10-04 13:58hrs
Event no :INC16142855, Alert101094500
Symptoms:
1)ecom_order_checkout_service_audit_logs
Current Value : 25.81
VALIDATE_ELIGIBILITY High Failure 
Alert time : 2025.10.04 13:56hrs
Event no :INC16132802,INC16142844</t>
  </si>
  <si>
    <t>10/3/2025 1:31
10/4/2025 13:54
10/4/2025 13:58
10/4/2025 13:58
10/3/2025 12:27</t>
  </si>
  <si>
    <t>10/3/2025 3:19
Open
Open
10/4/2025 14:01
10/3/2025 13:56</t>
  </si>
  <si>
    <t xml:space="preserve">Postpaid:62 orders
Simswap success dip(D vs D-7): (870 vs 1405):535 is 38% </t>
  </si>
  <si>
    <t>INC16165449</t>
  </si>
  <si>
    <t>ONDR/CDR reports were intermittently impacted for PAN India.</t>
  </si>
  <si>
    <t xml:space="preserve"> In this issue, Mediation_EL team reported a data integrity issue where ONDR CDR files contain outdated Origin_TIME_STAMP values sourced from the OTA (NSG) vendor. This discrepancy lead to the Mediation_EL system incorrectly assigning wrong circle to the ONDR CDR reports, subsequently causing DARTS to generate reports with inaccurate tagging. For this, IN (NSG) team with the OTA team to mapped the current time to the Origin_TIME_STAMP, post which the issue got resolved.</t>
  </si>
  <si>
    <t>Approx. 15k reports</t>
  </si>
  <si>
    <t>INC16185800</t>
  </si>
  <si>
    <t xml:space="preserve"> Postpaid activation was getting delayed intermittently.</t>
  </si>
  <si>
    <t xml:space="preserve"> In this issue, postpaid orders were getting error ‘order creation request tempt fail’ intermittently. Upon investigation, it was identified that orders were getting cleared in first try, although the failed errors were due to duplicacy in the request. Further, it was identified that the issue was occuring post the change deployed at BTFLY_CRM. To resolve this, ESB pointing was shifted to N2, post which the errors got resolved. </t>
  </si>
  <si>
    <t>Alert101195133, Alert101195349, Alert101195591, Alert101195654
INC16157374, INC16157575, Alert101219204, INC16157783</t>
  </si>
  <si>
    <t>Symptom:
1)BTFLY_CRM_Create_Order_URL is down!
Host Name : BTFLY_CRM_Create_Order_URL
Sev-P2 Current Value : 403.0
Application : WAS - Postpaid IP : 10.14.120.70
Change_Order_URL : http://10.14.120.70:7777/eai_anon_createorder/
Alert time : 2025-10-06 01:38hrs(fluctuating)
Event no ::Alert101195133, Alert101195349, Alert101195591, Alert101195654
2)Hostname:ECAF NGINX ALERT 
service_endpoint:/ecaf-postpaid/ecafPostpaid/customerOrder/createOrder/v1 
Trigger Value: 0.6916666666666667 Current Threshold Value :0.6916666666666667
Alert time : 2025-10-06 10:34hrs(fluctuating)
Event no :INC16157374, INC16157575, Alert101219204, INC16157783</t>
  </si>
  <si>
    <t>10/6/2025 1:39
10/6/2025 10:44</t>
  </si>
  <si>
    <t>10/6/2025 1:41
10/6/2025 10:59</t>
  </si>
  <si>
    <t>175 orders</t>
  </si>
  <si>
    <t>CHG0200604</t>
  </si>
  <si>
    <t>INC16163116</t>
  </si>
  <si>
    <t>CDR was not getting updated on NovaWorks.</t>
  </si>
  <si>
    <t>In this issue, customer responses were not updating on NovaWorks, which caused pending actions from the FE side as the process runs through NovaTel_IQ. During investigation, it was found that three pods of NovaTel_IQ were down. IQ team restarted the affected pods, after which the performance improved and the issue got resolved successfully.</t>
  </si>
  <si>
    <t>INC16160112</t>
  </si>
  <si>
    <t>1)IQCallbackurlsErroralerts sev-4
REQUESTURL:https://call-webhook.nobroker.in/cms-scheduler-api/api/v1/artl/call-details
Trigger Value: 7
Alert time:2025-10-06 15:04
Event NO :INC16160112
2)NovaTel_Works alerts for Broad Band Journey 
service_endpoint="/postmaster/click2call/captureCDR"
Current Value : 48.0
Alert time : 2025.10.06 15:20:00
Event NO : INC16160300,</t>
  </si>
  <si>
    <t>9/30/2025  15:04:00
9/30/2025  15:20:00</t>
  </si>
  <si>
    <t>Open
9/30/2025  16:20:00</t>
  </si>
  <si>
    <t>Call response details were not getting updated in AW</t>
  </si>
  <si>
    <t>INC16167683</t>
  </si>
  <si>
    <t>Skyvault traffic was impacted for South Hub.</t>
  </si>
  <si>
    <t>In this issue, Skyvault team reported bind disconnections because their telemarketers couldn't connect to South Public IP via Telnet. To mitigate this, customers were redirected to the North Hub. Further, issue was traced to routing issues on both internet links managed by AES and Network team resolved this by clearing route dampening, post which service resumed normally.</t>
  </si>
  <si>
    <t>3 customers were impacted.</t>
  </si>
  <si>
    <t>INC16170643</t>
  </si>
  <si>
    <t>CC advisors were facing issues in MOP scenario along with FEs needing retries during accepting/submitting installation task.</t>
  </si>
  <si>
    <t>In this issue, CC Advisors were facing latency and getting internet not working in MOP scenario. Further, it was identified that Service Portal was getting high RT from an API(AccessPoint) from ACS end. Further, ACS team confirmed that issue is at third party (Embedd) end. To resolve this, Embedd team took corrective action at their end, post which services resumed normally.</t>
  </si>
  <si>
    <t>P3
P3
P3
P1</t>
  </si>
  <si>
    <t>INC16167865,Alert101306150
Tg Alert
INC16167931
Alert101308750</t>
  </si>
  <si>
    <t>1)Host Name : sp_multitenant_api_failure
Current Value : 926.0
URL : https://hbatomdn-prod.novatel.example/routermanagement/getCurrentChannelValues
URL : https://hbatomdn-prod.novatel.example/routermanagement/getAccessPointInfo
Alert time :2025-10-07 09:02:36 Hrs
Event No:INC16167865,Alert101306150
2) impacted services
Web service
N1 - GetCurrentChannelValueController - WebLogic humatom humatomdn-Cluster
Response time degradation
156 requests/min impacted
The current response time (30 s) within the slowest 10% exceeds the auto-detected baseline (6.54 s) by 359 %
Service method: All methods affected
Web request service
broadband-rest.novatel.example on port 443
Alert time :2025-10-07 09:19 Hrs
Event No:Tg Alert
3)4XXFailurein10Minute | cx_Network | /router/devices
Host Name : Channel-Backend-Alerts-cx-network
Threshold : 25%
API : /router/devices
 Alert time :2025-10-07 09:21 Hrs
Event No:INC16167931	
4)Host Name : Channel-Backend-Alerts-Cx-order
BCurrent Value : 506.7
Threshold : 500
API : /composite/v1/nucleus
 Alert time :2025-10-07 09:43 Hrs
Event No:Alert101308750</t>
  </si>
  <si>
    <t>10/7/2025 9:02
10/7/2025 9:19
10/7/2025 9:21
10/7/2025 9:43</t>
  </si>
  <si>
    <t>10/7/2025 9:24
10/7/2025  11:23AM
10/7/2025 12:31
10/7/2025 9:53</t>
  </si>
  <si>
    <t>service portal: (D vs D-5: 5035 vs 5047) dip of 8 Hits</t>
  </si>
  <si>
    <t>INC16168367</t>
  </si>
  <si>
    <t>Users were unable to access PNI application as windows path was inaccessible</t>
  </si>
  <si>
    <t>In this issue, Nokia OSS_GIS team reported that users were unable to access PNI application further impacting their ability to manage the virtual network layer. Further, it was identified that there was check disk running on the path making the application shared path inaccessible. Moreover, to mitigate this, Backup team restored the backup services, post which path became accessible and users were able to access PNI application normally.</t>
  </si>
  <si>
    <t>INC16154585</t>
  </si>
  <si>
    <t>1)One or more cluster disk volumes may be corrupt,
 Description: Cluster disk resource 'Cluster Disk 6' 
indicates corruption for volume '\Device\Harddisk5\ClusterPartition2
 Alert time :2025-10-07 09:17 Hrs
Event No:INC16154585</t>
  </si>
  <si>
    <t xml:space="preserve">	
2025-10-07 09:17:38</t>
  </si>
  <si>
    <t>Users unable to open PNI application.</t>
  </si>
  <si>
    <t>Postpaid Activation Journey</t>
  </si>
  <si>
    <t>INC16169775</t>
  </si>
  <si>
    <t>Postpaid activation was impacted for NESA circle.</t>
  </si>
  <si>
    <t xml:space="preserve"> In this issue, eCAF was getting error from downstream One_NMS (api/s2s/nms/inv/update) due to which postpaid orders for NESA circle were impacted.Upon investigation, One_NMS team identified anomalies with one of their pod (crm-rbac), so to resolve, team took refresh of the impacted pod, post which errors reduced and issue got resolved.</t>
  </si>
  <si>
    <t>P3
P3
P3
P3
P3
P3</t>
  </si>
  <si>
    <t>Alert101311837
Alert101311837
TG Alert
INC16168350
INC16168526
INC16168630</t>
  </si>
  <si>
    <t>1)crm-rbac
Out-of-memory kills have been observed for pods of this workload.
k8s.cluster.name: n2ocp-pclus-02
Alert time:2025-10-07 10:19Hrs
Event NO:Alert101311837
2)impacted application:Kubernetes workload
crm-rbac
No pod ready
Workload does not have any ready pods.
Alert time:2025-10-07 10:22Hrs
Event NO:Alert101311837
3)High CPU throttling
The CPU throttling to limits ratio exceeds the specified threshold of '50%'.
k8s.cluster.name: n1ocp-pclus-01
k8s.workload.name: krakend
Alert time:2025-10-07 10:24Hrs
Event NO:TG Alert
Symptom
1) ESB_Access_Log_Critical_API_Alert
API : /services/resource/gatherresourceinformation/validateandallocate/sim/v1_3
Current Value : 4.98
Alert time:2025-10-07 10:18Hrs
Event NO:INC16168350
2)Web request service
[crm-master-data-sidecar] - Netty on 8088
Failure rate increase
31 requests/min impacted
by a failure rate increase to 48 %
Alert time:2025-10-07 10:32 Hrs
Event NO :INC16168526
3)Web request service
[nms-sidecar] - Netty on 9090
Failure rate increase
464 requests/min impacted
by a failure rate increase to 62 %
Alert time:2025-10-07 10:34 Hrs
Event NO :INC16168630</t>
  </si>
  <si>
    <t>10/7/2025 10:29
10/7/2025 10:29
10/7/2025 10:24
10/7/2025 10:18
10/7/2025 10:34
10/7/2025 10:44</t>
  </si>
  <si>
    <t>10/7/2025 10:34
10/7/2025 10:34
Opne
10/7/2025 11:48
10/7/2025 10:53
10/7/2025 11:45</t>
  </si>
  <si>
    <t>Postpaid Success dip- (D vs D-7: 765 vs 850: 85 Orders) is 10%</t>
  </si>
  <si>
    <t>INC16169918</t>
  </si>
  <si>
    <t>In this issue, users reported that they were unable to login to VDI via public network. Further, VDI team confirmed that there is a change deployed at Omnissa (NSG) end, post which issue triggered. Omnissa team is working towards a permanent resolution, meanwhile VDI team will grant acess to affected users at their end manually, post which issue stands mitigated.</t>
  </si>
  <si>
    <t>Broadband Customer Experience Journey, Black Customer Experience Journey, DTH Customer Experience Journey, Prepaid Customer Experience Journey, Postpaid Customer Experience Journey</t>
  </si>
  <si>
    <t>INC16178120</t>
  </si>
  <si>
    <t>CROs at NovaTel Store were unable to access Service Portal via NovaWorks intermittently.</t>
  </si>
  <si>
    <t>In this issue, a change (CHG0200171) was deployed to make Service Portal available at both N1 and N2 DCs, . Further, it was discovered that the traffic for the affected stores was not being routed through a proxy server. The issue was fixed by routing this traffic through the proxy, which immediately resolved the problem. Moreover, this is scheduled to be permanently implemented at all NovaTel Stores by the Store Local IT and AD team.</t>
  </si>
  <si>
    <t>Success dip of SR creation via store (D vs D-7): (1370 vs 454) is no dip.</t>
  </si>
  <si>
    <t>CHG0200171</t>
  </si>
  <si>
    <t>INC16178705</t>
  </si>
  <si>
    <t>Mobility network related alerts via Ericsson were impacted for Remedy.</t>
  </si>
  <si>
    <t>In this issue, It was identified that monitoring data was not being received for Postpaid and Prepaid network services from the Ericsson end on Gloo due to a connectivity issue. As a result, alerts were not getting triggered for Field Engineers to take corrective actions. Initially, Ericsson was receiving 503 errors while establishing the connection with Gloo server. However, the connectivity was restored automatically without any technical intervention, post which normal data flow resumed and issue got resolved.</t>
  </si>
  <si>
    <t>INC16177574,Alert101394185</t>
  </si>
  <si>
    <t>Symptom
1)Ericsson_HPD_Inbound_No_Response_Er severity | Sev-3
Alert time:2025-10-08 05:41Hrs(fluctuating)
Event NO:Alert101394185,INC16177574</t>
  </si>
  <si>
    <t>Approx. 10-15k tickets were open.</t>
  </si>
  <si>
    <t>INC16179492</t>
  </si>
  <si>
    <t>HB_Billing Reports were impacted for FXCU18.</t>
  </si>
  <si>
    <t xml:space="preserve">In this issue, DARTS team reported failure to receive HB_Billing report data. Subsequent investigation by ESB team confirmed that the bind count was established but the data was not publishing, and DB team verified that Golden Gate was correctly synchronized with DB. However, DB team proactively took refresh of the Golden Gate services. Meanwhile, data started being successfully received by DARTS, thereby resolving the issue. </t>
  </si>
  <si>
    <t>INC16174692,INC16174697, INC16174698,INC16174708</t>
  </si>
  <si>
    <t>Symptom
1) fx6_compiled_lineofcode_alert
Current Value : 1.0
TYPE : cu18
Alert time:2025-10-07 23:10Hrs (fluctuating)
Event NO:INC16174692,INC16174697, INC16174698,INC16174708</t>
  </si>
  <si>
    <t>56 entries in table 'Service_Status'.</t>
  </si>
  <si>
    <t>DTH Recharge Journey</t>
  </si>
  <si>
    <t>DTH_LAPU</t>
  </si>
  <si>
    <t>INC16180823</t>
  </si>
  <si>
    <t>Partial failures for DTH recharges were observed at NFB-BBPS end.</t>
  </si>
  <si>
    <t>In this issue, It was identified that recharges initiated through third-party applications (G-Pay, P-Pay) were getting stuck in a pending state, despite the amount being deducted from the customer’s end. Upon analysis, the issue was traced to one affected node in NFB-BBPS system. NFB-BBPS team isolated the impacted node, after which the transactions started processing successfully and issue got resolved.</t>
  </si>
  <si>
    <t>Failed transaction: 4379 out of total transaction- 631308. (Approx. 1%).</t>
  </si>
  <si>
    <t>In this issue, eCAF was getting bad request error from downstream One_NMS end, due to which customers were unable to reserve number from One_NMS inventory intermittently, further impacting Prepaid acquisition. Moreover, One_NMS team confirmed that PODs were unable to process requests normally due to high Aerospike memory and took a POD refresh at their end, post which issue stands resolved</t>
  </si>
  <si>
    <t>INC16177276
INC16176903
TG Alert
INC16177235
INC16177812</t>
  </si>
  <si>
    <t>Direct
1) Custom service
[nms-api] - Aerospike Service
40.6 requests/min impacted
by a failure rate increase to 99 %
Alert time:2025-10-08 04:31 Hrs
Event NO:INC16177276
2) Kubernetes workload
sim-search-process
Deployment is stuck and therefore is no longer progressing.
Source: Kubernetes anomaly detection
Alert time:2025-10-08 04:26 Hrs
Event NO:INC16176903
2)Kubernetes workload
krakend
High CPU throttling
The CPU throttling to limits ratio exceeds the specified threshold of '50%'.
Alert time:2025-10-08 11:50 Hrs
Event NO:TG Alert
Symptom
1) ONENMS OCP-N2 POD MONITORING
Current Value : 1.0
pod : sim-search-process-dfb5687c8-xns2q
Alert time:2025-10-08 04:22Hrs
Event NO:INC16177235
2)ESB_Failure_Percent_Process_wise severity
NumberInventoryManagement_V1_4.searchPreBookedNumber
Alert time:2025-10-08 06:42Hrs</t>
  </si>
  <si>
    <t>Prepaid Success Dip (D vs D-7): (21899 vs 23121:1222) is 5%</t>
  </si>
  <si>
    <t>INC16180141</t>
  </si>
  <si>
    <t>FTA MNP reports were impacted for NESA circle.</t>
  </si>
  <si>
    <t>In this issue, DARTS team confirmed that the L3_status column was showing as NULL for the sample MSISDN in the (edw_mob.ecaf_orin_txn) table, due to which FTA MNP reports were impacted for the NESA circles. Moreover, Jupiter team confirmed that for these sample numbers, the orders were cancelled as part of their standard procedure.
Further, Jupiter team will share the logs via email to further analyze the issue and for business reference.</t>
  </si>
  <si>
    <t>1 FTA MNP report were impacted.</t>
  </si>
  <si>
    <t>INC16185786</t>
  </si>
  <si>
    <t>CC Advisors were unable to access Service Portal intermittently.</t>
  </si>
  <si>
    <t>In this issue, CC advisors were unable to login in Service Portal leading to an impact in raising SRs for customers. However during troubleshooting, CC advisors were able to login normally without any technical intervention, post which issue stands resolved.</t>
  </si>
  <si>
    <t>Intermittent Login was impacted in IE Noida Center.</t>
  </si>
  <si>
    <t>This issue resurfaced again where CC advisors were unable to login in Service Portal again leading to an impact in raising SRs for customers. However during troubleshooting, CC advisors were able to login normally without any technical intervention, post which issue stands resolved.</t>
  </si>
  <si>
    <t>Intermittent Login was impacted in IE noida Center.</t>
  </si>
  <si>
    <t>Black Customer Experience Journey (Call Center)</t>
  </si>
  <si>
    <t>INC16183691</t>
  </si>
  <si>
    <t xml:space="preserve">CC advisors are unable to visible bills for Black LOB.  </t>
  </si>
  <si>
    <t>In this issue, Service Portal was facing errors from the Selfcare end due to which CC advisors were unable to fetch bills for Homes customers. On further investigation, it was identified that the Selfcare team was receiving errors from the Homes end because of a sudden spike observed there. The spike automatically settled after some time, and the issue got resolved without any manual intervention.</t>
  </si>
  <si>
    <t>P1
P1
P3
P2
P2</t>
  </si>
  <si>
    <t>INC16183330
INC16183359,INC16183359,Alert101445013
INC16183433
INC16183437,INC16183454 
INC16183499,INC16183500</t>
  </si>
  <si>
    <t>1)OneNova-Digital Customer Experience Journey-Homes-OverallAvgResponseTime_ResponseTime is greater than 200ms_Sev-1
Average Response Time (ms)value-267.00
Alert time: 2025-10-08 17:40
Event NO:INC16183330
2)postpaid service Bill Widget Failure
Host Name : Services Journey - Thanks App
Current Value : 14.29
Alert time: 2025-10-08 17:42
Event NO:  INC16183359,INC16183359,Alert101445013
3)Web service
[channels-billing] - BillsController
Failure rate increase
129k requests/min impacted
by a failure rate increase to 43 %
Service method: All methods affected
Alert time: 2025-10-08 17:50
Event NO: INC16183433
4)Multiple sp_guardian_card_failure
URL : /guardian/api/v1/user/custom/manage/reviewBundle/v1
Current Value : 465
Alert time:  2025-10-08 17:51
Event NO: INC16183437,INC16183454 
5)Multiple Channel-Backend-Alerts-NovaTel_selfcareV1
API : /pay/fetch-bill/NovaTelBLACK
Current Value : 83
Alert time: 2025-10-08 17:58
Event NO: INC16183499,INC16183500</t>
  </si>
  <si>
    <t>2025-10-08 17:40:20
2025-10-08 17:42:37
2025-10-08 17:48:42
2025-10-08 17:51:35
2025-10-08 17:58:40</t>
  </si>
  <si>
    <t>2025-10-08 17:50:20
2025-10-08 17:57:58
2025-10-08 18:39:03
2025-10-08 18:10:53
2025-10-08 18:12:02</t>
  </si>
  <si>
    <t>Service Portal: (D vs D-3:6229 vs 6535) dip of 306 Hit.</t>
  </si>
  <si>
    <t>The issue resurfaced wherein, DARTS team reported failure to receive HB_Billing report data as data was not present on solace queue(jms/hummingbird/TelemediaFXGGDartsQ_10.14.109.220_FXCU18). Further, ESB team confirmed that the bind count was established but the data was not getting published(In this case publisher is Golden Gate), and DB team verified that Golden Gate was correctly synchronized with DB. However, DB team took refresh of the Golden Gate services, following which darts team took service refresh, post which data started coming in the queue and issue got resolved.</t>
  </si>
  <si>
    <t>INC16192113</t>
  </si>
  <si>
    <t>CC advisors were unable to see customers data usage for Broadband.</t>
  </si>
  <si>
    <t>In this issue, Service portal team confirmed that they were getting 42% failure for "getDsl Data usage" API from iFactory end due to which CC advisors were not able to fetch Broadband usage details. iFactory team identified some long running queries which got executed automatically, post which failure rate reduced and issue got resolved.</t>
  </si>
  <si>
    <t>INC16189899 , INC16189918</t>
  </si>
  <si>
    <t>Symptom:  
1)sp_guardian_card_failure_percent||High Failure in last 30M Total Count : 1229  Failure Count : 568 Failure % : 46.22 
Current Value : 1229
API: /guardian/api/v1/user/custom/NETWORK_USAGE_HISTORY_DAILY
/guardian/api/v1/user/custom/DATA_CONSUMPTION_GRAPH_DAILY
Alert time: 2025-10-09 11:30
Event NO:INC16189899 , INC16189918</t>
  </si>
  <si>
    <t>Service Portal success dip: (D VS D-3: 6609 vs 7590) is dip of 981 hits.</t>
  </si>
  <si>
    <t xml:space="preserve"> INC16195189</t>
  </si>
  <si>
    <t xml:space="preserve">CC advisors were unable to login in Service Portal for few Black Customer IDs. </t>
  </si>
  <si>
    <t>In this issue, CC advisors were getting "System in maintenance, Try after 4hrs" error, while login for Black Customer IDs. Upon investigation, it was confirmed that this was due to one migration activity (CHG0201311) at Optimus end in which black customer data was getting migrated to other DB. Hence, 4hrs TAT (Till 2AM) is provided to the advisors for such cases.</t>
  </si>
  <si>
    <t>Symptom:
1) Multiple Service_portal DT alerts 
Web request service Failure rate increase
[sp-dumbledore] - sp-dumbledore-canary-
[sp-mt-dt-postpaid] - MultiTenantApplication (/multi-tenant)
[sp-mt-dt-prepaid] - MultiTenantApplication (/multi-tenant)
[sp-mt-dt-default] - MultiTenantApplication (/multi-tenant)
Alert time: 2025-10-09 22:08 hrs.
Even no: TG alert</t>
  </si>
  <si>
    <t>2025-10-09 22:08 hrs.</t>
  </si>
  <si>
    <t>2025-10-09 22:12 hrs.</t>
  </si>
  <si>
    <t>Service Portal login was impacted for few users.</t>
  </si>
  <si>
    <t>INC16196138</t>
  </si>
  <si>
    <t>CAP process was impacted for multiple CU’s due to which Rating process(CDRs) are impacted.</t>
  </si>
  <si>
    <t>In this issue, it was identified that the PAN India Rating Process (CDRs) and IR Exposure for multiple CUs(35+) were impacted as the CAP process was getting terminated. Issue was analyzed by the Application, DBA, Amdocs DBA, and Project teams and it was identified that post-activity (CHG0201425 – HOMES BUNDLE MIGRATION), application encountered an Oracle error (ORA-01455) due to account numbers containing values larger than the fixed precision. To mitigate the issue, the team isolated the affected account numbers, post which the rating processes resumed successfully. The system is stable, and services are functioning as expected. The team will continue to keep this under close monitoring.</t>
  </si>
  <si>
    <t>PAN India Rating/ IR exposure impacted.</t>
  </si>
  <si>
    <t xml:space="preserve">CHG0201425 </t>
  </si>
  <si>
    <t>INC16200576</t>
  </si>
  <si>
    <t>CC Advisors were unable to view SR details after raising.</t>
  </si>
  <si>
    <t xml:space="preserve"> In this issue, it was identified that Case team was experiencing high response time (RT) on the Listing API, resulting in SR details not being visible to CC advisors on the Service Portal. This issue occurred due to an incomplete indexing partitioning activity on the Case DB during a recent change(CHG0201650). As a corrective action, 15 indexes were rebuilt in partition mode for the Case DB, post which issue got resolved.</t>
  </si>
  <si>
    <t>P2
P3
P3
P3
P3</t>
  </si>
  <si>
    <t>INC16197358, INC16197433
INC16196540
TG Alert
INC16197455
INC16197663, INC16197703</t>
  </si>
  <si>
    <t>Symptom:
1) CPU Utilization is 81.085%, crossed warning (80) or critical (95) threshold
Alert Start Time: 10/10/2025 06:33 Hrs
Event No: INC16197358, INC16197433
2) srlisting||Unable to serve your request
Alert Start Time: 10/10/2025 02:45 Hrs
Event No: INC16196540
3) Status Code[0] Count Greater than [1000] in Last 10 Minutes
Host Name : StatusCode_Gloo_API_Informational_CS
AUTHORITY : casemgmt.india.novatel.internal
Alert Start Time: 10/10/2025 06:32 Hrs
Event No: TG Alert
4)Multiple Failure rate increase and Response time degradation on Web request services
a) [sp-mt-dt-prepaid] - Response time degradation 77 requests/min impacted
b) CaseMGMT on port 443 Failure rate increase 2.89k requests/min impacted
Alert Start Time: 10/10/2025 06:56 Hrs
Event NO: INC16197455
5) Status Code[503] Count Greater than [500] in Last 10 Minutes||
Host Name : 5XX_StatusCode_Gloo_API_CS
AUTHORITY : casemgmt.india.novatel.internal
Alert Start Time: 10/10/2025 07:41 Hrs
Event No: INC16197663, INC16197703</t>
  </si>
  <si>
    <t>10/10/2025 6:33
10/10/2025 2:45
10/10/2025 6:32
10/10/2025 6:55
10/10/2025 7:41</t>
  </si>
  <si>
    <t>Open
10/10/2025 3:45
10/10/2025 9:13
10/10/2025 7:10
10/10/2025 8:11</t>
  </si>
  <si>
    <t>Service Portal success dip: (D VS D-3: 566230 vs 317409) is dip of 43%.</t>
  </si>
  <si>
    <t>CHG0201650</t>
  </si>
  <si>
    <t>Black customers were receiving incorrect SMS for BC1 bill cycle.</t>
  </si>
  <si>
    <t>In this issue, it was identified that Black customers were receiving incorrect SMS notifications for the BC1 bill cycle. As an immediate mitigation, the KCI process was stopped at 10:10 Hrs to prevent further sending incorrect bill information. Subsequently, the impact was contained. As of now concerned teams are fetching the list of impacted account base and are in the process of notifying customers to ignore the incorrect messages. Additionally, internal teams are working to identify and resolve the underlying root cause to fix this issue.</t>
  </si>
  <si>
    <t>INC16198189, INC16198278, INC16198635
INC16198696, INC16198695</t>
  </si>
  <si>
    <t>Symptom:
1) Status Code[501] Count Greater than [500] in Last 10 Minutes
Host Name : 5XX_StatusCode_Gloo_API_CS
AUTHORITY : bsl-prod.india.novatel.internal
Alert Start Time: 10/10/2025 09:31 Hrs (Fluctuating)
Event No: INC16198189, INC16198278, INC16198635
2) DCAP-OCP-4-SourceWise_FailedHitsAlert_last_home_fail
Name : Homes Payment Posting Failure
Alert Start Time: 10/10/2025 10:54 Hrs
Event No:INC16198696, INC16198695</t>
  </si>
  <si>
    <t>10/10/2025 9:32
10/10/2025 10:54</t>
  </si>
  <si>
    <t>2025-10-10 09:42
10/10/2025 11:24</t>
  </si>
  <si>
    <t>90k bills Impacted.</t>
  </si>
  <si>
    <t>Prepaid Customer Retail Acquisition Journey, Postpaid New Customer Acquisition Journey, Postpaid New Customer Acquisition-MNP Journey, Prepaid New Customer Acquisition-MNP Journey</t>
  </si>
  <si>
    <t>INC16200199</t>
  </si>
  <si>
    <t>Prepaid/Postpaid acquisition and MNP was impacted intermittently.</t>
  </si>
  <si>
    <t xml:space="preserve"> In this issue, it was identified that eCAF was experiencing timeouts from their own API while sending requests to Blink's API, which impacted Prepaid, Postpaid acquisition and MNP intermittently. Although the occurrence rate was minimal (approximately 0.3% of the total requests), eCAF team has increased their API response timeout threshold from 10 ms to 1000 ms. As of now, the issue stands resolved.</t>
  </si>
  <si>
    <t>Alert101616826</t>
  </si>
  <si>
    <t>Symptom:
1)High rate of 400 in service ECAF NGINX|
service_endpoint : /ecaf-postpaid/ecafPostpaid/pincode/details/v2
Alert Start Time: 10/10/2025 13:02 Hrs(Fluctuating)
Event No:Alert101616826</t>
  </si>
  <si>
    <t>100 out of 32000 requests failed(~0.3%)</t>
  </si>
  <si>
    <t>INC16226053</t>
  </si>
  <si>
    <t>In this issue, B2B orders were stuck in a queue as slowness was being observed while processing the orders in UIM application. Upon investigation, DBA team identified some blocking sessions caused by one update query, however, post killing those sessions, some improvement was observed but slowness was still there in the system. Later, Product team suggested application team to take clean restart post which, system is running up and is under close monitoring.</t>
  </si>
  <si>
    <t xml:space="preserve"> INC16201690 ,INC16202466, INC16203065, INC16203379
</t>
  </si>
  <si>
    <t xml:space="preserve">Direct:
1)Multiple Session UIMPRD1-4030 blocking 3 other sessions for all instances - N4VL-PD-UIMSI01.india.novatel.internal
Alert time - 2025-10-10 18:01:04
Event No - INC16201690 ,INC16202466, INC16203065, INC16203379
</t>
  </si>
  <si>
    <t>118 Orders</t>
  </si>
  <si>
    <t>INC16209344</t>
  </si>
  <si>
    <t>In this issue, Nokia_OSS team confirmed that Altiplano connectivity was broken, due to which Broadband installation orders were impacted. Further, NMS team identified that two pods were crashing each other and encountering a loopback-off error. To resolve the issue, Altiplano_NMS team restarted the AC (Access Controller) pods, after which the issue was resolved.</t>
  </si>
  <si>
    <t>INC16208534, INC16208533</t>
  </si>
  <si>
    <t>Symptoms:
1)Multiple NovaTel_Works alerts for Broad Band Journey
Current Value : 154
COMPONENT : ordercount_mop_ftth_task1
Alert time : 2025.10.11 15:11hrs
Event no :INC16208534, INC16208533</t>
  </si>
  <si>
    <t>Tag change (FTTH + MOP) - 361 orders were stuck.</t>
  </si>
  <si>
    <t>Prepaid Online Recharge Journey, Prepaid Retail Recharge Journey, Nova App Experience Journey</t>
  </si>
  <si>
    <t>LAPU_MT, LAPU_GT, Mitra, Nova App</t>
  </si>
  <si>
    <t>INC16218050</t>
  </si>
  <si>
    <t xml:space="preserve">Online and Retail recharges was impacted for KK Circle   </t>
  </si>
  <si>
    <t>In this issue, LAPU team was observing multiple fluctuations on their application. On further investigation, it was identified that these errors were coming from the IN end. IN team further confirmed that there is an ongoing centralize migration activity for KK circle, and during the traffic bypass, they observed some blocking at their end which caused high response time for LAPU application. As an immediate action, the ongoing activity has been stopped and will be rescheduled during lean hours. Currently, the failures have settled down and services are working fine.</t>
  </si>
  <si>
    <t>TG Alert
P3
P3
P3
TG Alert</t>
  </si>
  <si>
    <t>TG Alert
INC16217788,INC16217792,INC16217794
Alert101841330,INC16217804,INC16217839  
INC16217770,INC16217775,INC16217776
TG Alert</t>
  </si>
  <si>
    <t xml:space="preserve">Direct:
1Multiple High count LapuMT_1002_responsecode
SERVER : 10.241.177.22
SERVER : 10.222.197.211
SERVER : 10.241.177.28
SERVER : 10.222.197.217
SERVER : 10.222.197.219
SERVER : 10.222.197.222
SERVER : 10.222.197.220
SERVER : 10.241.177.21
SERVER : 10.241.177.23
SERVER : 10.222.197.213
SERVER : 10.222.197.216
Alert time :2025-10-12 20:30 Hrs.
Event no:INC16217788,INC16217792,INC16217794
Symptoms:
1)Lapu MT Transaction Failure||for Circle KK 
Host Name : Lapu MT Circlewise Failure Transaction_v1
Current Value : 167.0
Alert time: 2025-10-12 20:06 Hrs.
Event no:TG Alert
2)Multiple Mitra_connection_offline_High_trends
CIRCLE : KK,WB
Alert time :2025-10-12 20:10 Hrs.
Event no:Alert101841330,INC16217804,INC16217839  
3)Multiple service landing telco services list- Widget Failure
Host Name:Services Journey - Thanks App
Alert time :2025-10-12 20:27 Hrs.
Event no:INC16217770,INC16217775,INC16217776
4)multiple CONNECTION OFFLINE ALERT
Server: HUB3_N2_192 (10.5.35.192)
Server: HUB3_N2_194 (10.5.35.194)
Server: HUB3_N2_30 (10.241.177.30)
Server: HUB3_N2_193 (10.5.35.193)
Server: HUB3_N2_195 (10.5.35.195)
Server: HUB3_N1_215 (10.222.197.215)
Alert time : 2025-10-12 20:26 Hrs.
Event no:TG Alert
</t>
  </si>
  <si>
    <t>2025-10-12 20:06:00
2025-10-12 20:30:06
2025-10-12 20:10:09
2025-10-12 20:27:03
2025-10-12 20:27:03
2025-10-12 20:26:00</t>
  </si>
  <si>
    <t>2025-10-12 20:14:00
2025-10-12 20:50:06
2025-10-12 20:15:09
2025-10-12 20:57:03
open</t>
  </si>
  <si>
    <t>LAPU_MT: 1139 recharges was impacted
LAPU_GT: 620 recharges was impacted.
MITRA Success dip: 147(D vs D-7:6920 vs 7067) is 2% dip.</t>
  </si>
  <si>
    <t>Prepaid Customer Experience Journey (Call Center), Nova App Experience Journey</t>
  </si>
  <si>
    <t>Service Portal, Selfcare_B2C, Nova App, Mediation_IL</t>
  </si>
  <si>
    <t>INC16219972</t>
  </si>
  <si>
    <t xml:space="preserve">Plan and Data usage details of Prepaid customers were not visible in Service Portal and Nova App. </t>
  </si>
  <si>
    <t>In this issue, Selfcare_B2C was observing failures from Mediation_IL end. Upon investigation, it was identified that due to an activity for KK circle at IN (NSG) end, mediation team was observing time out errors leading to high load over the server. To mitigate this, Mediation_IL team stopped the traffic for AP and KK circle, post which load came back to normal and the issue got resolved.</t>
  </si>
  <si>
    <t>Digital Experience B2C, Prepaid</t>
  </si>
  <si>
    <t>P3
P2
P1
P2</t>
  </si>
  <si>
    <t>INC16218878,INC16218886,INC16218887
INC16218823,INC16218832,INC16218840
INC16218842, INC16218872,INC16218939
INC16218845,INC16218953</t>
  </si>
  <si>
    <t>Direct:
1)Multiple Telnet Connectivity Issue for 10.5.xxx.xx/10.92.xxx.xx/10.241.xxx.xx
Alert Start Time: 13/10/2025 23:36 Hrs
Event NO:INC16218878,INC16218886,INC16218887
Symptom:
1)Multiple Service portal alert
a)SP_MT_RULE_FAILURE
RULE_NAME : COMPTEL - 2G_3G_4G_Status
RULE_NAME : COMPTEL MAIN/VOICE DA BALANCE
RULE_NAME : Chatbot_Available_Balance
RULE_NAME : BOT_ACTIVE_PLAN_DETAIL
b)sp_multitenant_api_failure|Current Value : 7435.0
URL : https://mediation-gloo.novatel.example/ilws/InstantLinkSOA
Alert Start Time: 13/10/2025 23:29 Hrs
Event NO:INC16218823,INC16218832,INC16218840
2)Multiple Services Journey - Thanks App
a)Page Name : Loan Details
b)Page Name : Manage Home Page
c)Page Name : Service Landing
Alert Start Time: 13/10/2025 23:27 Hrs
Event NO:INC16218842, INC16218872,INC16218939
3)Channel-Backend-Alerts-cx-Plan|Current Value : 73.39
Alert Start Time: 13/10/2025 23:28 Hrs
Event NO:INC16218845,INC16218953</t>
  </si>
  <si>
    <t>2025-10-12 23:36
2025-10-12 23:23
2025-10-12 23:27
2025-10-12 23:28</t>
  </si>
  <si>
    <t xml:space="preserve">2025-10-13 03:27
2025-10-12 23:40
2025-10-12 23:47
2025-10-12 23:48
</t>
  </si>
  <si>
    <t>Service Portal Success Hits Dip: No dip (D vs D-7: 14213 vs 9185)</t>
  </si>
  <si>
    <t>INC16223225</t>
  </si>
  <si>
    <t>Users were unable to fetch SR details for B2B customers.</t>
  </si>
  <si>
    <t>In this issue, ATB team reported that they were receiving timeout while fetching SR details from Case API. To resolve this, Case team performed service refresh of fetch API at their end, post which improvement was observed. Further, ATB team will increase timeout at their end from 10 sec to 15 sec and keep the system under monitoring. As of now, issue sands resolved.</t>
  </si>
  <si>
    <t>INC16221777</t>
  </si>
  <si>
    <t>Symptom:
1)atb_selfcare ISSUE STARTED||B2B-MNTN
API:ADAPTER_CASE_MANAGEMENT_FETCH_SR_LIST_V3_API
Alert time - 2025-10-10 09:30 Hrs
Event No - INC16221777</t>
  </si>
  <si>
    <t>234 request failed out of 290 hits. (90% Failure)</t>
  </si>
  <si>
    <t>INC16232475</t>
  </si>
  <si>
    <t>Black acquisition was Impacted.</t>
  </si>
  <si>
    <t>In this issue, users experienced 'no connections added' error leading to an impact in Black acquisition. Further, this was traced to an increase in error percentage on ManageBundleController service in cart. To resolve this, eCAF team took a service refresh of ManageBundleController service followed by cart refresh at their end, post which issue stands resolved.</t>
  </si>
  <si>
    <t>INC16230282,INC16229998, Alert101986008
INC16229997</t>
  </si>
  <si>
    <t>Symptom
1)Web request service
ecaf- CAF Phase2- 10.241.152.36/37:9443
Failure rate increase
12.8 requests/min impacted
by a failure rate increase to 100 %
Alert time:2025-10-14 07:40 Hrs
Event NO:INC16230282,INC16229998, Alert101986008
2)Web service
[cart-service] - ManageBundleController
Failure rate increase
22.4 requests/min impacted
by a failure rate increase to 100 %
Alert time:2025-10-14 07:41 Hrs
Event NO:INC16229997</t>
  </si>
  <si>
    <t>10/14/2025 07:41
10/14/2025 08:43</t>
  </si>
  <si>
    <t>10/14/2025 09:21
10/14/2025  09:18</t>
  </si>
  <si>
    <t>Success Dip (D vs D-7: 686 vs 510) is no dip.</t>
  </si>
  <si>
    <t>INC16232669</t>
  </si>
  <si>
    <t>In this issue, broadband installation and activation orders on AW were getting stuck due to a connectivity issue with Altiplano. On further investigation, it was found that controller pods at the NSG end had restarted automatically because of bulk command execution. To fix the issue, the NSG team performed a controller restart, after which the connectivity was restored and the issue got resolved.</t>
  </si>
  <si>
    <t>INC16232268,INC16232262</t>
  </si>
  <si>
    <t>Symptom:
1) Task 2 not received for FTTH broadband orders
Host Name : NovaTel_Works alerts for Broad Band Journey
Current Value : 166.0
Alert Time:2025-10-14 13:11 Hrs.
Event NO:INC16232268,INC16232262</t>
  </si>
  <si>
    <t>Tag change (FTTH + MOP) - 301 orders were stuck.</t>
  </si>
  <si>
    <t>INC16239765</t>
  </si>
  <si>
    <t>New black customers were unable to fetch bill details from Nova App.</t>
  </si>
  <si>
    <t>In this issue, NovaTel app was observing failures on https://bsl-prod.india.NovaTel.itm/v2/customerBill API due to which Users are not able to fetch bills of Black. Upon investigation, it was identified  that the issue triggered as there were repeated requests by user for this API, due to which all the requests beyond the throughput were getting failed. Although these repeated requests got settled gradually with no action taken on any end.</t>
  </si>
  <si>
    <t>INC16233558
INC16233789</t>
  </si>
  <si>
    <t>1)Channel-Backend-Alerts-cx-billing | 5XX | API - /bills | Failure Perc : 4.435 % || Failure count : 4.435
Alert time - 2025.10.14 15:48Hrs
Event No - INC16233558
2) 5XX | API - /bills/insights/v2 | Failure Perc : 4.094 % || Failure count : 4.094
Alert time - 2025.10.14 16:14Hrs
Event No - INC16233789</t>
  </si>
  <si>
    <t>2025-10-14 13:48
2025-10-14 16:14</t>
  </si>
  <si>
    <t>2025-10-14 16:15
2025-10-14 16:36</t>
  </si>
  <si>
    <t>Failure Hits: (D vs D-5: 34753 vs 6) 34747 Hits</t>
  </si>
  <si>
    <t>Black Acquisition Journey, Black Customer Experience Journey</t>
  </si>
  <si>
    <t>eCAF, DCAP, Nova App, Service Portal</t>
  </si>
  <si>
    <t>INC16243003</t>
  </si>
  <si>
    <t>Black Payment posting in DCAP,  bill view for black in Service Portal and Nova App along with that black acquisition was  impacted.</t>
  </si>
  <si>
    <t xml:space="preserve">In this issue, Multiple black services got impacted as issue was observed at 2 servers of Homes CRM. During the troubleshooting, it was confirmed that Homes CRM disk got chocked for these impacted servers. To resolve the issue, OneNova team took service refresh post which issue got resolved. </t>
  </si>
  <si>
    <t>Digital Experience B2C, Digital Acquisition, Postpaid</t>
  </si>
  <si>
    <t>P3
P1
P2
P2
P3
P2</t>
  </si>
  <si>
    <t>INC16178487, INC16187399
INC16242508, INC16242532
INC16242593, INC16242673, INC16242672
INC16242623,INC16242550
INC16242619, INC16242614
INC16242628, INC16242632</t>
  </si>
  <si>
    <t>Direct: 
1) Global OS Mount Point "/" Utilization is &gt;90 % 
Node- N2VL-PA-AHO09, N2VL-PA-AHO10
Alert Start Time: 08/10/2025 08:51 Hrs
Event NO: INC16178487, INC16187399
Symptom:
1) Multiple Alert homes_order_manager and payment manager
IP - 10.5.78.XXX/10.241.XXX.XXX/10.222.XXX.XX/ 10.223.XXX.XX
Alert Start Time: 15/10/2025 14:27 Hrs
Event NO: INC16242508, INC16242532
2) Multiple Channel Backend alert on cx_Plan/ cx_billing/ cx_user
API : /bundling/v2/simulation/ bundling/v2/review
API : /bills/insights/v2,  /bills, /v1/account/details
API : /cx/user-management/v1/user/details
Alert Start Time: 15/10/2025 14:28 Hrs
Event NO: INC16242593, INC16242673, INC16242672
3) Multiple Service Portal Alerts
URL : http://internal-kong.india.novatel.internal/cx/billing/bills
/guardian/api/v1/user/custom/manage/reviewBundle/v1, /manageBundleV1
/guardian/api/v1/user/getScenarioBefeCardData/BLACK_BILL_COMPARE_TABLE
http://internalapi-gateway.india.novatel.internal:8080/payment-manager/homes/payment/outstanding/fetch
RULE_NAME : Black-LatestBillAvailable/ Homes outstanding
Alert Start Time: 15/10/2025 14:33 Hrs
Event NO: INC16242623,INC16242550
4) Multiple  Bill Widget and Full Page Error Percent Alert
Page Name : dth service thanks, postpaid service thanks, safe custody thanks
Alert Start Time: 15/10/2025 14:42 Hrs
Event NO: INC16242619, INC16242614
5) Host Name : DCAP OCP 4 MetricWise Failed Hits ALERT
Alert Start Time: 15/10/2025 14:44 Hrs
Event NO: INC16242628, INC16242632</t>
  </si>
  <si>
    <t>2025-10-08 08:51
2025-10-15 14:28
2025-10-15 14:40
2025-10-15 14:44
2025-10-15 14:57
2025-10-15 14:44</t>
  </si>
  <si>
    <t>2025-10-15 09:05
2025-10-15 14:59
2025-10-15 15:00
2025-10-15 14:54
2025-10-15 15:01
2025-10-15 15:04</t>
  </si>
  <si>
    <t>DCAP: Payment posting for black impacted- 102 Black Acquisition: No Dip (D: 237 Vs D-7: 173)</t>
  </si>
  <si>
    <t>INC16244734</t>
  </si>
  <si>
    <t xml:space="preserve"> Postpaid and Broadband SMS delivery (Instant and Non Instant KCI) was impacted.</t>
  </si>
  <si>
    <t xml:space="preserve"> In this issue, KCI team was not receiving any response from CLM. On further analysis by the ESB team, it was identified that the CLM was not aligned with the respective queue(CLMNrtReqSolLogQ). To resolve the issue, ESB team performed a queue flush for the specific queue, after which the bind count was successfully established and the issue was resolved.</t>
  </si>
  <si>
    <t>INC16244060
INC16244088</t>
  </si>
  <si>
    <t>Symptom:
1)Darts_solace_queue_alerts
QUEUE : CLMNrtReqBilSolValSuccQ
Alert Start Time: 15/10/2025 17:32 Hrs
Event NO:INC16244060
2) instant SMS Check FX6_Cu1|Current  Value :279 
Alert Start Time: 15/10/2025 17:36 Hrs
Event NO:INC16244088</t>
  </si>
  <si>
    <t>10/15/2025 17:32
10/15/2025 17:36</t>
  </si>
  <si>
    <t>Open
10/15/2025 18:26</t>
  </si>
  <si>
    <t>Instant KCI : 8k pendency</t>
  </si>
  <si>
    <t>INC16274612</t>
  </si>
  <si>
    <t>Call back SMS was impacted for SBI.</t>
  </si>
  <si>
    <t xml:space="preserve"> In this issue, it was identified that SBI IP got blocked due to DDoS (against one signature parameter) which impacted SMS call back requests for SBI in Nova IQ_SMS. 
However, once the traffic was unblocked by Firewall team, issue got resolved.</t>
  </si>
  <si>
    <t>INC16256694</t>
  </si>
  <si>
    <t>Symptom:
1) IQCallbackurlsErroralerts severity
REQUESTURL:https://asia-south1-no-broker.cloudfunctions.net/cc-s2s/artl/userResponse
Alert Start Time: 16/10/2025 21:50 Hrs
Event NO:INC16256694</t>
  </si>
  <si>
    <t>100% call back requests got failed for SBI.</t>
  </si>
  <si>
    <t>NFB-Micro-ATM</t>
  </si>
  <si>
    <t>INC0597601</t>
  </si>
  <si>
    <t xml:space="preserve">Transaction were getting impacted as Getting error "Unable to acquire JDBC Connection". </t>
  </si>
  <si>
    <t xml:space="preserve"> In this issue, HashiCorp Vault was unable to rotate the password for both DB users (MATM &amp; MATMRETRY) as Vault user was locked. The NFB-Middleware team, in coordination with the NFB-DBA team, deleted the existing DB users and re-created to replace the locked ones. Further application team restarted the services on (10.241.254.154/155/156), post improvement started and issue got resolved.</t>
  </si>
  <si>
    <t>Success transaction dip (D vs D-1 : 0 vs 2478 : 100% Impact)</t>
  </si>
  <si>
    <t>Prepaid Online Recharge Journey, Prepaid Retail Recharge Journey, Prepaid Customer Experience Journey (Activation/Install)</t>
  </si>
  <si>
    <t>LAPU_MT, LAPU_GT, Mediation_IL</t>
  </si>
  <si>
    <t>INC16266557</t>
  </si>
  <si>
    <t>Online and Retail recharges were impacted for Maharashtra Circle.</t>
  </si>
  <si>
    <t>In this issue, LAPU team encountered errors originating from IN system on AIR IP (10.55.188.24), which impacted both online and retail recharges. To mitigate the issue, NSG team advised the LAPU team to block the node MHESAIR02 IP (10.55.188.24). Following this action, the issue was resolved, and services were restored to normal.</t>
  </si>
  <si>
    <t>Alert102271287 ,Alert102271285
TG Alert
INC16266009,Alert102276652 
TG Alert</t>
  </si>
  <si>
    <t>Direct:
1)Multiple LapuGT_1002_responsecode
ERICSSON_PROCESS : i-in-ericssonucip_3
Alert Start Time: 16/10/2025 17:37 Hrs
Event NO:Alert102271287 ,Alert102271285
2)LapuGT_UCIP-Error_v1|Current Value : 144
Alert Start Time: 16/10/2025 20:44 Hrs 
Event NO:TG Alert
Symptom:
1)Mitra_connection_offline_trends
CIRCLE : MH/KK
Alert Start Time: 16/10/2025 20:40 Hrs (Fluctuating)
Event NO:INC16266009,Alert102276652 
2)Lapu MT Circlewise Failure Transaction_v1
CIRCLENAME : MAH
Alert Start Time: 16/10/2025 20:42 Hrs 
Event NO:TG Alert</t>
  </si>
  <si>
    <t>10/17/2025 17:37
10/17/2025 20:44
10/17/2025 20:40
10/17/2025 20:42</t>
  </si>
  <si>
    <t>10/17/2025 17:42
10/17/2025 20:49
10/17/2025 20:55
Open</t>
  </si>
  <si>
    <t>LAPU_MT: 950 recharges was impacted
LAPU_GT: 658 recharges was impacted.  Mediation_IL: 1800 Orders</t>
  </si>
  <si>
    <t>Ecom</t>
  </si>
  <si>
    <t>INC16262116</t>
  </si>
  <si>
    <t>D2i business reports were impacted</t>
  </si>
  <si>
    <t xml:space="preserve"> In this issue, it was identified that post server reboot (as per security guidelines for servers not restarted in over two years), it has been observed that d2i report generation time has increased from ~30 minutes to more than an hour. As confirmed by eCOM team, there was no business impact at present only latency was observed. During the troubleshooting, it was identified that Zabbix monitoring query was increasing the I/O wait on Storage due to which utilization went high. Further, to resolve the issue, DBA team ran that reports from the resiliency server on which it gave optimal output. DBA team further executed the same query plan on the production server post that reports were delivered with expected time.</t>
  </si>
  <si>
    <t>Reports were getting delayed</t>
  </si>
  <si>
    <t>INC16263684</t>
  </si>
  <si>
    <t xml:space="preserve"> In this issue, broadband installation and activation orders were processing slow due to issue at NMS Altiplano. On further investigation it was found that due to high traffic, orders were processing slower than usual, however the pendency got settled with no action taken at any end.</t>
  </si>
  <si>
    <t xml:space="preserve">Alert102265796 </t>
  </si>
  <si>
    <t>Symptom:
1) Task 2 not received for FTTH broadband orders
Host Name : NovaTel_Works alerts for Broad Band Journey
Current Value : 160.0
Alert Time:2025-10-17 14:26 Hrs.
Event NO:Alert102265796 ,Alert102265801</t>
  </si>
  <si>
    <t>Orders waiting at task 2 (FTTH + MOP) - 160 orders.</t>
  </si>
  <si>
    <t>INC16271990</t>
  </si>
  <si>
    <t>BC5 Black bills were not visible on Service Portal.</t>
  </si>
  <si>
    <t xml:space="preserve">In this issue, incorrect billing data was displayed in Service Portal for BC5 Black bills, where 18th Oct bills appear with the date 18th Sep. Upon investigation, it was identified Selfcare_B2C was fetching data from both old (Home CRM) and new system(CustomerV2Billing), leading to inconsistencies.To resolve, Selfcare_B2C team made some config. changes followed by server restart post which, issue got resolved. </t>
  </si>
  <si>
    <t>Alert102285639
Alert102286759</t>
  </si>
  <si>
    <t>Symptom:
1)High Response Time | channels-billing (Service View)
/bills | 99th RT (channels-billing-8): 5050.1 ms [&gt;5000 ms] | Hits: 13263
Alert Time:2025-10-18 02:31 Hrs.
Event No:Alert102285639
2)Service Portal-Customer Experience Journey-OverallAvgResponseTime&gt;300ms
Alert Time:2025-10-18 03:20 Hrs.
Event No:Alert102286759</t>
  </si>
  <si>
    <t>2025-10-18 02:31:11
2025-10-18 03:20:31</t>
  </si>
  <si>
    <t>2025-10-18 02:36:11
2025-10-18 03:29:31</t>
  </si>
  <si>
    <t>Success Dip(D vs D-5) : (1615 vs 1132= -483) is No dip</t>
  </si>
  <si>
    <t>INC16269202</t>
  </si>
  <si>
    <t>Prepaid acquisition was impacted for Bihar and UPE circle.</t>
  </si>
  <si>
    <t xml:space="preserve"> In this issue, eCAF was getting error from ESB for validateAndAllocateSIM due to which prepaid acquisition was impacted for Bihar and UPE circle. Further, it was identified that these errors were due to one activity (EVOL-92034) at DSA end (NSG). Once the activity got completed, errors reduced and issue got resolved.</t>
  </si>
  <si>
    <t>INC16267964,INC16267972,INC16268017
INC16268036</t>
  </si>
  <si>
    <t>Symptom:
1)ESB_Failure_Percent_Process_wise | AADHAR PROCESS : ValidateandAllocateSIM_V1_3.validateandAllocateSIM
Current Value : 92.72
Alert time - 2025.10.18 01:42Hrs (fluctuating)
Event No - INC16267964 , INC16267972 , INC16268017
2)Database service Oracle - ECAFDB
Failure rate increase 12.2 requests/min impacted
Web service [ecaf-orionmobileapi-service] - SukController
Response time degradation 40.2 requests/min impacted
Alert Time:2025-10-18 01:56 Hrs.
Event No:INC16268036</t>
  </si>
  <si>
    <t>2025-10-18 01:42:21
2025-10-18 01:56:46</t>
  </si>
  <si>
    <t>2025-10-18 05:02:21
Open</t>
  </si>
  <si>
    <t>No order dip.</t>
  </si>
  <si>
    <t>EVOL-92034</t>
  </si>
  <si>
    <t>In this issue, the problem resurfaced where CC advisors were unable to view black customer bills. Further, it was identified that the TPS was set to only 100 at GLOO end for Fetch bill API, resulting in error at BSL end. To mitigate this, GLOO team increased the TPS to 600 at their end for Fetch Bill API and 300 for Billing Account API at their end along with Selfcare_B2C team increasing pods count to 30 for both DC1 and DC2, followed by service restart at Selfcare_B2C end, post which improvement was observed and services resumed normally. Moreover for complete resolution, Selfcare_B2C team is restarting their services with an increased TPS of 800 for Fetch Bill API with an estimated TAT of 1 Hour.</t>
  </si>
  <si>
    <t xml:space="preserve">Primary root cause:
Specification Leg-01
Q1: Why there was an instance of service degradation in Black Customer Experience Journey (Call Center)?
Ans: Because, CC advisors and Customers were unable to view black bills on Service Portal and Nova App due to which Black Customer experience was impacted. 
Q2: Why there was an impact on Black bills view?
Ans: Because, Service portal and Thanks App calls Selfcare_B2C to get customers bill PDF details from BSL; Nova App/Service Portal &lt;-&gt; Selfcare_B2C &lt;-&gt; Gloo &lt;-&gt; BSL (via V2/CustomerBill API) &lt;-&gt; Coverged Billing &lt;-&gt; UCM. Applications reported failures from Selfcare_B2C. 
Q3: Why there were failures from Selfcare_B2C?
Ans: : Because, while investigating the issue, Selfcare_B2C team found there was 429 Error code from their downstream application Gloo for BSL Invoice API https://bsl-prod.india.novatel.internal/v2/customerBill. 
Q4: Why there was 429 error code from Gloo?
Ans:  Further discussion explored that, since Gloo is the middleware between Selfcare_B2C and BSL; the request were getting failed at Gloo and were not reaching to BSL due to high no. of requests being received at Gloo end and they were unable to process these requests.
Q5: Why large number of requests received at Gloo platform ?
Ans: Because, The TPS limit at Gloo was configured at 100, which was insufficient to handle the high traffic volume, resulting in failures on the Selfcare_B2C platform. 
Detection Leg- 02 
Q6: Why TPS limitation issue was not detected prior to outage?
Ans: Because of the recent Black account migration activity from Optimus to UCM; this activity was planned in 4 phase; in first phase wider impacted was not reported as user-base was 50K.  However, in second phase 15 Lac customer base was migrated from legacy flow to the new flow (UCM) on14th Oct ; hence TPS failed to cater high traffic. 
Q7: Why TPS load testing was not performed before migrating the larger 1.5 million user-base?
Ans: During the earlier migration of 50K customers, minor bill view performance issues were observed. Therefore, before migrating a larger customer base, proactive load testing should have been conducted to optimize the TPS configuration for the Selfcare_B2C team. Conducting this testing, could have prevented the outage.
Leg 3 – Systemic Failure
Q8- Why did system fail to handle the traffic which led the outage ?
Ans: In the first migration phase, with under 50K users, no major issues occurred. But in BC5, with 1.5 million users—the largest billing yet—the Gloo middleware’s TPS limits weren’t scaled for higher traffic due to lack of Capacity Planning. As a result, when it couldn’t handle the load, customers retried fetching bill PDFs, doubling the traffic and overloading the pods, causing instability and intermittent service disruptions.
Observations:
•	Selfcare_B2C detected high traffic proactively as they were actively monitoring due to migration, MTTR was high because multiple teams had to coordinate scaling and reconfiguration manually. real-time auto-scaling at and alert thresholds were insufficient to prevent outage.  
Preventive Actions –
•	Selfcare_B2C team, in collaboration with the BSL team, will review TPS optimization across all APIs and implement necessary corrective actions accordingly. Open Manohar and Sidharth Naithani
•	TPS has been increased to 1000 for N1 and 800 for N2 DC at Gloo end -Closed Manohar
•	Circuit Breaker implemented to handle retries at customer end which will prevent the system from getting impacted by High traffic-Closed Manohar
•	Review caching and solution design in Selfcare_B2C to reduce redundant API calls-Open Manohar </t>
  </si>
  <si>
    <t>PRB0044555</t>
  </si>
  <si>
    <t>P2
P3
P2
P3
P3</t>
  </si>
  <si>
    <t>INC16269460
INC16269577
INC16269678
INC16269488
INC16269898</t>
  </si>
  <si>
    <t>Symptom:
1)5XXFailurein10Minutes| cx_billing and cx_plan
API : /bills, /v1/account/details, /bills/insights/v2, /bundling/v2/simulation
Alert Start Time: 18/10/2025 06:28 hrs
Event NO: Alert102292375, INC16269460
2) Host Name : sp_multitenant_api_failure
URL : http://internal-kong.india.novatel.internal/cx/billing/bills
Alert Start Time: 18/10/2025 07:07 hrs
Event NO: INC16269577
3) Host Name : SP_MT_RULE_FAILURE
RULE_NAME : Black-LatestBillAvailable
Alert Start Time: 18/10/2025 07:43 hrs
Event NO: INC16269678
4) 90thPercentilein10minutes| SELFCARE_BILLING | /billing/v1/clear/all/cache
Host Name : Channel-Backend-Alerts for NovaTel-billing for central elastic
API : /billing/v1/clear/all/cache
Alert Start Time: 18/10/2025 08:04 hrs
Event NO: INC162694567, INC16269488
5) Pods Not Running - channels-billing (OCP DC1)
channels-billing-2: CrashLoopBackOff
Alert Start Time: 18/10/2025 08:40 hrs (Fluctuating)
Event NO: INC16269898</t>
  </si>
  <si>
    <t>2025-10-18 07:07
2025-10-18 07:41
2025-10-18 07:55
2025-10-18 07:13
2025-10-18 08:39</t>
  </si>
  <si>
    <t>2025-10-18 07:25
Open
2025-10-18 12:03
Open
2025-10-18 09:24+AH675</t>
  </si>
  <si>
    <t>Success Dip(D vs D-5) : (80207 vs 94508: 14301) is 15%.</t>
  </si>
  <si>
    <t>INC16280572</t>
  </si>
  <si>
    <t>Ticket creation was impacted in Remedy application.</t>
  </si>
  <si>
    <t>In this issue, application team confirmed that they were encountering the following error in Remedy application "ORA-00257: Archiver error" impacted the ticket creation functionality. To address the issue, NSG team deleted the previous archived log files to free up space in the archive destination. Following this action, application started functioning normally and the issue got resolved.</t>
  </si>
  <si>
    <t>Tg Alert 
Tg Alert</t>
  </si>
  <si>
    <t>1) container restart failed 
cloud name - openshift-prod-Remedy-Manesar
Alert Time:2025-10-19 15:21 Hrs.
Event NO: Tg alert
2)http status code error 
Man-UNOC-Physical-Remedy-RAC-DB
Alert Time:2025-10-19 15:52 Hrs.
Event NO: Tg alert</t>
  </si>
  <si>
    <t>2025-10-19 15:21
2025-10-19 15:52</t>
  </si>
  <si>
    <t>2025.10.19 17:12:42
2025.10.19 17:07:42</t>
  </si>
  <si>
    <t xml:space="preserve"> Ticket creation was impacted</t>
  </si>
  <si>
    <t>Postpaid Customer Experience Journey (Call Center)</t>
  </si>
  <si>
    <t>INC16308155</t>
  </si>
  <si>
    <t>Automatic retention Lead Creation for MNP (Postpaid) by ECHO was Impacted.</t>
  </si>
  <si>
    <t>In this issue, ECHO was receiving timeout error from Jupiter end due to which automatic retention Lead Creation for MNP(Postpaid) by ECHO was Impacted.Upon investigation, DBA team identified update query's running from JUPUSR user which was causing row lock contention. To mitigate, DBA team killed the contention post which, timeout errors reduced and issue got resolved.</t>
  </si>
  <si>
    <t>INC16302504
TG Alert</t>
  </si>
  <si>
    <t>1)Jupiter_WEBlogic_error_alert | URL:/AIWebServices/services/retentioncustomerdetails Trigger Value: 49
Alert time - 2025-10-22 16:52Hrs
Event No - INC16302504
2)Oracle DB Instance - Oracle- Active Connections Error on NPIT2
Alert time - 2025.10.22 16:15Hrs (fluctuating )
Event No - TG alert</t>
  </si>
  <si>
    <t>22/10/2025  16:52
22/10/2025  16:57</t>
  </si>
  <si>
    <t>22/10/2025  17:12
22/10/2025  21:00</t>
  </si>
  <si>
    <t xml:space="preserve">2 Call Centers </t>
  </si>
  <si>
    <t>Broadband Customer Experience Journey (Call Center), DTH Customer Experience Journey (Call Center), Postpaid Customer Experience Journey (Call Center), Prepaid Customer Experience Journey (Call Center), iOT Customer Experience Journey</t>
  </si>
  <si>
    <t>Service Portal, DPS, Selfcare_B2C, M2M</t>
  </si>
  <si>
    <t>INC16315639</t>
  </si>
  <si>
    <t>Multiple Digital experience applications observed service disruption.</t>
  </si>
  <si>
    <t xml:space="preserve"> In this issue, multiple alerts triggered for Digital experience applications for both N1 and N2 DC. However, during the course of troubleshoot, errors settled down without any technical intervention @23:22 Hrs and issue got resolved. </t>
  </si>
  <si>
    <t>Digital Experience B2C, iOT</t>
  </si>
  <si>
    <t xml:space="preserve">P1
P1
P1
P1
P4
P1
</t>
  </si>
  <si>
    <t xml:space="preserve">TG Alert INC16313853,INC16313851,INC16313852
 INC16313849,INC16313849 
INC16313946,INC16313960, INC16313979,INC16313977
 INC16313986,INC16313985
INC16313947,INC16313955,INC16313958,INC16314060,INC16314178,INC16314214,INC16314115,INC16314261,INC16314265
</t>
  </si>
  <si>
    <t>Direct:
1)Multiple F5 Failover Status Changed 
Device Name: BAL-NDAPH-2-LTM-I2600PRI.PCIDSS,
Device Name: BALNDAPH-2-LTM-5800-MMSC-PRI.novatel.example
Alert time - 2025-10-23 22:46 Hrs
Event No - TG (Fluctuating)
2)Multiple Interface goes DOWN Alert 10.5.XX.XX
Device Name: BAL-NDAPH-2-LTM-I2600PRI.PCIDSS,
Alert time - 2025-10-23 22:51 Hrs
Event No - INC16313853,INC16313851,INC16313852
3)Multiple Interface goes DOWN Alert 10.242.XX.XX
MMSC Pri F5 LB BALNDAPH-2-LTM-5800-MMSC-PRI-10.5.61.219 
Alert time - 2025-10-23 22:50 Hrs
Event No - INC16313849,INC16313849 
Symptom:
1)Multiple Kong 503 error on 10.241.xx.xx/10.222.xx.xx
Alert time - 2025-10-23 23:07 Hrs
Event No -INC16313946,INC16313960, INC16313979,INC16313977
2)Multiple selfcare CrashLoopBackOff alerts
Pods Not Running - channels-notifications (OCP DC2)
Alert time-2025-10-23 23:10 Hrs
Event No -INC16313986,INC16313985
3)Multiple applications performance alerts
a)DPS:
high 503 Failure for SELFCARE-ORDER-DETAILS 
 PAYTM-WEBHOOK-ADAPTER RAZORPAY-PAYMENT-ENQUIRY
Alert time-2025-10-23 23:07:41
Event No-INC16313947,INC16313955,INC16313958
b)Serviceportal: 
sp_multitenant_api_failure
sp_guardian_card_failure || 127.0.0.1
SP_MT_RULE_FAILURE
Alert time-2025-10-23 23:12
Event No-INC16314060,INC16314178,INC16314214
c)TPM:
Prism-Prepaid Online Recharge Journey-TPM-Prepaid-Low traffic on_PrepaidAppRechargeConsumer:PcidssCouponEngineAppTopic_is less than 50
Alert time-2025-10-23 23:14 Hrs.
Event No-INC16314115
d)Digitalthanksapp:
5XXFailurein10Minutes| myNovaTelapp-bouncer | /bouncer/v1/sendOtp||5XX | /bouncer/v1/sendOtp
5XXFailurein10Minutes| myNovaTelapp-bouncer | /bouncer/v1/verifyOtp||5XX | /bouncer/v1/verifyOtp 
Alert time-2025-10-23 23:21 Hrs.
Event no-INC16314261,INC16314265</t>
  </si>
  <si>
    <t>10/23/2025  22:46
10/23/2025  22:51
10/23/2025  22:50
10/23/2025  23:07
10/23/2025  23:10
10/23/2025  23:07</t>
  </si>
  <si>
    <t>Open
10/23/2025  23:07
10/23/2025  22:58
10/23/2025  23:27
10/23/2025  23:30
10/23/2025  23:32</t>
  </si>
  <si>
    <t>Service Portal: Success Hits: (D vs D-5: 15 vs 556: 541) 97%.
M2M: 5 New activation and 210 plan upgradation requests got failed.</t>
  </si>
  <si>
    <t>INC16318512</t>
  </si>
  <si>
    <t xml:space="preserve"> In this issue, it was identified that there was a DB locking at Nokia_OSS end due to which Broadband installation orders were stuck at Tag Change. To resolve the issue Nokia team released the DB locking post which orders started processing and issue got resolved.</t>
  </si>
  <si>
    <t xml:space="preserve">
P2
P2
P3</t>
  </si>
  <si>
    <t>INC16318345
INC16318257
INC16317877</t>
  </si>
  <si>
    <t>*NOC Proactive Alert Status*    
Incident Category: LW 
Application:  NovaWorks 
Impacted IP: 10.222.235.83
Active Alert: Yes
Direct:
1) GIS MEM Alert
IP : 10.222.235.83
Alert Start Time: 24/10/2025 10:01 Hrs
Event No: INC16317877
Symptom:
1) Orders stuck at Tag change State - FTTH broadband orders
INSTANCE : 10.5.31.145:9091
Alert Start Time: 24/10/2025 10:56 Hrs
Event No: INC16318257, INC16318258 
2) 11_12 Difference in AW and Nokia count in last 1 hr
Current Value : 196.0
Alert Start Time: 24/10/2025 11:03 Hrs
Event No: INC16318345</t>
  </si>
  <si>
    <t>2025-10-24 11:04:07	
2025-10-24 10:56:11	
2025-10-24 10:01:51</t>
  </si>
  <si>
    <t>2025-10-24 11:51:49
2025-10-24 11:11:06
2025-10-24 10:47:06</t>
  </si>
  <si>
    <t>307 orders were stuck.</t>
  </si>
  <si>
    <t>Black Customer Experience Journey (Call Center), Postpaid Customer Experience Journey</t>
  </si>
  <si>
    <t>UDP_Dunning, Service Portal</t>
  </si>
  <si>
    <t>INC16331641</t>
  </si>
  <si>
    <t xml:space="preserve">PTP (Promise to Pay) orders were impacted for Black. </t>
  </si>
  <si>
    <t xml:space="preserve"> In this issue, PTP requests from Service Portal were being rejected by Case with the error: “Please pass valid request”. The issue was specific to UCM based cases as barred cases were interacting with the new V3 Case API, following the UCM migration. As a mitigation step, Service Portal team shared the impacted cases with CE team and which in turn unbarred the cases manually. Further, Case team identified that the requests were failing as "Z" was missing in the date format in notes parameter. To restore this, Service Portal dev team made changes in the rules and added Z in date format, post which the issue got resolved.
Note: While this flow was being made live, Case team highlighted it to Service Portal team on getting the same error observed today, which is suspected to have not got checked by service portal team.</t>
  </si>
  <si>
    <t>Primary Root Cause:
Leg 01 – Specification 
Q1. Why was service disruption observed for PTP (Promise to Pay) SRs for Black customers via Service Portal? 
A1. Because Call Centre advisors were unable to raise PTP (Promise to Pay) Service Requests through Service Portal. While attempting to initiate an SR, the Service Portal displayed an error message “Please pass valid request”, which prevented both the creation of new PTP SRs and note updates. 
Q2. Why was Service Portal receiving “Please pass valid request” error? 
A2. Because the API requests from Service Portal were rejected during validation by Case and Interaction systems, resulting in failed SR creation for the affected segment. The Case APIv3 identified the incoming request as invalid and returned “Invalid Request” error. Thus, the PTP request flow — Service Portal → Case &amp; Interaction(via ESB) → UDP Dunning (For barring / unbarring actions) — failed at the validation stage itself. 
Q3. Why did the Case API identify the request as invalid? 
A3. Because the request configuration violated Case API v3 schema rules due to: Missing configuration mappings for required fields (especially related to the PTP and Barring categories) and incorrect timestamp format (missing the required “Z” suffix in UTC format). These discrepancies caused the Case API’s schema validation to fail, leading to rejection of the request. 
Q4. Why were configuration mappings missing and timestamp formats incorrect in Service Portal? 
A4. Because during the UCM migration, the configuration files and request templates for PTP and Barring API integrations were not migrated or updated as per the latest Case API v3 specifications. As a result, Service Portal continued to send invalid configuration structures incompatible with the Case API schema. 
Leg 02 – Detection 
Q1. Why was the failure not detected proactively when it first occurred? 
A1. Because low-volume API failures were observed on October 23, 2025, but these did not breach existing alerting thresholds and therefore went unnoticed. 
Q2. Why did the alerts not trigger for these failures? 
A2. Because Service Portal monitoring setup lacked API-specific alerting for validation or configuration errors. Existing alerts within the Case and Interaction systems were threshold-based, designed only to trigger when request success volumes dropped significantly. 
Q3. Why was there no API-specific alerting configured? 
A3. Because the alerting framework was originally designed to track service availability and request volume — not schema validation or configuration mismatches, leading to delayed detection and contributing to a high MTTR (~6hours). 
Q4. Why was the missing configuration not detected immediately after UCM migration? 
A4. Because no post-migration functional or integration testing was performed between the Service Portal and Case API. Only service-level availability checks were conducted, which did not capture configuration or code mismatches. 
Leg 03 – Systemic Failure 
Q1. Why were these gaps not detected before go-live? 
A1. Because end-to-end regression and validation testing for the PTP and Barring journeys were not executed post-migration. Ownership for validating API compatibility between Service Portal and Case systems was not clearly defined, and no dedicated integration test cycle was conducted before production rollout. Consequently, the issue surfaced only in production after the migration.
Preventive Actions: 
•	Propose automated checks for configuration and validation errors to prevent similar incidents and reduce MTTR. – Akash (Open)
•	Review alerting setup on Service Portal to include API-specific and validation failure alerts. – Akash (Open)
•	Document updated testing and handover protocols to ensure accountability during future migrations. – Akash (Open)</t>
  </si>
  <si>
    <t>PRB0044557</t>
  </si>
  <si>
    <t>Postpaid, Digital Experience B2C</t>
  </si>
  <si>
    <t>INC16329465,INC16329698
INC16330245</t>
  </si>
  <si>
    <t xml:space="preserve">1)ESB_Failure_Percent_Process_wise_PostBillingSR_V2_1.PostBillingSR_Process Failure is greater than 10%
Trigger Value: 31.496062992125985 
Alert time-2025-10-25 15:42 Hrs (Fluctuating)
Event no:INC16329465,INC16329698
2)casefailure||Please pass valid request
Host Name : Create_Case_Failure
Sev-3 Current Value : 197.0
Alert time-2025-10-25 17:45 Hrs
Event no:INC16330245
</t>
  </si>
  <si>
    <t>10/25/2025  15:42
10/25/2025  17:45</t>
  </si>
  <si>
    <t>Open
10/25/2025  19:45</t>
  </si>
  <si>
    <t>Service  Portal: Success Hit Dip: No Dip (D vs D-3: 71 vs 61)</t>
  </si>
  <si>
    <t>INC16339664</t>
  </si>
  <si>
    <t xml:space="preserve"> Call back SMS was impacted for SBI</t>
  </si>
  <si>
    <t>In this issue, While hitting the Customer URL(SBI) https://smsdlr.sbi.bank.in:7449/sbi/mo/NovaTelmo
via Proxy, IQ team was observing 504 error due to which Call back SMS request was impacted for SBI in Artel_IQ_SMS. Further it was identified that, DNS was not getting resolved for BLR site due to which issue occurred. To mitigate the issue, NovaTel_IQ team Shifted 100% longcode traffic of SBI to N1 which was running 50-50 initially on N1 and BLR site. Post which success was observed and issue got resolved.</t>
  </si>
  <si>
    <t>INC16342356</t>
  </si>
  <si>
    <t>HB Billing Reports were impacted for CU8 and CU18</t>
  </si>
  <si>
    <t>In this issue, DARTS team was not receiving data which they usually fetch from ESB, with ESB sourcing the data from GG due to which HB billing process were disrupted and which would have impacted the timely generation of HB billing reports. Upon investigation, it was found that high transaction volume had caused replication lag on which was preventing timely flow of data. To resolve the issue, DBA team took GG refresh for CU8 and CU18, post which the data resumed for both the queues and issue got resolved.</t>
  </si>
  <si>
    <t xml:space="preserve">Primary root cause Summary:
Timely generation of HB_Billing report was impacted as, Initially CU8 and CU18 experienced data flow issues was reported by DARTS.
•	As per discussion with respective teams it was communicated that there were 2-issues reported in system, one for CU8 and second for CU18.
•	Discussion further with ESB team explore that, DARTS system were not able to consume messages from solace que and messages were getting pileup(approx. 40Lac) for CU8 as bind count were showing 0.
•	Team discussed the volume of records processed during billing versus non-billing days, confirming that the surge was unique to the billing cycle and not observed during regular operations. 
•	During non-billing days it took whole day to fully utilized the 8GB wherever, we have seen that it get full in 20 min if messages not get consumed by consumer-DARTS. Hence, it was suggested to revisit the Solace queue depth for billing days.
•	Post informing to DARTS team(approx. 01:30 hrs) from ESB end, a service refresh was taken by darts team post which messages started getting consumed which partially mitigate the issue.
•	Later, issue got reported to MIM around 04:50 where DARTS team reported issue for both CU-8 &amp;18 for data flow. DBA team getting engaged and as per update received form them for CU8” solace que was full for oracle goldene gate big data(solace), retired limit got exceed and went into hang/idle state. 
•	Once DBA login, process status was running but due to retries limit was breached data was not getting re-pus in solace que and only solution to restart the GG services.
•	DBA team refreshed Golden Gate services for CU8  which resumed data flow and resolved the immediate issue and since similar kind of issue was also reported for CU18 hence, the same resolution steps were applied as well however, there was no such issue for CU18.
•	DBA team further updated that, CU18 has less data as comparison to other CU’s and same has been showcase during PIR which led alert to be trigger 120 minute over DARTS end .
•	Darts team also acknowledge the need to stringent the monitoring over billing days instead of relying on a 120minute warning that is set if messages are not being consumed
Observations: 
•	All the relevant team (Darts-ESB-DBA) need to be engage on timely manner for such communications which help to reduce the MTTR.
•	DBA team have to follow the best practice as per each CU data flow behaviour wrt to service refresh of golden gate. Along with that explore automation of Golden Gate refresh and related recovery processes.
•	DBA team also updated that no que quota full monitoring would be place over GG except status update due to product limitation.
•	Darts team confirm that, Ab Initio process run 24/7 and if solace bind count getting 0 process not get failed and further they are working with their Dev to build a process on same to stop the job. 
Preventive Actions:
•	Darts team have to review and lower 120-minute alert threshold for faster detection as per data flow if data not getting consumed at their end from solace que. Open Pawan/Navneet
•	Darts team also need to revisit their monitoring process for internal system failure (why messages not getting consumed and post refresh it work). Open Pawan/Navneet.
•	Darts team have to work with solace team to onboard bind count -0 alert at their end as well. Open Pawan/Navneet
•	Golden gate refresh process should be based data flow for each CU’s not as an standard also explore automation of Golden Gate refresh and related recovery processes. Open Gaurav
•	DBA team have to check the feasibility with OEM to generate an alert when GG stops publishing message. Open Gaurav
•	Solace Que depth need to revised based on historical data trends from the past two to three months to predict traffic surges during billing cycles. Open Herminder/Praveen
</t>
  </si>
  <si>
    <t>PRB0044561</t>
  </si>
  <si>
    <t>INC16340749 , INC16340751 ,INC16340758</t>
  </si>
  <si>
    <t>1)SOLACE_VPN_SPOOL_QUOTA_ALERTS | EVENT : VPN_AD_MSG_SPOOL_HIGH | PAYLOAD: .223.142.176_FXCU8 message spool threshold 6553600 k(80%) reached: 6553603 kB</t>
  </si>
  <si>
    <t xml:space="preserve">	
2025-10-27 01:19:49</t>
  </si>
  <si>
    <t>hmbd_fx continuous process was impacted</t>
  </si>
  <si>
    <t>INC16345716</t>
  </si>
  <si>
    <t xml:space="preserve">Postpaid activation for MNP was impacted </t>
  </si>
  <si>
    <t>In this issue, eCOM team reported that they were facing a certificate error from Jupiter end, triggering an impact in MNP activation for Postpaid orders. Further, Jupiter team confirmed that a certificate was changed at Jupiter end for the same under RITM13723324. To resolve this, eCOM team added the certificate at their end, post which services resumed normally.</t>
  </si>
  <si>
    <t>INC16343404
INC16343492
Alert102623902</t>
  </si>
  <si>
    <t>1) VALIDATE_ELIGIBILITY High Failure in last 10M
Host Name : ecom_order_checkout_service_audit_logs
API : VALIDATE_ELIGIBILITY
Alert Start Time: 27/10/2025 10:15 Hrs
Event NO: INC16343404
2) DIP in POSTPAID TOTAL_ORDER_ITEM_CHECKED_OUT compared with D~7
Alert Start Time: 27/10/2025 10:24 Hrs (Fluctuating)
Event NO: INC16343492
3) Web request service [butterfly-preorder-service] - butterfly-preorder-service-
Failure rate increase 34.4 requests/min impacted
Alert Start Time: 27/10/2025 10:28 Hrs
Event NO: Alert102623902</t>
  </si>
  <si>
    <t>10/27/2025  10:15
10/27/2025  10:24
10/27/2025  10:28</t>
  </si>
  <si>
    <t>10/27/2025  10:26
10/27/2025  10:33
10/27/2025  10:31</t>
  </si>
  <si>
    <t>200 Orders impacted</t>
  </si>
  <si>
    <t>RITM13723324</t>
  </si>
  <si>
    <t>Postpaid Payment Posting Journey, Broadband Payment Posting Journey, Black Payment Posting Journey, Postpaid Customer Experience Journey, Broadband Customer Experience Journey, Broadband Customer Experience Journey (Call Center), Postpaid Customer Experience Journey (Call Center), Black Customer Experience Journey (Call Center), Postpaid Activation Journey, Black Activation Journey, Broadband Activation Journey, Postpaid Dunning Order Journey, Broadband Dunning Order Journey, Postpaid New Customer Acquisition Journey, Postpaid New Customer Acquisition-MNP Journey, Black Customer Experience Journey</t>
  </si>
  <si>
    <t>Service Portal, Selfcare_B2C, LAPU_MT, DCAP, OneNova, HB_BILLING, BTFLY_BILLING, DTH_OE, DTH_OM, eCOM, POQ, NovaWorks, UDP_Dunning, BSL, M2M, HB_ATOM, BTFLY_ATOM, DARTS, Jupiter</t>
  </si>
  <si>
    <t>INC16348233</t>
  </si>
  <si>
    <t>Multiple apps in 62 Dc were impacted due to cage failure.</t>
  </si>
  <si>
    <t>In this issue, multiple CUs (CU11–25 and CU37–49) were facing problems which caused service disruption across multiple applications. Further investigation revealed that the issue occurred due to a cage failure at the storage end, for which a vendor case was raised. The HP outage engineer remotely logged in and fixed the cage issue. Post that, the DBA team manually brought up all the impacted CU DBs, and the Unix team restored 58 affected servers. After performing these action, the health of all applications was verified and found to be stable, and all services resumed normal operations.</t>
  </si>
  <si>
    <t>Primary root cause:
Specification Leg-01
Q1: Why there was an issue encountered with multiple Journeys?
Ans: The issue was triggered by disruptions in key services such as Postpaid, Broadband, Black bills view, payment posting, DTH change, and activation orders, alongside a dip in acquisition. This affected a broad range of applications including Service Portal, Selfcare_B2C, LAPU_MT, DCAP, OneNova, HB_BILLING, BTFLY_BILLING, DTH_OE, DTH_OM, eCOM, POQ, NovaWorks, UDP_Dunning, BSL, M2M, HB_ATOM, BTFLY_ATOM, DARTS, and Jupiter. 
Q2: Why were multiple applications affected during the incident ?
Ans: Initially, there was high response time observed from bsl-prod.india.novatel.internal:443 and there were multiple Failed database connects Alerts triggered . Accompanied by several FX6.0 CUs (11-25 and 37-49); impacted multiple Upstreams and Downstream applications .
Q3: Why issue was being observed with multiple FX6.0 CUs simultaneously?
Ans: Because, in 62 DC one of the storage cage failure issue was reported; and impacted storage is part of the newly deployed HPE Allerta Storage, dedicated to FX6.0 workloads, which had recently been migrated from IBM.
Q4: Why did storage cage failure occur ?
Ans: Because Physical Disk PD32 within Cage 42 failed and the disk failures caused both (Input/output) I/O modules in the cage automatically restarted upon detecting failures. When IO modules restarted, the system temporarily lost access in that cage. Subsequently the chunklets (1GB Disk stripes of data where physical drive is divided) corresponding to disks in Cage 42 were marked as stale. -106 chunklets became stale -1,094 Virtual Volumes (VVs) were moved to an unavailable state.
Q5: Why were virtual volumes (VVs) marked as unavailable (stale)?
Ans: As per HP OEM, this is not the expected behaviour of Storage , HP attributing disk failures to software BUG in current firmware version. HP recommended to Upgrade the system OS to version 10.4.8 or higher. This will stop the stale-chunklet (a 1GB block of data is unavailable for use) condition from happening again if a disk fails or IO module restarts.
Detection Leg- 02 
Q1: Why was Bug issue not proactively arrested?
Ans: This was earlier communicated to Storage to establish a process to proactively identify Bugs with OEM and resolve such issues in production before they cause outages. Every known bug poses a risk, and relying on discovering it during an outage is unacceptable practice.
Q2: Why a single physical disk failure impacted all the disks inside Cage 42 ?
Ans: Because, when both Input and Output, I/O modules in that cage restarted simultaneously; it lost access path for all 24 internal disks inside that cage which resulted chunklets and Virtual Volumes (VVs) went inaccessible. This is because the I/O modules are responsible for managing the communication between the storage system and its disks, and if both fail, there is no active path to the data. 
Q3: Why MTTR took longer despite timely detection?
Ans: FX traffic operates in an active-passive configuration from the primary site. During a primary site outage, the DR site was not capable to fully support production traffic for approximately 48 hours due to latency and extended restoration challenges. Additionally, Storage alerts were promptly acknowledged and escalated to HPE, whose engineers executed a recovery script to restore data access. Concurrently, the DBA team recovered impacted databases manually and the Unix team restored 58 servers, resulting in an increased overall Mean Time to Recovery (MTTR).
Systemic leg-03
Q1: Why did system allow this outage to happen ?
Ans: The outage occurred because the storage system lacked proper redundancy and isolation at the cage level. When both I/O modules in Cage 42 restarted together, all data paths to the disks were lost, making the storage temporarily inaccessible. Additionally, all FX6.0 workloads were hosted on a single storage pool, so one cage failure affected multiple databases and applications.
Observations:
Application and DB Team highlighted few challenges to move 50 Database to DR site (Banaglore). 
•	DR site must be capable of handling full production traffic for a minimum of 48 hours as complete rebuild and restoration process for the Primary site will take approximately 15 days, as each Customer Unit (CU) database requires individual backup, restoration, and validation.
•	Upstream systems connected to FX require high response—some application has timeout of 1 sec —while FX currently operates with a 2–3 second response time. The transition to the DR site is expected to introduce an additional latency of around 50 milliseconds for each and every step, which may result in timeouts and could potentially impact both upstream and downstream system integrations.
Preventive Actions:
1.	Upgrading the current version on all New 13 HPE Alletra storage device to 10.4.8 or higher to stop the stale-chunklet condition- Open Rajnish Dixit/ Aadil
2.	Known bugs should be identified proactively and address potential bugs in collaboration with the OEM; before they lead to service disruptions- Open Rajnish/ Aadil
3.	FX and Architecture team need to define a solution to ensure that, in the event of a similar issue in  future, how resiliency can be maintained-Open Rajendra Prasad/ Yatin Kumar/ Yashpal Chitra</t>
  </si>
  <si>
    <t>PRB0044558</t>
  </si>
  <si>
    <t>Digital Acquisition, Digital Experience B2C, Postpaid, Prepaid, Broadband, iOT, Analytics, DTH</t>
  </si>
  <si>
    <t>P2
P2
P2
P2
P1
P3</t>
  </si>
  <si>
    <t>INC16346717
INC16346715,INC16346703,INC16346706,INC16346710,INC16346705,INC16346701
INC16348189,INC16348157,INC16348043,INC16348041
INC16348059,INC16348067,INC16348046,
INC16346695,INC16346696
"INC16347620,INC16346998,INC16347076,INC16347590,INC16347748,INC16346697
INC16347798,INC16347609,INC16347230, "
"Alert102634958,Alert102634955,Alert102634953,Alert102634927
Alert102634924,Alert102634926,Alert102634918,Alert102634920,Alert102634907"
INC16347951, INC16347951,INC16347951,INC16347951,INC16347951</t>
  </si>
  <si>
    <t>1)In danger of having an insufficient number of disks available to meet TOC quorum. TOC update done to 11 disks out of 17 at 2025-10-27 16:26:34 IST with message code 1507333. SN - CZ2D2508T3
Alert time - 2025-10-27 16:26
Event No - INC16346717
2) Multiple Virtual Volume 13(.shared.SSD_r6_a) Failed (Unavail)  at 2025-10-27 16:30:21 IST with message code 262394. SN - CZ2D2508T3 
Alert time - 2025-10-27 16:37Hrs
Event No. - INC16346715,INC16346703,INC16346706,INC16346710,INC16346705,INC16346701
3)Multiple Physical Disk 
Alert time - 2025-10-27 16:42Hrs
Event no. -INC16348189,INC16348157,INC16348043,INC16348041
INC16348059,INC16348067,INC16348046,
Symptom:
1)OneNova-Digital Customer Experience Journey-Homes-RS_
bsl-prod.india.novatel.internal:443_ResponseTime 2000ms_Sev-1
Alert Start Time: 2025-10-27 16:28 Hrs
Event NO:INC16346695,INC16346696
2)Multiple applications performance alerts
Service Portal, selfcare_B2C, LAPU_MT, DCAP, HOMES, 
Alert Start Time: 2025-10-27 16:30 Hrs
Event NO: INC16347620,INC16346998,INC16347076,INC16347590,INC16347748,INC16346697
INC16347798,INC16347609,INC16347230, 
3)Multiple application ping performance alerts
Alert Start Time: 2025-10-27 16:36 Hrs
Event NO:Alert102634958,Alert102634955,Alert102634953,Alert102634927
Alert102634924,Alert102634926,Alert102634918,Alert102634920,Alert102634907
4)Multiple DYNATRACE alert service problems BSL-PROD on port 443
Alert time - 2025-10-27 16:36Hrs
Event no -INC16347951, INC16347951,INC16347951,INC16347951,INC16347951</t>
  </si>
  <si>
    <t>10/27/2025 16:42
10/27/2025 16:29
10/27/2025 16:26	
2025-10-27 16:28:37"	
2025-10-27 16:34:49"
2025-10-27 16:36:14"
2025-10-27 16:46:59"</t>
  </si>
  <si>
    <t>Open
10/27/2025 20:54
Open
10/27/2025 16:41
10/27/2025 16:51
10/27/2025 19:04
Open</t>
  </si>
  <si>
    <t>Service Portal- Bill view success dip: (D vs D-3: 15865 vs 264956) 249091 hits.
Selfcare_B2C- Bill view was impacted.
LAPU_MT- Landline bill Pay: 70% failure, Postpaid Bill Pay: 74% failure.
BTFLY_ATOM- 6222(new registration-2243+change order- 2315+unbar-928+COBP-398+Safe custoday res- 314+JK10- 24).
HB_Atom- 8431(change-4356+unbarring-1628+COBP-897+new regis.-950+Safe custody-424+PreToPost-96).
DCAP- Payment cleared in retries :Postpaid: 2658, Broadband : 2572, JK10: 1076, Black (DTH Postpaid): 565
Payment Failure across all LOB : 13522.
DTH_OE, DTH_OM- DTH Postpaid and IPTV : Faliure in Change order - 3826
Change WIP orders : 899
Activation WIP orders : 3190.
eCOM- Success dip in postpaid:1285(D vs D-14:2528 vs 3813)
NovaWorks- CRO's Bill view was impacted.
M2M- 40k Orders.
DARTS- 35 HB reports were impacted.
Jupiter- Postpaid MNP UPC port out: 1712.
UDP_Dunning- 6k.</t>
  </si>
  <si>
    <t>INC16373453</t>
  </si>
  <si>
    <t>CDR and IPDR data loading process was impacted in CGNAT.</t>
  </si>
  <si>
    <t>In this issue, high load average was observed on multiple CGNAT servers due to which PAN India CDR/IPDR loading was impacted in CGNAT and thus, incomplete data was processed to Nodal agencies. Multiple troubleshooting steps were taken (Server reboot/mounting and unmounting of NFS mount point/killed the application existing scripts which was going into D-State), post which some improvement was observed for high load average but issue still persisted.
The preliminary analysis with NetApp team, did not reveal any significant bottlenecks.
Later, application team renamed the old directory(/cgnat_data/nifi/processed/nat/) and created new one, post which, current files are processing fine. For backlog files, application team is still working to clear the old files in chunks which may take another 3-4 Hrs.</t>
  </si>
  <si>
    <t>50K+ backlog files</t>
  </si>
  <si>
    <t>INC16367226</t>
  </si>
  <si>
    <t>CDR Files processing was impacted.</t>
  </si>
  <si>
    <t>In this issue Mediation_EL Team was unable to distribute CDR files to exisitng Intec system. During the investigation, it was identified that scheduler got stuck due to insufficient storage which caused this issue and to resolve this issue Intec team manually purged the files.</t>
  </si>
  <si>
    <t>10k backlog files</t>
  </si>
  <si>
    <t>INC16371907</t>
  </si>
  <si>
    <t>The inbound onboarded emails in Outlook 365 was impacted.</t>
  </si>
  <si>
    <t>The issue was triggered due to a choked pipeline, which impacted the inbound email flow in Outlook 365 for Careshark. To restore, Careshark Dev team initiate a code deployment to fix those 4 queues which were impacted out of total 24 queues, but during the course of development, they encountered “null exception found” error in Thanos application but it got resolved automatically and after rolling out deployment successfully, Dev team replaced the blocked pipeline with a new one, and the issue was resolved, with inbound email flow returning to normal.</t>
  </si>
  <si>
    <t>p3
p3</t>
  </si>
  <si>
    <t>INC16368061
INC16369178</t>
  </si>
  <si>
    <t>1) Hostname:Careshark_ROUTING_TIME_RT_CFM
Threshold:95th percentile of response time is greater than 20 mins
Alert Start Time: 29/10/2025 13:05 Hrs (Fluctuating)
Event NO:INC16368061
2) Hostname:Careshark_ROUTING_TIME_RT_121
Threshold:95th percentile of response time is greater than 20 mins
Alert Start Time: 29/10/2025 15:23 (Fluctuating)
Event NO:INC16369178</t>
  </si>
  <si>
    <t>2025-10-29 15:23:22
2025-10-29 13:05:49</t>
  </si>
  <si>
    <t>2025-10-29 15:47:26
2025-10-29 13:32:49</t>
  </si>
  <si>
    <t>750 mails (Approx.) were impacted.</t>
  </si>
  <si>
    <t>Prepaid Customer Experience Journey, Postpaid New Customer Acquisition Journey, Prepaid New Order Sim Swap Journey</t>
  </si>
  <si>
    <t>INC16378286</t>
  </si>
  <si>
    <t>Prepaid, Postpaid and Simswap Acquisitions were impacted intermittently.</t>
  </si>
  <si>
    <t>In this issue, error were observed with eKYC Face Authentication in eCAF, which caused intermittent impact on the acquisition journey for Prepaid, Postpaid and SIM Swap. This concern was raised to UIDAI and corrective action has been taken from their end, post which issue stands resolved.</t>
  </si>
  <si>
    <t>Postpaid success dip : 108 (D: 2359 Vs D-7: 2467)
Prepaid Success Dip : 18823 (D: 59626 Vs D-7: 78449)
Simswap Success Dip : 17234  (D: 8866 Vs D-7: 26100)</t>
  </si>
  <si>
    <t>INC0604118</t>
  </si>
  <si>
    <t>An issue was observed in NFB-SBA where account creation processes were impacted due to a dependency on UIDAI services.</t>
  </si>
  <si>
    <t>The SBA account creation process was temporarily impacted due to a dependency on UIDAI services. Upon investigation, the issue was escalated to UIDAI, who identified the root cause and implemented corrective measures. Following their intervention, the service has been restored and the issue is now resolved.</t>
  </si>
  <si>
    <t>For NFB-SBA Account Creation Dip Comparison: {D vs (D-7)}= 4757-5343= 586 (The dip is 10.97% compared to D-7).</t>
  </si>
  <si>
    <t>INC16394481</t>
  </si>
  <si>
    <t>Change Bill plan M2M bulk Orders were getting failed at BTFLY_ATOM.</t>
  </si>
  <si>
    <t>In this issue, M2M change of bill plan bulk orders were getting failed at BTFLY_ATOM for CU42. However COBP orders for other customers were getting cleared, only for one customer(TVS) it was getting failed. Further, during troubleshooting it was revealed that a high-level contract was getting changed on a single account. To resolve this issue, team stopped the rating process at UCM/UCI solution on CU42, post which the pendency got cleared.</t>
  </si>
  <si>
    <t>27k Orders</t>
  </si>
  <si>
    <t>INC16390412</t>
  </si>
  <si>
    <t>In this issue, errors were observed in two APIs of ACS (managed by the third-party vendor EMBED), resulting in CC advisors being unable to view the MOP scenario. Corrective actions were taken by the EMBED team, after which issue was successfully resolved.</t>
  </si>
  <si>
    <t>P3
P2
P3
P2
P3</t>
  </si>
  <si>
    <t>TG Alert
INC16387447
TG Alert
INC16387902
INC16388290</t>
  </si>
  <si>
    <t>Symptom:
1)Web service
N1 - GetCurrentChannelValueController - WebLogic humatom humatomdn-Cluster
Response time degradation
20.4 requests/min impacted
The current response time (30 s) exceeds the auto-detected baseline (524 ms) by 5,628 %
Alert time :2025-10-31 06:25 Hrs
2)Host Name : sp_multitenant_api_failure | Current Value : 201
URL - https://hbatomdn-prod.novatel.example/routermanagement/getCurrentChannelValues
Alert time - 2025-10-31 07:06Hrs
Event No - INC16387447,INC16387530
Event No:Tg Alert
3)Web service
N1 - GetAccessPointInfoController - WebLogic humatom humatomdn-Cluster
Response time degradation
26.4 requests/min impacted
The current response time (30 s) exceeds the auto-detected baseline (5.07 s) by 492 %
Alert time - 2025-10-31 08:01Hrs(fluctuating )
Event No - TG Alert
4)Host Name : sp_multitenant_api_failure | Current Value : 216
URL : https://hbatomdn-prod.novatel.example/routermanagement/getAccessPointInfo
Alert time :2025-10-31 08:24 Hrs
Event No: INC16387902,
5)4XXFailurein10Minute | cx_Network | /router/devices
Host Name : Channel-Backend-Alerts-cx-network
Threshold : 25%
API : /router/devices
Alert time :2025-10-31 09:24 Hrs
Event No: INC16388290</t>
  </si>
  <si>
    <t xml:space="preserve">10/31/2025 06:25
10/31/2025 07:06
10/31/2025 08:02	
10/31/2025 08:24
10/31/2025 09:24
</t>
  </si>
  <si>
    <t>10/31/202509:42
10/31/2025 07:16
10/31/2025 09:38
10/31/2025 08:35
10/31/2025 10:24</t>
  </si>
  <si>
    <t>70% Failures in FTR</t>
  </si>
  <si>
    <t>INC16393411</t>
  </si>
  <si>
    <t>CROs were unable to mark attendance for MPCG Circle.</t>
  </si>
  <si>
    <t xml:space="preserve">In this issue, it was identified that the issue originated from the AW Attendance Manager API, which was preventing CROs from marking their attendance. To mitigate impact, AW Team implemented a bypass of the Attendance Manager API. Following this action improvement was observed and issue got resolved. </t>
  </si>
  <si>
    <t>160 Users</t>
  </si>
  <si>
    <t>Prepaid New Order Sim Swap Journey, Prepaid Customer Experience Journey (Call Center)</t>
  </si>
  <si>
    <t>INC16392363</t>
  </si>
  <si>
    <t>CC advisors were unable to visible data for Voice bot scenario for Prepaid along with SimSwap was impacted.</t>
  </si>
  <si>
    <t>In this issue, Service Portal team encountered timeout failures from PACS end affecting the Delhi hub, which led to Service Portal rule failures. To resolve, PACS team resolved the issue by performing a node refresh of the WebLogic service, after which normal functionality was restored.</t>
  </si>
  <si>
    <t>P3
P3
P2
P2
P3</t>
  </si>
  <si>
    <t>Alert102787161
Alert102786514
INC16391024
INC16391024
TG Alert</t>
  </si>
  <si>
    <t>Direct:
1)1 impacted service
Web service
N1 - IpacsUserController - WebLogic IPacs_domain IPacs_cluster
Failure rate increase
578 requests/min impacted
by a failure rate increase to 27 %
Service method: All methods affected
Alert time : 2025.10.31 13:43
Event No - Alert102787161
2)1 impacted service Database service | Oracle - IPACDEL
Failed database connects | 0 requests/min impacted
The amount of 22 failed database connects exceeded the threshold of 10 in a period of 5 minutes.
Service method: Oracle - IPACDEL
Alert time : 2025.10.31 13:27
Event No - Alert102786514
Symptom:
1)Host Name : SP_MT_RULE_FAILURE | Current Value : 75.9 |
RULE_NAME : IVR Language Change
Alert time : 2025.10.31 13:21
Event No - INC16391024
2)Host Name : SP_MT_RULE_FAILURE | Current Value : 41.38 | 
RULE_NAME : PACs - HDBAR Eligibility
Alert time : 2025.10.31 13:31
Event No - INC16391024
3)2 impacted services  |  Web request service
/Common/PROD_PACS_10.14.50.27_7009 on port 7009
Response time degradation | 435 requests/min impacted
The current response time (10 s) exceeds the auto-detected baseline (0.25 ms) by 4,004,129 %
Service method: All dynamic requests
Alert time : 2025.10.31 13:51
Event No - TG Alert</t>
  </si>
  <si>
    <t>2025-10-31 13:48
2025-10-31 13:27
2025-10-31 13:31	
2025-10-31 13:31
2025-10-31 13:51</t>
  </si>
  <si>
    <t>2025-10-31 14:12
2025-10-31 13:27
2025-10-31 13:41
2025-10-31 13:41
2025-10-31 14:16</t>
  </si>
  <si>
    <t>eCAF_Simswap Success Dip: (D vs D-7: 2238 vs 5957: 3719 is 62%).
Service Portal Success Hits: (D vs D-7: 549 vs 941: 392 is 41%).</t>
  </si>
  <si>
    <t>INC16412016</t>
  </si>
  <si>
    <t xml:space="preserve">Customers were unable to add channels in IPTV. </t>
  </si>
  <si>
    <t>In this issue, IPTV was getting error- "System is not responding. Please try again" from DTH_OE. Upon further investigation, it was identified that the errors were originating due to high RT of One EPC. Initially, WAS team took restart of 12 servers of One EPC and then isolated two EPC servers (10.223.150.21/22) which reduced the error to 2-3% intermittent errors. Further, investigation revealed that there was a change activity(CHG0203527) at IPTV end which triggered the issue. To resolve the same change was rolled back following which the failures reduced and issue got resolved.</t>
  </si>
  <si>
    <t xml:space="preserve">P3
P3
P1
P2
P4
</t>
  </si>
  <si>
    <t>Alert102794232,Alert102796947,INC16394984
Tg Alert 
INC16394718,Alert102796231,Alert102794426
INC16394193,Alert102796473,INC16389983
Tg Alert</t>
  </si>
  <si>
    <t>Symptom:
1)Load average is too high (per CPU load over 2.0)
Host Name : 10.223.150.21/22
Sev-3 Current Value : 20.98
Alert time - 2025-10-31 18:01 Hrs (Fluctuating)
Event no -Alert102794232,Alert102796947,INC16394984
2) Multiple [FIRING] 5xx sms-service 
Alert: Service sms-service %xx count over 1m - 
current value is 1.6276935594909636 %
Alert time - 2025-10-31 19:05 Hrs (Fluctuating)
Event no -Tg Alert 
3)DTH_OE-DTH New Customer Acquisition-
OverallAvgResponseTime more than 300ms_sev-1
Alert time - 2025-10-31 19:06 Hrs (Fluctuating)
Event no -INC16394718,Alert102796231,Alert102794426
4)Multiple CRITICAL - Failed to add channels for IPTV in last 5 minutes
Threshold Value: 875.0
Error Description &amp; Techops Sop:
Errors in adding channels: 875
Alert time - 2025-10-31 19:10 Hrs (Fluctuating)
Event no -INC16394193,Alert102796473,INC16389983
5) impacted service
Web request service
N1 - one-epc - OneEPCApplication
Critical^HB_EPC Overall Response Time is high
Critical^HB_EPC Overall Response Time is = ~748.99 ms on 
Alert time - 2025-10-31 19:17 Hrs 
Event no -Tg Alert</t>
  </si>
  <si>
    <t>10/31/2025 18:01
10/31/2025 19:05
10/31/2025 19:06
10/31/2025 19:10
10/31/2025 19:17</t>
  </si>
  <si>
    <t>10/31/2025 18:06
10/31/2025 19:17
10/31/2025 19:18
10/31/2025 19:45
10/31/2025 19:43</t>
  </si>
  <si>
    <t>6% User Impacted.</t>
  </si>
  <si>
    <t>CHG0203527</t>
  </si>
  <si>
    <t>CC advisors were facing issues in MOP scenario for broadband customers intermittently.</t>
  </si>
  <si>
    <t>In this issue, errors were observed in Router Management APIs of ACS (managed by the third-party vendor EmbedUR), resulting in CC advisors being unable to view the MOP scenario intermittently. Furthermore, it was identified that connection broke between Zookeeper and Vault at EmbedUR end, triggering the issue. To resolve this, EmbedUR team established connection at their end, post which services resumed normally.</t>
  </si>
  <si>
    <t>INC16401626
Alert102826742,INC16403164,Alert102825155</t>
  </si>
  <si>
    <t>1)Channel-Backend-Alerts-cx-network for central elastic|Current Value : 20007.5
API : /router/devices
Alert Start Time: 01/11/2025 10:56 Hrs
Event NO:INC16401626
2) sp_multitenant_api_failure
URL : https://hbatomdn-prod.novatel.example/routermanagement/getConnectedDevices
URL:https://hbatomdn-prod.novatel.example/routermanagement/getAccessPointInfo
Alert Start Time: 01/11/2025 12:49 Hrs (fluctuating)
Event NO:Alert102826742,INC16403164,Alert102825155</t>
  </si>
  <si>
    <t>11/1/2025 10:56
11-1-2025 12:49:</t>
  </si>
  <si>
    <t>11/1/2025 11:07
11/1/2025 12:54</t>
  </si>
  <si>
    <t>Service Portal Success Dip (D vs D-7): (1191 vs 1182) is no Dip.</t>
  </si>
  <si>
    <t>Postpaid Customer Experience Journey, Prepaid Customer Experience Journey, Black Customer Experience Journey, DTH Customer Experience Journey, Broadband Customer Experience Journey</t>
  </si>
  <si>
    <t>INC16413830</t>
  </si>
  <si>
    <t>CC Advisors were not able to access Service Portal.</t>
  </si>
  <si>
    <t>In this issue, it was identified that multiple advisors had reported unauthorized access errors while logging into Service Portal. This issue was caused due to incorrect file-data uploaded for blacklisting users, which was provided by MSID team. Service Portal team corrected the file format and uploaded the accurate user base post which 90% of CC advisors were able to log in successfully. To mitigate the issue completely, DBA team restored the database backup to revert the system to its previous stable state. Post restoration, access for all remaining IDs has been reinstated, and Service Portal login functionality is now working fine for all advisors. Hence, the issue stands resolved.</t>
  </si>
  <si>
    <t>10K users unable to access.</t>
  </si>
  <si>
    <t>eCAF, Jupiter</t>
  </si>
  <si>
    <t>INC16450263</t>
  </si>
  <si>
    <t>Prepaid activation for MNP was impacted intermittently.</t>
  </si>
  <si>
    <t>In this issue, users reported an error during Prepaid MNP activation as NPIT request from eCAF was getting failed. Furthermore, to resolve this eCAF team took refresh of orionmobileAPI Service~EndPointMessageListener which was having a spike, post which services resumed normally for new cases. Moreover, eCAF team and Jupiter team manually reconciled old pending cases from shared dump, post which issue stands resolved.</t>
  </si>
  <si>
    <t>INC16435767
INC16435717</t>
  </si>
  <si>
    <t>Direct:
1)Messaging service
[ecaf-orionmobileapi-service] - EndpointMessageListener
Failure rate increase
20 requests/min impacted
by a failure rate increase to 53 %
Service method: Topic: NpitOrionRepushRejectionTopic
Alert Start Time: 04/11/2025 08:39 Hrs (fluctuating)
Event NO:INC16435767
2)Hostname:ECAF Actuator Alert severity: High Trigger: Block Thread of ecaf-orionmobileapi-service
Alert time : 2025-11-04 10:10 (fluctuating)
Event No : INC16435717</t>
  </si>
  <si>
    <t>04/11/2025 08:39
04/11/2025 10:10</t>
  </si>
  <si>
    <t>2025-11-04 10:28
2025-11-04 10:22</t>
  </si>
  <si>
    <t>1428 cases.</t>
  </si>
  <si>
    <t>INC16454299</t>
  </si>
  <si>
    <t>Incoming call connectivity dip observed in Nova IQ_Voice for users(Rapido, Urban Company and IFB)</t>
  </si>
  <si>
    <t>In this issue, users reported incoming call connectivity dip for Rapido, Urban Company, and IFB. Issue occurred because one of the VM’s where Nova IQ_Voice PRI is hosted was full because of UP Police PRI traffic got merged in the same VM. To mitigate this issue, NSG (Telco Network) team shifted Nova IQ_Voice PRI to healthy VM post which issue got resolved.</t>
  </si>
  <si>
    <t>INC16437207</t>
  </si>
  <si>
    <t>Symptom
1):Hostname:IQ Voice CDR severity: High Trigger: 162.45056746937595 Trigger Name : Anomaly_Rate_Rapido 
ISSUE STARTED description: Call volume of Rapido is lower by 25 percentage compared to yesterday
Alert time : 2025-11-04 12:08
Event No : INC16437207</t>
  </si>
  <si>
    <t>Call connectivity dip</t>
  </si>
  <si>
    <t>INC16438808</t>
  </si>
  <si>
    <t>In this issue, NovaWorks team was not getting any response from any NMS, and the cases were mainly reported from the Hyderabad circle. Further investigation revealed that one of the transport boxes in the NSG network was down. The NSG team restored the transport box, and after NovaWorks team take a repush, the pending orders got cleared and the issue was resolved.</t>
  </si>
  <si>
    <t>waiting for task 2 (FTTH + MOP) - 110 orders were stuck.</t>
  </si>
  <si>
    <t xml:space="preserve">NFB SBA, NFB CKYC, NFB Wallet, NFB CNG </t>
  </si>
  <si>
    <t>INC0606993</t>
  </si>
  <si>
    <t>Application not able to connect on the domain of "https://datascience.int.novabank.com/api/v1/check-fraudster" and getting a connection reset error by peer.</t>
  </si>
  <si>
    <t>In this issue multiple onboarding applications were impacted due to a connection request failure in the Data Science domain (https://datascience.int.novabank.com/api/v1/check-fraudster) following a recent change(CHG0009704) implementation. To resolve the issue, network team rolled back the change(CHG0009704), after which improvements began to appear. Additionally, further discussion is going on with OEM TAC team to investigate further root cause.</t>
  </si>
  <si>
    <t>For SBA account creation:- D vs D-7 = 1-39 = 38 (97.44%)
For CKYC account creation:- D vs D-7 =1-404 = 403 (99.75%)
For Wallet:- D vs D-7 =171-668 (74.33%)
For (Apb CNG) offservice, security control centre:- No transactional impact</t>
  </si>
  <si>
    <t>CHG0009704</t>
  </si>
  <si>
    <t>Black Customer Experience Journey (Call Center), Broadband Customer Experience Journey (Call Center), DTH Customer Experience Journey (Call Center), Postpaid Customer Experience Journey (Call Center), Prepaid Customer Experience Journey (Call Center)</t>
  </si>
  <si>
    <t>INC16452232</t>
  </si>
  <si>
    <t>CC advisors were not able to create SRs on Service Portal</t>
  </si>
  <si>
    <t>In this issue, CC Advisors encountered the error message "DFF not available" while raising SRs. Upon investigation, it was found that issue occurred in Rule Fetch API pod. To mitigate this issue, Case &amp; Interaction team performed service refresh of the Rule Fetch API, post which issue stands resolved.</t>
  </si>
  <si>
    <t>INC16451812/INC16451811</t>
  </si>
  <si>
    <t>Symptom
1)5XX_StatusCode_Gloo_API_CS
Business Group : Integration_Gloo_App-Monitoring
AUTHORITY : casemgmt.india.novatel.internal
CLUSTER_NAME : NonDMZ-Prod-Gloo-n1ocp-pclus-04
Alert time :2025-11-05 11:51
Event No : INC16451812/INC16451811</t>
  </si>
  <si>
    <t>Success Dip: (D vs D-7: 109 vs 1863) is 1744</t>
  </si>
  <si>
    <t>INC0607867</t>
  </si>
  <si>
    <t>NFB-CKYC are encountering an issue where CKYC flow is impacted due to PAN Fetch Failed issue from NSDL.</t>
  </si>
  <si>
    <t>In this issue, the NFB-CKYC team reported that they were encountering an issue where CKYC flow is impacted due to PAN Fetch Failed, due to which account creation were failing. During the investigation, NSDL team(Third Party) confirmed CKYC service is impacted due to technical issues from their end. Issue got resolved post NSDL team applied the corrective action and responses came back to normal. Following this action, an improvement was observed, and the issue was successfully resolved.</t>
  </si>
  <si>
    <t>For NFB-CKYC Account Creation Comparison- {D vs (D-7))= 40-252-212 (84.12% drop in account creation)</t>
  </si>
  <si>
    <t>INC16494445</t>
  </si>
  <si>
    <t>IPTV activation and installation was impacted.</t>
  </si>
  <si>
    <t>In this issue, It was identified that NovaWorks was getting timeouts from DTH_OE end on DTH Task Manager Services, which impacted IPTV installation and activation. On further investigation it was found that timeout was being observed due to long running queries at i360. However these long running queries got auto resolved post which issue stands resolved.</t>
  </si>
  <si>
    <t>P4
P3
P2
P3</t>
  </si>
  <si>
    <t>Alert103038742 
INC16468696 
INC16468697
INC16468667</t>
  </si>
  <si>
    <t>Direct:
1)10.223.161.41_DB ims: Too many slow queries (over 20 in 5m)_queries |Trigger Value: 454
Alert Start Time: 06/11/2025 05:23 Hrs (Fluctuating)
Event NO:Alert103038742 ,INC16468565
Symptom:
1) Web service
[dth-task-manager-service] - SRController
Failure rate increase
28.8 requests/min impacted
by a failure rate increase to 46 %
Alert Start Time: 06/11/2025 05:55 Hrs
Event NO:INC16468696 
2)HIGH - Check vector chipId call, latency and errors
Threshold Value: 6927.0
Error Description &amp; Techops Sop:
DelaysOrFailures count: 6927
Alert Start Time: 06/11/2025 06:00 Hrs
Event NO:INC16468697
3)SP_BEFE_ACQUISITION_JOURNEY_FAILURE_P2
Current Value : 43.86
URL.KEYWORD : http://internal-kong.india.novatel.internal/cx/order/experience/cart/v1/create
Alert Start Time: 06/11/2025 06:00 Hrs
Event NO: INC16468667</t>
  </si>
  <si>
    <t>11/06/2025 17:23
11/06/2025 18:00
11/06/2025 18:00
11/06/2025 18:00</t>
  </si>
  <si>
    <t>11/06/2025 17:28
11/06/2025 18:16
11/06/2025 18:20
11/06/2025 18:10</t>
  </si>
  <si>
    <t>650 Failure Hits</t>
  </si>
  <si>
    <t>INC16473350</t>
  </si>
  <si>
    <t>Spam critical process was impacted in DARTS for commercial domain.</t>
  </si>
  <si>
    <t>In this issue, DARTS team reported an issue while logging into the SFTP server (10.5.99.43). The following error was encountered: “Permission denied, please try again". Due to this error, SFTP connectivity was disrupted, leading to failure of dependent critical jobs. Moreover, SysAdmin team confirmed that the failure occurred due to a password authentication issue, resulting in the user account got locked due to multiple incorrect password attempts. To resolve, SysAdmin team unblocked the user account, after which the SFTP connectivity was restored and the job resumed successfully.</t>
  </si>
  <si>
    <t>1 critical job was impacted for commercial domain.</t>
  </si>
  <si>
    <t>INC16476080</t>
  </si>
  <si>
    <t>SMS delivery (Instant and Non instant KCI) were impacted.</t>
  </si>
  <si>
    <t xml:space="preserve">In this issue, memory Utilization was high for (10.223.142.28/30) due to which CLM team was unable to log in servers and BTFLY_KCI was not getting response from CLM end, further impacting SMS delivery (Instant and Non- Instant KCI). Initially, the impacted servers were rebooted post which some failure was observed for CLM jobs. To fix the issue, CLM dev team, shut down the jobs and restarted the same. Post this action BTFLY_KCI started getting response and pendency got cleared. </t>
  </si>
  <si>
    <t>INC16473241/INC16473246
INC16475780 ,INC16475781 ,INC16475782 ,INC16475783
INC16475887
INC16476257</t>
  </si>
  <si>
    <t>Direct:
1)Hostname:N1PBIL-DARA1369 severity: Warning Trigger: High memory utilization (&gt;80% for 15m) | Value: 99.38 % Current Threshold Value :99.38 %
Alert time: 2025-11-07 02:02Hrs
Event No :INC16473241/INC16473246
Symptom:
1)DNC Solace Bind Count ALERT FX6_ClmInstantMOBQ
Host Name : DNC Solace Bind Count ALERT
QUEUE : FX6_ClmInstantMOBQ
QUEUE : FX6_ClmInstantTMQ
QUEUE : FX6_ClmNonInstantTMQ
Alert Start Time: 07/11/2025 07:40 Hrs
Event NO:INC16475780 ,INC16475781 ,INC16475782 ,INC16475783
2)LRQ NON-SYS Exceed Duration of 30Min
Host Name : UDP DB LRQ
Current Value : 1.0
Alert Start Time: 07/11/2025 08:00 Hrs
Event NO:INC16475887
3)Transaction on act_ru_job : Reached Threshold (50K)
Host Name : UDP Alert On Camunda Pending Events
Current Value : 58681.0
Alert Start Time: 07/11/2025 08:59 Hrs
Event NO:INC16476257</t>
  </si>
  <si>
    <t>2025-11-07 02:02
2025-11-07 07:40
2025-11-07 08:00
2025-11-07 08:59</t>
  </si>
  <si>
    <t xml:space="preserve">
OPEN
2025-11-07 07:50
2025-11-07 10:18
2025-11-07 09:29</t>
  </si>
  <si>
    <t>40k Instant SMS</t>
  </si>
  <si>
    <t>DPS, Nova App</t>
  </si>
  <si>
    <t>INC16478331</t>
  </si>
  <si>
    <t>NovaTel wallet and NovaTel UPI payment was impacted via NFB in ThanksApp.</t>
  </si>
  <si>
    <t>In this issue, there was connectivity issue between DPS and NFB due to which NovaTel wallet and UPI Payment was impacted in ThanksApp. Further it was identified that, Issue occurred due to the integration of OC3 dedicated network switches 10.242.66.65 with the NFB Bank (DC Fabric in PDC) network, as part of change request CHG0009831. To resolve the issue, the OC3 dedicated network switches were removed from the NFB network, post which improvement was observed and issue got resolved</t>
  </si>
  <si>
    <t>Alert103049934,Alert103049935,Alert103050850
INC16472040,INC16475897</t>
  </si>
  <si>
    <t>Symptom
1)High 500 Failure for | DPS_APB_SERVICE | 
API : PAYMENT-REQ-ID 
API : PAYMENT-REQ-ID-ADAPTER
API : WALLET-PROFILE
Alert time - 2025-11-06 23:54Hrs
Event no - Alert103049934,Alert103049935,Alert103050850
2)Web service
N1 - APBTransactionsController - APBWebApplication (prod)
Failure rate increase
4.04k requests/min impacted
by a failure rate increase to 15 %
Service method: All methods affected
Alert time - 2025-11-07 00:03Hrs
Event no- INC16472040,INC16475897</t>
  </si>
  <si>
    <t>2025-11-06 23:54
2025-11-07 00:03</t>
  </si>
  <si>
    <t>2025-11-07 00:00
2025-11-07 01:10</t>
  </si>
  <si>
    <t xml:space="preserve"> DPS success dip: (d vs d-7: 46114 vs 58197= -12083) is 21%</t>
  </si>
  <si>
    <t>CHG0009831</t>
  </si>
  <si>
    <t>APB_IBS</t>
  </si>
  <si>
    <t>INC0608924</t>
  </si>
  <si>
    <t>NFB-IBS are encountering an issue where bank portal is impacted due to an error "SERVICE UNABAILABLE-DNS FAILURE"</t>
  </si>
  <si>
    <t xml:space="preserve"> In this issue, NFB-IBS team reported an issue where the bank portal was impacted due to the error "SERVICE UNAVAILABLE-DNS FAILURE", causing successful logins to fail. During the investigation, the NFB-Network team confirmed that the NFB-IBS service was affected following the implementation of change CHG0009422. To resolve the issue, the network team partially rolled back the changes introduced under CHG0009422 during last night's DNS changes for all associated domain. After this rollback, improvements began to appear. Subsequently, the issue was fully resolved, and normal service was restored.</t>
  </si>
  <si>
    <t>For NFB-IBS Dip in Success Login-[D vs (D-7)= (100% dip in success login)</t>
  </si>
  <si>
    <t>CHG0009422</t>
  </si>
  <si>
    <t>INC0608958</t>
  </si>
  <si>
    <t xml:space="preserve"> NFB-Payments-DMT are encountering an issue where two partner were not getting the traffic for "remittance.NovaTelpayments.bank.in"</t>
  </si>
  <si>
    <t>In this issue, NFB-Payments-DMT team reported an issue where two partner (Dhanhind &amp; SOUL COMMUNICATIONS PVT LTD) were not getting the traffic for "remittance.NovaTelpayments.bank.in", causing successful transaction to fail. During the investigation, the NFB-Network team confirmed that the NFB-Payments-DMT service was affected following the implementation of change CHG0009422. To resolve the issue, the network team partially rolled back the changes introduced under CHG0009422 during last night's DNS changes for all associated domain. After this rollback, improvements began to appear. Subsequently, the issue was fully resolved, and normal service was restored</t>
  </si>
  <si>
    <t>For NFB-Payments-DMT (Dhanhind &amp; SOUL COMMUNICATIONS PVT LTD) (Dip in Success transaction-(Dvs (D-1)=0-110-110 (100% dip in successful transaction)</t>
  </si>
  <si>
    <t>APB_Payment_DMT, APB_BBPS_COU, APB_BBPS_BOU_Inhouse, APB_Payment_UPI, APB_CKYC, APB_AEPS, APB_IMPS, APB_MicroATM, APB_Transit Cards, APB_IBS, APB_Fast Tag, APB_Mastercard, APB_My Nova App, APB_Payment Security</t>
  </si>
  <si>
    <t>INC0609646</t>
  </si>
  <si>
    <t>Multiple applications experienced transaction failures due to timeout issues.</t>
  </si>
  <si>
    <t>The issue occurred due to the integration of OC3 dedicated network switches (IP: 10.242.66.65) with the NFB Bank network (DC Fabric in PDC), as part of Change Request CHG0009831. This integration was intended to establish connectivity with the Oracle OC3 network. To resolve the issue, the OC3 dedicated network switches were disconnected from the NFB network, which successfully restored normal network operations.</t>
  </si>
  <si>
    <t>For NFB-DMT Success Dip (D Vs D-7 : 0 Vs 6129 : 100% dip)
For NFB-UPI Success Dip (D Vs D-7 : 0 Vs 10,27,354 : 100 % dip)
For NFB-CKYC Success Dip (D Vs D-7 : 3 Vs 279 : 99% dip)
For NFB-AePS Total Hits: 191,814, Failures: 80,147 ,Failure Rate: 41.78%
For NFB-IMPS Inward success dip (D Vs D-7 : 0 Vs 11367 : 100% dip)
For NFB-BBPS-BOU-Inhouse Success Dip D Vs D-7 : 0 Vs 10000 : 100% dip
NFB-Micro-ATM Transaction Success dip (D Vs D-1 : 0 Vs 3667 : 100 % dip)
For NFB-Transitcards  Total hits: 30353, Failure traffic: 686 transactions
For NFB-IBS High response observed (Traffic dipped D Vs D-7 : 58,097 Vs 93,163 : Apprx 37.63%)
For NFB-FASTag/NETC Total hits: 36,723, Failure traffic: 2,497, Approx ~ 93%
For NFB-Master Card Success Dip: D Vs D-7 : 0 Vs 6044 : 100% dip
For Thanks app Login  Comparison: Total count: 9,487,238, Failure count: 258,870 (Login failure rate: ≈ 2.73%)
For NFB-BBPS-COU: D (Today): Total hits: 87,227 ,Failure traffic: 9,910 (11.36%) Vs D-7: Total hits: 90,791, Failure traffic: 318 (0.35%) and Rechanges Failure rate increased from 0.35% on D-7 to 11.36% on D.
For NFB-PAYMENT-SECURITY : Failed count (51,071) ~100% impact.</t>
  </si>
  <si>
    <t>INC16493125</t>
  </si>
  <si>
    <t>Broadband installation orders were stuck on task 1.</t>
  </si>
  <si>
    <t>In this issue it was reported that Broadband installation orders are stuck on task 1. This issue triggered due to a change (CHG0205059) activity performed yesterday at Nokia end but the change got failed and Nokia team did roll back the change. Due to this failed change, orders were stuck for task 1. As of now to resolve this issue, Nokia team manually repushed the stuck orders and issue got resolved.</t>
  </si>
  <si>
    <t>INC16477268
 INC16477411, INC16477457</t>
  </si>
  <si>
    <t>Symptom:
1)NovaTel_Works alerts for Broad Band Journey  | Threshold Value :101
Alert time - 2025-11-07 10:56Hrs
Event No - INC16477268
2) Task 2 not received for FTTH broadband orders
Host Name : NovaTel_Works alerts for Broad Band Journey
Current Value : 158.0
Alert Time:2025-11-07 11:06 Hrs.
Event NO: INC16477411, INC16477457</t>
  </si>
  <si>
    <t>2025-11-07 11:06
2025-11-07 10:56</t>
  </si>
  <si>
    <t>2025-11-07 11:51
2025-11-07 11:51</t>
  </si>
  <si>
    <t>180 orders stuck</t>
  </si>
  <si>
    <t>CHG0205059</t>
  </si>
  <si>
    <t>DQM_Postpaid</t>
  </si>
  <si>
    <t>INC16476702</t>
  </si>
  <si>
    <t>Multiple jobs impacted on DQMTM DB.</t>
  </si>
  <si>
    <t>In this issue, DQMTM was not able to telnet with the DNS of the SCAN IP. Later on with the further investigation revealed that DNS scan IPs were changed by AD team as requested by DBA team, due to which issue triggered. To resolve this issue MyCloud DBA team removed 3 build machine IPs ( (10.245.46.92, 10.245.46.93 and 10.245.46.94)
) and flushed the cache. Following this action, issue stands successfully resolved.</t>
  </si>
  <si>
    <t>12 Jobs Impacted</t>
  </si>
  <si>
    <t>RITM13656550</t>
  </si>
  <si>
    <t>INC16491408</t>
  </si>
  <si>
    <t>Promoters were unable to log in Mitra App</t>
  </si>
  <si>
    <t>In this issue, Promoters were prompted for KYC verification while attempting to log in to the Mitra App. Further, it was revealed that these users had status as “EV Rejected” or “Affidavit Sent,” which had been marked as NV (Not Verified) by eCAF team. However, the data shared with the eCAF team by Mitra inadvertently included some user numbers that were already verified but still marked as NV. This incorrect status triggered the KYC verification prompt during login for those verified users as well. To resolve the issue, the change was rolled back and impacted users were correctly marked as verified post which issue got resolved.</t>
  </si>
  <si>
    <t>400 user login was impacted</t>
  </si>
  <si>
    <t>APB_AEPS, APB_IMPS, APB_BBPS_BOU_Inhouse, APB_Payment_UPI</t>
  </si>
  <si>
    <t xml:space="preserve">INC061028 </t>
  </si>
  <si>
    <t xml:space="preserve">Multiple Application were encountering an intermittent issue where they were getting timeout error </t>
  </si>
  <si>
    <t>In this issue, multiple application team reported an issue where they were getting timeout error of 499 code for incoming to bank (NPCI flow), causing dip in successful transaction. To resolve the issue, the network team confirmed that they have taken the failover from 10.242.66.63- Secondary Load Balancer to 10.242.66.64- primary load balancer. Following this activity, system performance began to improve, and the issue was eventually resolved, restoring normal service operations.</t>
  </si>
  <si>
    <t xml:space="preserve">For NFB-PAYMENTS-UPI-(D)= 52972 impacted out of 13,713,711= (0.38% impacted transaction For NFB-AePS-fD vs (D-7)= 374927-379275=4348(1.14% dip in successful transaction) For NFB-MPS-D vs (D-7)= 14-0-14 (failed transaction) For AAPB-BBPS-BOU-Inhouse-fD)= 6077= (impacted transaction) </t>
  </si>
  <si>
    <t>Broadband Activation Journey, Broadband Customer Experience Journey</t>
  </si>
  <si>
    <t>Ecom, eCAF</t>
  </si>
  <si>
    <t>INC16527133</t>
  </si>
  <si>
    <t xml:space="preserve">Broadband activation orders were impacted intermittently due to payment status was not getting updated. </t>
  </si>
  <si>
    <t>Intermittent issue where payment status was getting updated at eCAF with a slight delay. During investigation, it was observed that eCOM was facing a syncing issue, due to which the status update was delayed. However, during the troubleshooting call, the sync issue automatically got resolved, and the payment status started updating properly without any delay.</t>
  </si>
  <si>
    <t>INC16502690
INC16502596</t>
  </si>
  <si>
    <t>*NOC Proactive Alert Status*    
Incident Category: LW 
Application:ECOM, DPS, Ecaf
Impacted IP: No
Active Alert: Yes
Symptom:
1)High 400 Failure for INITIATE-QR-CODE-PAYMENT
API:INITIATE-QR-CODE-PAYMENT
Alert Time:2025-11-01 14:35 Hrs.
Event NO: INC16502690 
2) Web service
[cart-service] - PaymentController
Failure rate increase
781 requests/min impacted
Alert Time:2025-11-09 14:23 Hrs.(fluctuating)
Event NO: INC16502596</t>
  </si>
  <si>
    <t>2025-11-09 14:35
2025-11-09 14:23</t>
  </si>
  <si>
    <t>2025-11-09 14:45
2025-11-09 15:09</t>
  </si>
  <si>
    <t>Payment status was getting updated with a delay on eCAF.</t>
  </si>
  <si>
    <t>INC16509794</t>
  </si>
  <si>
    <t>CC advisors were not able to create SRs for all LOBs.</t>
  </si>
  <si>
    <t>In this issue, CC advisors were facing the error “DFF not available.” Upon investigation, it was identified that post network activity (CHG0205132), Case DB became inaccessible. To resolve this issue, Services were restarted manually by DBA team on node 36 and 35. Post which, SR creation started and Issue stands resolved.</t>
  </si>
  <si>
    <t>P1
P2
P3
P1
P3
P3
P3
P2
P3
P2</t>
  </si>
  <si>
    <t>INC16506075,INC16506077,INC16506079
Tg Alert
INC16506133,INC16506132,INC16506145,INC16506147 
INC16506701
INC16506145,INC16506685
INC16506577
INC16506658
INC16506648,INC16506651,INC16506669
INC16506710,INC16506638,INC16506720
INC16506679,INC16506729,INC16506933</t>
  </si>
  <si>
    <t>"Direct:
1)Multiple Central_DC_Interface down
Device IP = 10.222.22.9/10.222.23.31/32
Alert time - 2025-11-09 22:24/23:12 Hrs
Event no -INC16506075,INC16506077,INC16506079
2)Multiple BGP Peer is Down for Central DC
Device IP:10.222.23.32/10.222.22.91/92
Alert time - 2025-11-09 22:26/23:03 Hrs
Event no -Tg Alert
3)Multiple Interface Link down 
Hostname:10.14.109.35/36
Alert time - 2025-11-09 22:28 Hrs
Event no -INC16506133,INC16506132,INC16506145,INC16506147 
4)ping response on IP 10.14.109.35 is down error message ""ping timeout""_10.14.109.35
Alert Start Time: 2025-11-09 23:28 Hrs
Event NO:INC16506701
Symptom:
1)Query Case POD URL
Host Name : Case URL Monitoring
Sev-3 Current Value : 1.0
URL : http://querycase-console.apps.n1ocp-pclus-01.india.novatel.internal/troubleticket
Alert Start Time: 2025-11-09 23:13 Hrs
Event NO:INC16506577
2)Web service
[channels-tracking] - CXTrackingController
[sp-mt-dt-postpaid] - s2sUserScenarioController
CaseMGMT on port 443
Failure rate increase
8.72k requests/min impacted
by a failure rate increase to 100 %
Alert Start Time: 2025-11-09 23:23 Hrs
Event NOINC16506658
3)Multiple SP_MT_RULE_FAILURE Alert
Host Name : SP_MT_RULE_FAILURE
Sev-2Current Value : 100.0
RULE_NAME : SIEBEL - SR_SLA_STATUS
RULE_NAME : COMPTEL MAIN/VOICE DA BALANCE
Alert Start Time: 2025-11-09 23:22 Hrs
Event No:INC16506648,INC16506651,INC16506669
4)Status Code[503] Count Greater than [500] in Last 10 Minutes||
Host Name : 5XX_StatusCode_Gloo_API_CS
Sev-3 Current Value : 1629.0
AUTHORITY : casemgmt.india.novatel.internal
Alert Start Time: 2025-11-09 23:22 Hrs
Event NO:INC16506710,INC16506638,INC16506720
5)Multiple service landing-telco services list-Widget Failure Percent ----||---- Threshold &gt; 10
Host Name : Services Journey - Thanks App
Alert Start Time: 2025-11-09 23:28 Hrs
Event NO:INC16506679,INC16506729,INC16506933
"</t>
  </si>
  <si>
    <t>2025-11-09 22:25
2025-11-09 22:26
2025-11-09 22:28
2025-11-09 23:28
2025-11-09 23:29
2025-11-09 23:13
2025-11-09 23:23
2025-11-09 23:22
2025-11-09 23:22
2025-11-09 23:28</t>
  </si>
  <si>
    <t>2025-11-09 22:37
Open
2025-11-10 00:08
2025-11-10 00:06
2025-11-10 06:47
2025-11-10 00:13
2025-11-10 00:50
2025-11-09 23:33
2025-11-09 23:51
2025-11-09 23:51</t>
  </si>
  <si>
    <t>SR Creation Success Dip: D vs D-7: 5004 vs 9679 is 4675.</t>
  </si>
  <si>
    <t>CHG0205132</t>
  </si>
  <si>
    <t>Broadband Activation Journey, Broadband Customer Experience Journey, Broadband Installation/FR Journey</t>
  </si>
  <si>
    <t>INC16511286</t>
  </si>
  <si>
    <t>Broadband installation/activation orders were stuck at Nokia_OSS GIS.</t>
  </si>
  <si>
    <t>In this issue, Nokia_OSS GIS was observing connectivity loss between GSS and VMDS as pods were getting restarted and duplicate request for packets was getting received due to which Broadband installation/activation orders were stuck at Nokia_OSS GIS end. To mitigate the services were stopped by Nokia GIS and Cluster was moved to  10.223.142.137. Further Unix team took Network service restart for   10.223.142.136 post which improvement was observed and issue got resolved.</t>
  </si>
  <si>
    <t>Primary Root Cause:
Leg 01 – Specification 
Q1: Why service disruption observed for broadband customer experience journey? 
A1: Because Nokia GIS DB servers experienced intermittent connectivity issues with VMDS due to repeated duplicate packet requests at network layer. This duplicate packet behavior caused unstable communication between GIS DB and VMDS, slowing down broadband order processing. As a result, broadband installation orders were delayed within the GIS workflow, directly affecting the end-to-end broadband customer experience journey. 
Q2: Why Nokia GISDB servers receiving duplicate packets requests? 
A2: Because after OS patching and reboot of the Veritas servers(10.223.142.136 and 10.223.142.137), the servers began learning two different MAC addresses for the same VLAN gateway. This caused path flapping, resulting in repeated duplicate packet requests being received on the Nokia GIS DB servers. 
Q3: Why two different MAC addresses being learned for the same VLAN gateway? 
A3: Because as part of the ongoing network fabric migration at Sector 62 DC, both the old and new fabrics were active simultaneously and servers were distributed across these fabrics. Each fabric was broadcasting its own active VLAN gateway MAC address, the servers ended up learning two separate valid MAC addresses for the same gateway. 
Q4: Why both fabrics advertising VLAN gateway MACs? 
A4: Because the migration design allowed both fabrics to operate in-parallel and the VLAN gateway on the new fabric was not disabled during the transition. This dual-fabric gateway presence to support the transition, resulted in broadcasting simultaneous VLAN gateway MAC addresses from both fabrics, which in turn created server to learn dual-MAC behavior.
Leg 02 – Detection 
Q1: Why was the issue not detected proactively? 
A1. • The issue was initially suspected to be related to the recent OS patching activity, which diverted focus away from network-related root causes. 
• OS patches were rolled back on both servers, but the issue persisted, confirming that the OS layer was not responsible. 
• Arista initially reported no issues at network layer. The absence of alerts or identifiable symptoms caused the network anomaly to remain undetected. 
• Only after OS rollback did not resolve the problem, Arista was re-engaged and deeper analysis revealed dual-fabric MAC learning as the underlying cause. 
Leg 03 – Systemic Failure 
Q1: What systemic gap allowed the issue to occur? 
A1: The network migration design allowed both the old and new fabrics to operate with active VLAN gateways simultaneously, without any isolation or gateway suppression controls. This dual-gateway architecture allowed servers to learn two different gateway MAC addresses, causing duplicate packet flow and intermittent connectivity issues. 
Q2: Why was such a migration approach approved? 
A2: Because the transition strategy was intended to ensure service continuity and dual-fabric operation was allowed by design. However, the risks associated with simultaneous gateway advertisement were not fully evaluated, documented or mitigated. 
Q3: What control gaps existed? 
A3: • No automated detection mechanism for identifying gateway MAC flapping across fabrics. 
• No routing or ARP/MAC consistency checks implemented during migration phases. 
• No enforcement mechanism or policy to ensure only one active VLAN gateway per VLAN during transition or co-existence periods.
Preventive Actions: 
•	Data Centre Hardware Refresh: Core switch replacement in progress, upgrading memory from 8GB to 16GB to support new firmware and prevent memory-related failures. – Bedabrat (In Progress)
•	Network Fabric Migration: Transition from legacy fabric to the new network fabric to enhance stability and reliability. – Bedabrat (In Progress)
•	Duplicate MAC Learning Disablement: Disabling dual-MAC learning on servers to eliminate duplicate MAC behavior. – Bedabrat (Open)</t>
  </si>
  <si>
    <t>PRB0044563</t>
  </si>
  <si>
    <t>INC16510242,INC16510243,INC16510638,INC16510640,INC16510637,INC16510641</t>
  </si>
  <si>
    <t>1)Multiple GIS Critical urls total_time Alert
Current Value : 17560.6
URL : https://gsaprod.india.novatel.internal:8443/lite
URL : https://gsaprod.india.novatel.internal:6443/Portal
URL : https://ossgis.india.novatel.internal/
URL : https://ossgis.india.novatel.internal/emaps/
URL : https://ossgis.india.novatel.internal/physical_browser
URL : https://ossgis.india.novatel.internal/fault_locator/
Alert time - 2025-11-10 07:00 Hrs
Event no -INC16510242,INC16510243,INC16510638,INC16510640,INC16510637,INC16510641</t>
  </si>
  <si>
    <t>170 Orders</t>
  </si>
  <si>
    <t>INC16524041</t>
  </si>
  <si>
    <t>PNI Application not accessible</t>
  </si>
  <si>
    <t>In this issue, it was reported that GIS team was facing DB connectivity issue on one of their server 10.223.142.136 due to which PNI Application was not accessible to the users. However, during the course of troubleshoot, nothing conclusive was identified and issue got resolved without any technical intervention.</t>
  </si>
  <si>
    <t>Users unable to access PNI application.</t>
  </si>
  <si>
    <t>Broadband installation orders were stuck at Nokia_OSS GIS end.</t>
  </si>
  <si>
    <t>The issue reoccured where, Nokia_OSS GIS was observing DB connectivity issue where duplicate requests for packets were received due to which broadband installation orders were stuck at Nokia_OSS GIS end. To mitigate, application services were stopped by Nokia GIS team and DBA team then moved the database services to secondary database  (10.223.142.137), post which orders started getting cleared and issue got resolved.</t>
  </si>
  <si>
    <t>INC16515585
INC16515649,INC16515647</t>
  </si>
  <si>
    <t>Symptom:
1)NovaTel_Works alerts for Broad Band Journey
  Current Value : 211.0
Alert Time:2025-11-10 16:11 Hrs
Event NO:INC16515585
2)GIS_queue_monitoring_length Elastic|Current Value : 101
Alert Time:2025-11-10 16:15 Hrs
Event NO:INC16515649,INC16515647</t>
  </si>
  <si>
    <t xml:space="preserve">2025-11-10 16:11:09
2025-11-10 16:15:09
</t>
  </si>
  <si>
    <t xml:space="preserve">2025-11-10 16:32:47
2025-11-10 16:30:09
</t>
  </si>
  <si>
    <t>710 orders were impacted.</t>
  </si>
  <si>
    <t>INC16518068</t>
  </si>
  <si>
    <t>Prepaid success dip:12426(D vs D-7: 42723 vs 55149) is 23% dip.
Postpaid success dip: 234(D vs D-7: 2222 vs 2456) is 10% dip.
Simswap sucess dip: 9933(D vs D-7: 6721 vs 16654) is 60% dip.</t>
  </si>
  <si>
    <t>Postpaid Payment Posting Journey, Broadband Payment Posting Journey, Black Payment Posting Journey, Postpaid Customer Experience Journey, Broadband Customer Experience Journey, Broadband Customer Experience Journey (Call Center), Postpaid Customer Experience Journey (Call Center), Black Customer Experience Journey (Call Center), Postpaid Activation Journey, Black Activation Journey, Postpaid Dunning Order Journey, Broadband Dunning Order Journey, Postpaid New Customer Acquisition Journey, Postpaid New Customer Acquisition-MNP Journey</t>
  </si>
  <si>
    <t>Service Portal, Selfcare_B2C, LAPU_MT, DCAP, OneNova, HB_Billing, BTFLY_BILLING, DTH_OE, DTH_OM, Ecom, BSL, HB_ATOM, BTFLY_ATOM, POQ, UDP_Dunning, DNC, Jupiter</t>
  </si>
  <si>
    <t>INC16518344</t>
  </si>
  <si>
    <t>Multiple applications observed service disruptions as one of the eSXI host went down.</t>
  </si>
  <si>
    <t>In this issue, eSXI host (n1-vi2-esx2.india.NovaTel.itm) went down due to which multiple VMs went unavailable. To mitigate, VM team rebooted the affected host and placed it into maintenance mode, post that impacted VMs were migrated to another available host. Post-migration, services were successfully restored, and normal operations resumed.</t>
  </si>
  <si>
    <t>Primary Root Cause – (Unknown) 
-	An incident occurred on ESXi host n1-vi2-esx2 on 10th November 2025, leading to VM reachability issues, failed vMotion operations and eventual host isolation from vCenter and NSX Control Manager. 
-	As a result, multiple application services hosted on the affected VMs experienced disruptions. This led to impact across several business journeys, including Broadband/Postpaid/DTH payment posting, Service Portal operations, IPTV activation orders, Jupiter - Postpaid MNP UPC port out and Post2Pre/Pre2Post change orders, BTFLY_ATOM/HB_ATOM workflows. 
-	The issue occurred in two clear phases: an initial TEP/IP-level failure, followed by complete management-plane isolation. The key findings are summarized below.
1. Phase 1 – TEP Failure on vmk11 (Initial VM Impact)
Key Observations:
•	At 12:22:46 UTC (10 November 2025), the ESXi host’s vmk11 TEP interface lost its DHCP-assigned IP and immediately fell back to an APIPA (169.254.x.x) address.
•	DHCP lease renewal attempts (DHCPDISCOVER) continued unsuccessfully from 13:15:33 UTC to 15:03:33 UTC.
•	The host never regained the TEP IP during this period as per available logs.
•	Due to the loss of the vmk11 TEP IP:
o	Traffic for VMs mapped to vmk11 was impacted.
o	VMware confirmed similar partial VM impact when a TEP loses its IP.
Outstanding Gaps:
•	Exact DHCP lease expiry timestamp for vmk11 is not available in ESXi logs.
•	Despite TEP loss at 12:22 UTC, teams observed VM impact began only at 12:36 UTC, leaving an unexplained 14-minute gap in symptom onset.
2. Phase 2 – ESXi Host Management-Plane Isolation (Major Impact)
Key Observations:
•	At 12:53–12:54 UTC (10 November 2025), ESXi host n1-vi2-esx2 which contains 6 VMs that were affected:
o	Lost vCenter heartbeats
o	Triggered FDM isolation alarms
o	Lost NSX control-plane connectivity
o	Entered Not Responding state
•	NSX Manager logs show Transport Node disconnection within seconds of host isolation.
•	vCenter logs confirm heartbeat loss and sudden host unreachable state.
Critical Note:
•	VMware was unable to recreate this second phase in their simulation to reproduce the issue.
•	10 out of 16 VMs remained accessible, indicating partial data-plane functionality but full control-plane failure.
3. Physical &amp; Network Layer Validation
Findings:
•	No VMNIC/uplink down events were observed during the entire timeframe.
•	Both ESXi hosts (esx1 and esx2) share:
o	The same TOR switches
o	Identical uplink/downlink paths
o	Identical routing path to vCenter
•	Yet only esx2 lost management-plane connectivity.
Unexplained Factor:
•	No evidence was found to explain why only esx2 experienced:
o	DHCP failures
o	TEP loss
o	Management-plane isolation
o	Complete disconnection from vCenter and NSX Manager
4. OEM (Broadcom) Conclusion - Due to absence of packet captures as the host was rebooted and limited DHCP logging, both VMware and Network OEMs have stated that:
•	A conclusive RCA cannot be completed.
•	The most definitive method to isolate root cause in future is:
o	Packet captures on ESXi uplinks/Switch ports at the moment of impact.
o	Validation of DHCP server reachability during incident.
o	Cross-verification of TEP-to-uplink tunnel mappings.
Preventive Measure – 
•	Ensure to send TCP Wave DHCP log files to Network ELK server to isolate DHCP Issues . – Neeraj Jaguri (Closed)</t>
  </si>
  <si>
    <t>PRB0044564</t>
  </si>
  <si>
    <t>Digital Experience B2C, Prepaid, Postpaid, Digital Acquisition, Broadband, DTH</t>
  </si>
  <si>
    <t>INC16516888,INC16516887,INC16516917,INC16517013
INC16516953,INC16517004,INC16517121</t>
  </si>
  <si>
    <t xml:space="preserve">Symptom:
1) Multiple Ping response alert
IP- 10.223.XXX.XXX, 10.222.XXX.XXX
Alert Start Time : 10/11/2025 17:56 Hrs
Event No:INC16516888,INC16516887,INC16516917,INC16517013
2) Multiple application performance alerts
Alert Start Time : 10/11/2025 18:03 Hrs
Event NO: INC16516953,INC16517004,INC16517121
</t>
  </si>
  <si>
    <t xml:space="preserve">
2025-11-10 17:56:04
2025-11-10 18:03:49</t>
  </si>
  <si>
    <t>2025-11-10 18:23:09
2025-11-10 18:23:21</t>
  </si>
  <si>
    <t>Payment posting:- Postpaid: 673, Broadband: 359,JK10: 395, DTH Postpaid: 145.
Postpaid Bill pay: 66% failure
Landline Bill pay: 72% Failure
IPTV Activation: 650
Change order/Post2Pre/Pre2Post: 2500
Jupiter - Postpaid MNP UPC port out impacted - 161 orders.
Service Portal Success Hits: (D vs D-5: 39050 vs 40196: 1146 is 2%).
UDP_Dunning/DNC: No impact.
HB_ATOM Orders: 2210 (Change of bill plan: 98, Change order: 574, Involuntary remove OGB: 19, New registration: 1563, Post to Pre: 3, Pre to Post: 2, Safe Custody: 49).
BTFLY_ATOM Orders: 2641 (Change of bill plan: 612, Change order: 838, Involuntary remove OGB: 28, New registration: 557, Post to Pre: 24, Pre to Post: 550, Safe Custody: 32).
Selfcare_B2C Success Hits: (D vs D-3: 171474 vs 750091: 578617 is 77%).
eCOM:- Postpaid Success Dip: No dip (D vs D-7: 1343 vs 1315: -28).
Black Success Dip: (D vs D-7: 426 vs 563: 136).</t>
  </si>
  <si>
    <t>INC16525900</t>
  </si>
  <si>
    <t xml:space="preserve">Prepaid and SimSwap acquisition was impacted for Kolkata circle.  </t>
  </si>
  <si>
    <t xml:space="preserve"> In this issue, eCAF was observing errors from ESB and further from OneNMS leading to impact on prepaid and simswap acquisition. Upon investigation, DBA team identified and killed two LRQs running on same table of OneNMS DB, post which the issue got resolved. </t>
  </si>
  <si>
    <t>P3
P3
P3
P4</t>
  </si>
  <si>
    <t>INC16516506,INC16516796,INC16517469
INC16518418
INC16518421
INC16518514,Alert103208720</t>
  </si>
  <si>
    <t>Direct:
1)Hostname:10.241.162.102/101_NMSCDB| Long Running Query
Alert Start Time: 10/11/2025 17:47 Hrs (Fluctuating)
Event NO:INC16516506,INC16516796,INC16517469
Symptom:
1)Web request service
[ecaf-simswap-service-canary] - simswap-new-app (/simswap-new-app)
Disaster^ECAF-ecaf-simswap-service-Responsetime&gt;1000ms
ECAF-ecaf-simswap-service-Responsetime&gt;1000ms
Alert time-2025-11-10    20:05 Hrs.
Event No-INC16518418
2) High 90th Precentile value for ESB_Weblogic_API_90percentile
API : /services/resource/gatherresourceinformation/validateandallocate/sim/v1_3
Alert Start Time: 10/11/2025 20:06 Hrs
Event NO:INC16518421
2)Multiple ESB KONG API 503 FAILURE PERCENTAGE GREATER THAN 40%  
Host Name : ESBWEBLOGICKONGAPI503     
APINAME : /services/resource/gatherresourceinformation/validateandallocate/sim/v1_3
Alert time-2025.11.10    20:16 Hrs.(flactuating)
Event no-INC16518514,Alert103208720</t>
  </si>
  <si>
    <t>2025-11-10 17:20:53
2025-11-10 20:05:02
2025-11-10 20:06:58
2025-11-10 20:16:07</t>
  </si>
  <si>
    <t>Open
2025-11-10 20:42:02
2025-11-10 20:46:58
2025-11-10 20:26:52</t>
  </si>
  <si>
    <t>Prepaid success dip:1532 (D vs D-7: 6851 vs 8383) is 18% dip.
Simswap sucess dip: 1722 (D vs D-7: 377 vs 2099) is 82% dip.</t>
  </si>
  <si>
    <t>INC16525599</t>
  </si>
  <si>
    <t>MNP Port In, Port Out and UPC was impacted.</t>
  </si>
  <si>
    <t>In this issue, it was identified that N2 DB of Jupiter went down, impacting MNP Port In, Port Out, and UPC services. As a part of the mitigation, internal Jupiter traffic was shifted 100% to N1, and an email was sent to MCH team to route Telecordia and syniverse MCH traffic to N1. Further investigation revealed the hostname changes resulted in the quorum disc connectivity issue. To fix this, UNIX team mounted the quorum disk, post which the issue was mitigated and services restored to normal.</t>
  </si>
  <si>
    <t>P3
P3
P2
P3</t>
  </si>
  <si>
    <t>TG Alert 
INC16520456,INC16521000
 INC16520430
 INC16520458/INC16521097</t>
  </si>
  <si>
    <t>Direct: 
1)OPEN Custom Alert P-25115030 in environment dt-NovaTel
Problem detected at: 17:48
Oracle DB Instance
NPIT2
Disaster^Oracle- Blocked Sessions High on NPIT2
Alert time : 2025-11-10 23:20 (fluctuating)
Event No : TG Alert 
2)Connection for monitoring user sys failed with error ORA-01017: invalid username/password; logon denied (DBD ERROR: OCISessionBegin)
Alert time : 2025-11-10 23:36
Event No :INC16520456,INC16521000
Symptom
1)sp_multitenant_api_failure
https://mnp.novatel.example:7091/AIWebServices/services/mnpStatusCheck
Alert time : 2025-11-10 23:31
Event No : INC16520430
2)Multiple dynatrace issue 
A)Web request service
N1 - Ab Initio Web Services Version 2.0.27 (/AIWebServices) - WebLogic PROD_DOMAIN WL_SERVER1
Failure rate increase
54.4 requests/min impacted
by a failure rate increase to 100 %
Service method: All dynamic requests
B)Web request service
N2 - Ab Initio Web Services Version 2.0.27 (/AIWebServices) - WebLogic JUPITER_DOMAIN MS_2
Failure rate increase
30.2 requests/min impacted
by a failure rate increase to 100 %
Service method: /AIWebServices/services/mnpStatusCheck
Time : 2025-11-10 23:35
Event No : INC16520458/INC16521097</t>
  </si>
  <si>
    <t>11/10/2025  11:20
11/10/2025  11:36
11/10/2025  11:31
11/10/2025  11:35</t>
  </si>
  <si>
    <t>11/11/2025  00:14
11/11/2025  07:04
11/10/2025  11:45
11/11/2025  02:33</t>
  </si>
  <si>
    <t>Port Out: 56K &amp; Port in: 53171 orders TAT delayed.</t>
  </si>
  <si>
    <t>Broadband installation/activation stuck at Nokia_OSS GIS end.</t>
  </si>
  <si>
    <t>The issue reoccurred, wherein GIS application was observing duplicate ping request on Secondary node 10.223.142.137 due to which broadband activation/installation orders were stuck on Nokia_OSS GIS Application. Further to mitigate the issue Unix team power drained the Primary node 10.223.142.136 and shifted the services on the same from secondary node. However, post shifting the services to primary node issue got resolved.</t>
  </si>
  <si>
    <t>58 Orders</t>
  </si>
  <si>
    <t>INC16527638</t>
  </si>
  <si>
    <t>Onboarding SMS for Broadband was impacted.</t>
  </si>
  <si>
    <t>In this issue, BTFLY_KCI was receiving 500 error from CLM due to which broadband Onboarding SMS were impacted. Further it was revealed that there was a change(CHG0205482) deployed at HB_ATOM end due to which issue triggered, To mitigate this issue HB_Atom team rolled back the change, post which the SMS started processing and issue got resolved.</t>
  </si>
  <si>
    <t>P3
P3
P3
P2</t>
  </si>
  <si>
    <t>INC16525773
Alert103232261
INC16525789
INC16526684</t>
  </si>
  <si>
    <t>1)DNC Solace Bind Count ALERT FX6_ClmInstantMOBQ||DNC Solace Bind Count ALERT FX6_ClmInstantMOBQAlert 
Host Name : DNC Solace Bind Count 
QUEUE : FX6_ClmInstantMOBQ
QUEUE : FX6_ClmNonInstantTMQ
ALERT Time:2025-11-11 10:10 Hrs
Event NO:INC16525773,Alert103232261
2)High Number of Spooled Messages for Following Solace Queue in last 10m||MobilityDispatcherIncomingQ
Host Name : UDP_Solace_South_ALERT
ALERT Time:2025-11-11 10:13  Hrs
Event NO:INC16525789
3)HB_DN_KCI_ALERT||ACS, Voice Config
Host Name : hb_dn_kci_alert_new
Current Value : 1187.0
ALERT Time:2025-11-11 11:30 Hrs
Event NO:INC16526684</t>
  </si>
  <si>
    <t>11/11/2025  10:11:00 AM
11/11/2025  10:11:00 AM
11/11/2025  10:13:00 AM
1/11/2025  11:30:00 AM</t>
  </si>
  <si>
    <t>11/11/2025  11:30:00 AM
11/11/2025  11:30:00 AM
11/11/2025  11:43:00 AM
11/11/2025  12:53:00 PM</t>
  </si>
  <si>
    <t>3k Messages</t>
  </si>
  <si>
    <t>CHG0205482</t>
  </si>
  <si>
    <t xml:space="preserve">In this issue, the problem reoccurred where, Nokia_OSS GIS was observing connectivity loss between GSS and VMDS as duplicate request for packets were received, triggering the issue. As of now, Unix team Rolled back the OS patch on secondary node (10.223.142.137) and Application is switched over to the same from Primary node (10.223.142.136), post which issue stands resolved. </t>
  </si>
  <si>
    <t>INC16528624</t>
  </si>
  <si>
    <t>1)Orders stuck at Tag change State - FTTH broadband orders
Host Name : NovaTel_Works alerts for Broad Band Journey
Sev_2,Current Value : 184.0
COMPONENT : ordercound_mop_ftth_tag_change
Alert Time:2025-11-11 14:21 Hrs
Event NO: INC16528624</t>
  </si>
  <si>
    <t>491 orders</t>
  </si>
  <si>
    <t>INC16528170</t>
  </si>
  <si>
    <t>FTA reports were impacted for PAN India.</t>
  </si>
  <si>
    <t>In this issue, DARTS team encountered a connection timeout error while transferring files to the SFTP server (ims_sftp@10.5.28.12), resulting in FTA report generation being impacted for PAN India. Moreover, Unix team terminated existing SFTP sessions and identified high CPU utilization on the server (10.5.28.12), after which the CPU utilization normalized automatically, connectivity was successfully restored and file transfers resumed normally.
Further, Application team will coordinate with the respective teams to schedule a reboot of the impacted server (10.5.28.12) during off-hours as a preventive measure.</t>
  </si>
  <si>
    <t>22 Circles were impacted.</t>
  </si>
  <si>
    <t>Broadband installation/activation orders stuck at Nokia_OSS GIS end.</t>
  </si>
  <si>
    <t>This issue reoccured where, Nokia_OSS GIS was observing connectivity loss between GSS and VMDS.
However, unlike the previous occurrence, there was no duplicate request observed, though the error pattern remained the same due to which Broadband installation/activation orders were stuck at Nokia_OSS GIS end. To mitigate, application team stopped the services on (10.223.142.137) but after some time, the connection was automatically re-established, and then again application team restarted their services on (10.223.142.137) and pods are running fine, post which issue got resolved.</t>
  </si>
  <si>
    <t>Alert103245326</t>
  </si>
  <si>
    <t>Symptom:
1)Orders stuck at Tag change State - FTTH broadband orders||Check with Nokia Team
Host Name : NovaTel_Works alerts for Broad Band Journey 
INSTANCE : 10.5.31.145:9091
Alert Time:2025-11-11 18:11 Hrs
Event NO:Alert103245326,Alert103245324, Alert103245355</t>
  </si>
  <si>
    <t xml:space="preserve">	
2025-11-11 18:11:09</t>
  </si>
  <si>
    <t>497 orders were impacted.</t>
  </si>
  <si>
    <t>In this issue, the problem reoccurred where, Nokia_OSS GIS is observing connectivity loss between GSS and VMDS as duplicate request for packets were received, due to which Broadband installation/activation orders are stuck at Nokia_OSS GIS end. To mitigate the issue, Network team disabled both NIC Card for Primary (10.223.142.136) nodes and tested, but no improvements observed. However, to minimize the impact on business, application team stopped the services on primary (10.223.142.136) node  and shifted the services on secondary (10.223.142.137) node. Post shifting the services on secondary node services are running fine and issue stands resolved.</t>
  </si>
  <si>
    <t>18 Orders Impacted</t>
  </si>
  <si>
    <t>Nova App Experience Journey, Prepaid Activation Journey, Prepaid Customer Experience Journey, Prepaid Customer Experience Journey (Call Center), Prepaid New Order Sim Swap Journey</t>
  </si>
  <si>
    <t>PACS, eCAF, eCAF_Sim Swap, Service Portal, Nova App</t>
  </si>
  <si>
    <t>INC16631428</t>
  </si>
  <si>
    <t>Prepaid and Simswap Activation delayed along with details view for CC Advisors in Service Portal impacted for South Hub.</t>
  </si>
  <si>
    <t>In this issue, CC advisors and customers faced trouble fetching details for south hub and activation orders were stuck for Prepaid and Simswap LOB across South Hub (Ker, KK,AP, TN circles ) due to Chennai and Bangalore DB being unreachable. This was traced to a network switch in F row of Bangalore DC entering hung state. To resolve this, Network team did hard reboot for the same, post which one device came up successfully and one was found to be faulty. Network team isolated the faulty device. As of now, DB is connected with SPOF and issue stands resolved.</t>
  </si>
  <si>
    <t>Prepaid, Digital Acquisition, Digital Experience B2C</t>
  </si>
  <si>
    <t>P1
P3
P2
P1</t>
  </si>
  <si>
    <t>INC16538325 , INC16538296
INC16538472 ,INC16538441
INC16538556 ,INC16538847 
INC16538533 ,INC16538534,INC16538638</t>
  </si>
  <si>
    <t>Direct:
1)Node DOWN for Node = BAL-SHDR-5100-FRDR-VC 10.92.20.202 &amp; Network Interface goes DOWN for Node = BAL-SHDR-EX4300-FRDR1-VC, Node IP = 10.92.20.201
10.92.20.18/10.92.20.211/ 10.92.20.202
Alert Time:2025-11-12 08:36 Hrs
Event NO:INC16538325 , INC16538296
2) ECAF Milestone alert PACS_Pendency
Alert Time: 2025-11-12 08:55Hrs
Incident :INC16538472 ,INC16538441
3) Multiple Application Performance alert Service Portal/ECAF/PACS/ESB
Alert time:2025-11-12 09:01Hrs
Incidents:INC16538556 ,INC16538847 
4)Multiple Ping 10.92.3.60  PACS/10.92.3.64  PACS/10.92.3.61  PACS/10.92.3.52  PACS/10.92.3.58  PACS/10.92.3.57  PACS/10.92.3.43  
Alert Time:2025-11-12 9:07 Hrs
Event NO:INC16538533 ,INC16538534,INC16538638</t>
  </si>
  <si>
    <t>2025-11-12 08:40
2025-11-12 08:50
2025-11-12 09:01
2025-11-12 08:58</t>
  </si>
  <si>
    <t>2025-11-12 09:12
2025-11-12 09:02
2025-11-12 09:13
2025-11-12 09:35</t>
  </si>
  <si>
    <t>Prepaid Success Dip (D vs D-7): 3886 (16620 vs 20506) is 19%. Simswap Success Dip (D vs D-7): 1221 (838 vs 2059) is 59%. Service Portal View Success Dip (D vs D-3): 928 (15158 vs 16086) is 6%.</t>
  </si>
  <si>
    <t>Black Payment Posting Journey</t>
  </si>
  <si>
    <t>INC16542041</t>
  </si>
  <si>
    <t>Payment posting for Black was Impacted</t>
  </si>
  <si>
    <t>In this issue, there was a sudden spike on Payment Breakup from the DCAP end. During the investigation it was found that, there was an Timeout error in Payment Split API due to which this issue triggered. However the issue got resolved without any technical intervention.</t>
  </si>
  <si>
    <t>INC16541241 , Alert103276683</t>
  </si>
  <si>
    <t>Symptom:
1)Multiple Dcap OCP 4 High Failures being Observed for home_fail in last 15minutes
Host Name : DCAP OCP 4 MetricWise Failed Hits ALERT
Name : Homes Payment Posting Failure
Current Value : 177.0
Alert Time:2025-11-12 12:54 Hrs
Event NO:INC16541241 , Alert103276683
2)2 impacted services
Web service[cap-homes-preprocessor] - CapHomesPreprocessorResource Response time degradation323 requests/min impactedThe current response time (7.03 s) within the slowest 10% exceeds the auto-detected baseline (1.02 s) by 588 %Service method: All methods affecteddt.entity.cloud_application_namespace: [CLOUD_APPLICATION_NAMESPACE-2D21E2A470B214F4]
dt.entity.kubernetes_cluster: [KUBERNETES_CLUSTER-C8B781351A791FCD]
k8s.cluster.name: [n1ocp-pclus-01]
k8s.cluster.uid: [148bdea5-b4ac-48d4-8f27-4b23e08d22bd]
k8s.namespace.name: [dcap-prod]
Alert Time:2025-11-12 12:05 Hrs
Event NO:TG Alert</t>
  </si>
  <si>
    <t>2025-11-12 12:54
2025-11-12 13:01</t>
  </si>
  <si>
    <t xml:space="preserve">
2025-11-12 13:34
2025-11-12 13:13</t>
  </si>
  <si>
    <t xml:space="preserve">1341 Pendency </t>
  </si>
  <si>
    <t>INC0614304</t>
  </si>
  <si>
    <t>Load time for FD page is High in NFB Thanks app due to which FD booking conversion is Impacting</t>
  </si>
  <si>
    <t>The NFB-FS-Investment team reported an issue where the Fixed Deposit (FD) page in the NFB Thanks app was experiencing high load times, resulting in a decline in FD booking conversions. To address this, the network team confirmed that they performed a partial rollback of the GTM change under CHG0009429. This rollback involved downgrading the BIG- P modules from version 17.5.1.3 to 17.5.1 and implementing a DDOS profile in blocking mode. Additionally, the TCP Out-of-Order threshold was adjusted from 10k to 20K. Following these actions, system performance improved, and the issue was resolved, restoring normal service operations.</t>
  </si>
  <si>
    <t>For NFB-FS-Investment-Dip success FD conversion in fD-D7)= 136-140-4 (2.85% dip in success Conversion)</t>
  </si>
  <si>
    <t>CHG0009429</t>
  </si>
  <si>
    <t>INC16544068</t>
  </si>
  <si>
    <t>CC advisors were not able to raise SRs for all LOBs.</t>
  </si>
  <si>
    <t>In this issue, CC advisors were unable to raise SRs on the Service Portal and were facing DFF errors. Case team performed a refresh of the impacted service(RulesFramework) twice, after which improvement was observed and hits started coming through successfully. Following this action, the issue was resolved and normal functionality was restored.</t>
  </si>
  <si>
    <t>Primary root cause:
Specification Leg-01
Q1: Why there was an instance of service degradation experienced in multiple LOBs Customer Experience Journey?
Ans: Because, CC users were unable to raise SRs for multiple LOBs in SSP portal and were getting “DFF not available” error. This issue further affects the customer experience journey across multiple LOBs.
Q2: Why CC Advisor were getting DFF error while raising SRs in Service portal? 
Ans: Initially, there was 503 error at Case platform end and Descriptive flex field (DFF) errors appearing on Call Centre Advisors screens while accessing the rules API to retrieve DFF information from the downstream Case &amp; Interaction application via the Gloo middleware platform. All the requests were not reaching to case downstream to retrieve the DFF information and rules validation. 
However, The DFF information is essential for mapping with triplets in the SR creation API, and without it, SR creation cannot be initiated.
Q3: Why  API requests from SSP Portal were not reaching to Case downstream system?
Ans: As per Case team, Dev team made changes to the CPU and RAM configurations at OCP layer for particular Case pod; which led to an issue with the connection to the Oracle database. The issue was caused by reducing the number of CPU cores allocated to certain pods from 4 to 1 without adjusting the database connection pool size accordingly. This led to insufficient threads for handling database connections, resulting in connection refusals and service impact. 
Q4: Why changes on one particular pod impacted other pods and services?
Ans: Because, due to the combined usage of all pods; the connection pool size remained high (e.g., 50) despite the lower CPU allocation, causing resource contention and inability to close or serve all connections which impacted other pods and failure at Case end.
Q5: Why was the CPU core allocation for certain pods reduced from 4 to 1 without adjusting the database connection pool size accordingly?
Ans: The CPU cores were reduced to save resources or optimize costs, but the connection pool size remained unchanged due to oversight or lack of coordination between teams managing CPU allocations and database configurations. 
Detection Leg- 02 
Q1: Why long-term corrective solution not implemented, given the repeated occurrences of this issue?
Ans: There were 5 occurrences of same issue in past 2 months and due to lack of proper investigation, holistic impact analysis and cross-team communication gaps and no direct alerts implemented at Case end led the multiple occurrences. While some error logging existed, but no automated system was configured to translate these errors into actionable alerts, delaying detection and response. 
Q2: Why team was manually configuring pods instead of using auto-scaling feature?
Ans: As per Case Dev team, they had tried auto-scaling in the past on OKD; they tried doing it in lower environment the scale up was working but when the CPU and RAM usage was going down the configuration was not scaling down automatically and the results did not work as expected. Currently, team shifted to Openshift and will gradually shift to CellStack to make auto scaling work.
Systemic leg-03
Q1: Why was the system unable to detect the issue before the outage?
Answer:  As discussed with the application and development teams, the existing monitoring did not include specific alerts for connection pool saturation, CPU-to-thread mismatches, or sudden drops in SRs at case end. Error logs were also not aggregated or analyzed proactively, as the team currently reviews them manually. Additionally, team did not test this configuration in lower environment thoroughly before implemented in production.
Q2: Why was the issue auto-resolving without any corrective action in past?
Answer: Earlier, team suspecting service refresh fixed the issue. But , Case Dev team clarified that the issue was not fixed by a service refresh . The problem resolved on its own because other pods released their connections after 9 minutes, freeing up resources for the rules framework to connect to new pods.
Preventive Actions
•	Revert CPU configuration for affected pods from 1 to 4 to restore adequate threading and connection handling. Open Raja Singh/ Amit Aggarwal 
•	Analyse and tweaking the connection pool size to match the available CPU resources for each pod, Ensuring optimal performance and avoiding resource exhaustion. Open Amit Aggarwal/ Rajat Singh
•	Explore and implement auto-scaling features on the OpenShift platform and gradually shift to CellStack to dynamically adjust resources based on load. Open Amit Aggarwal/Rajat Singh
•	Implement agent-based error monitoring to automatically capture and send error logs to Kibana and implement SR dip alert at Case end to proactive catch the issue. Open Amit/ Rajat</t>
  </si>
  <si>
    <t>PRB0044566</t>
  </si>
  <si>
    <t>INC16543246</t>
  </si>
  <si>
    <t>Symptom:
1)Status Code[503] Count Greater than [500] in Last 10 Minutes
Host Name : 5XX_StatusCode_Gloo_API_CS
Current Value : 1271.0
AUTHORITY : casemgmt.india.novatel.internal
Alert Time:2025-11-12 15:41 Hrs
Event NO: INC16543246</t>
  </si>
  <si>
    <t xml:space="preserve"> Service Portal Success Hits: (D vs D-7: 64 vs 1120: 1056).</t>
  </si>
  <si>
    <t>INC16550827</t>
  </si>
  <si>
    <t>FTA reports for NESA circle was impacted.</t>
  </si>
  <si>
    <t>In this issue, It was identified that during FTA report generation, DARTS was receiving 52 bytes of data from eCAF instead of 50 bytes, leading to report generation failure. The discrepancy occurred as eCAF fetches data from frontend, where data size may vary depending on acquisition inputs. To fix this permanently, DARTS team will coordinate with their development team to increase the column size in the DARTS report table. As an immediate workaround, DARTS team has implemented a bypass for the extra values, enabling successful report generation and Issue stands resolved.</t>
  </si>
  <si>
    <t>2 reports were impacted.</t>
  </si>
  <si>
    <t>INC16562263</t>
  </si>
  <si>
    <t>Prepaid, Postpaid and Simswap acquisition was intermittently impacted, error with UIDAI.</t>
  </si>
  <si>
    <t>Issue was observed with eKYC flow in eCAF where both FaceRD and BMD were not working, however, dKYC was working fine. During investigation it was observed that there was a spike from UIDAI end. However, once the errors got settled, issue got resolved without any technical intervention.</t>
  </si>
  <si>
    <t>INC16555694
INC16555705
INC16543246
INC16555675
INC16555734
INC16555733
TG Alert</t>
  </si>
  <si>
    <t>Direct:
1)Multiple AppDynamics has detected a problem with Backend *uidaiinternal.novatel.example:443*. *UIDAI_KUA_KSA-Postpaid/Prepaid 
Alert Time:2025-11-13 12:18 Hrs
Event NO: INC16543246
Symptom:
2)Multiple HRT COUNT&gt;10 FOR RESPONSE TIME&gt;14000MS in 10 minutes
Host Name : INTEGRATION_UIDAI_TOMCAT_INT_API_HIGH_RESPONSE
APINAME :/ASA2_6/customer/verifycustomer/verifycustomerAsadetails/v2/verifyCustomerAsaDetails
Alert Time:2025-11-13 12:17 Hrs
Event NO: INC16555675
3)Multiple Status Code[504] Count Greater than [1000] in Last 10 Minutes
CLUSTER_NAME : NonDMZ-Prod-Gloo-n1ocp-pclus-04
Alert Time:2025-11-13 12:21 Hrs
Event NO: INC16555734,INC16555733
4) Multiple 4 impacted services Web service [aadhaar-kua-service-canary] - KuaController Messaging service
[aadhaar-logging-service] - $Proxy84
Alert Time:2025-11-13 12:22 Hrs
Event NO: TG ALert</t>
  </si>
  <si>
    <t>11/13/2025  12:18:00 PM
11/13/2025  12:18:00 PM
11/13/2025  12:17:00 PM
11/13/2025  12:17:00 PM
11/13/2025  12:21:00 PM
TG ALERT</t>
  </si>
  <si>
    <t>11/13/2025  12:33:00 PM
11/13/2025  12:33:00 PM
11/13/2025  12:37:00 PM
11/13/2025  12:46:00 PM
TG ALERT</t>
  </si>
  <si>
    <t>Success Dip for Postpaid : 67  (D: 193 VS D-7: 260)
Success Dip for Prepaid : 2258 (D: 3247 VS D-7: 5505)
Success Dip for Simswap : 1217 (D: 512 VS D-7: 1729)</t>
  </si>
  <si>
    <t>INC16557562</t>
  </si>
  <si>
    <t>NovaTelApp Missed call alert Impacted</t>
  </si>
  <si>
    <t>In this issue, Application team reported that multiple pods getting restarted at OCP end. Moreover, it was identified that due to high CPU utilization, pods got restarted automatically which cause a spike. As of now pods are stable and services are running fine without any intervention from the technical teams.</t>
  </si>
  <si>
    <t>P3
P2
P2</t>
  </si>
  <si>
    <t>INC16556289
INC16556257 
INC16556538</t>
  </si>
  <si>
    <t>Direct:
1)High Resource 80% Usage | myNovaTelapp-transactional-note (OCP DC1 &amp; DC2)
CPU: 80.804% [&gt;70%]
MEM: 38.564% [&gt;85%]
Alert Time:2025-11-13 13:02 Hrs
Event NO: INC16556289
Symptom:
2)Multiple High 503 error on 10.241.88.xxx , 10.222.232.xxx  Threshold is greater than 25High 503 error on 10.241.88.64 
Host Name : 10.222.232.xxx , 10.222.232.xxx
Alert Time:2025-11-13 13:01 Hrs
Event NO:INC16556257 , Alert103317832
3)Alert Name:99thPercentilein10minutes| myNovaTelapp_transactionalNotifications | /transactional-notifications/v3/notifications
Host Name : myNovaTelapp_transactionalNotifications_ES 
url_without_query : /transactional-notifications/v3/notifications
Alert Time:2025-11-13 13:22 Hrs
Event NO: INC16556538</t>
  </si>
  <si>
    <t>11/13/2025  1:02:00 PM
11/13/2025  1:02:00 PM
11/13/2025  1:04:00 PM
11/13/2025  1:22:00 PM</t>
  </si>
  <si>
    <t>11/13/2025  1:53:00 PM
11/13/2025  1:23:00 PM
11/13/2025  1:09:00 PM
11/13/2025  1:37:00 PM</t>
  </si>
  <si>
    <t>Failed hits: 281</t>
  </si>
  <si>
    <t>INC16559480</t>
  </si>
  <si>
    <t>Pre2Post orders were impacted.</t>
  </si>
  <si>
    <t>In this issue, it was identified that the errors were occurring between PACS and One_NMS as faulty requests were being sent from PACS end. To mitigate, One_NMS team stopped (IMSYNC) queue for new orders, but no improvement was observed. Further, PACS Dev team updated the configuration by modifying queue, which successfully restored normal order flow.</t>
  </si>
  <si>
    <t>Symptom:
1)Kubernetes workload -  krakend
High CPU throttling
The CPU throttling to limits ratio exceeds the specified threshold of '50%'.
Alert Time:2025-11-13 13:41 Hrs
Event NO: TG Alert
2)Multiple ESB_Failure_Percent_Process_wise
PROCESSNAME : CreateCustomerProfile_V2.createCustomerProfile
CreateOrder_V2.createOrder
GetCustomerAccountDetails_V2.getCustomerAccountDetails
Alert time - 2025-11-13 14:22Hrs
Event no -INC16557158</t>
  </si>
  <si>
    <t>11/13/2025 13:43
11/13/2025 14:22</t>
  </si>
  <si>
    <t>11/13/2025 15:06
11/13/2025 16:42</t>
  </si>
  <si>
    <t>Approx. 2107 orders were impacted.</t>
  </si>
  <si>
    <t>INC16602033</t>
  </si>
  <si>
    <t xml:space="preserve"> FE were unable to close IPTV installation task in NovaWorks.</t>
  </si>
  <si>
    <t xml:space="preserve">In this issue, it was identified that NovaWorks was getting timeouts from DTH_OE, due to which FEs were not able to perform EDT checks. Earlier, it was found that timeout were originating from i360, due to LRQs at i360 DB for which i360 team killed the LRQs but later, it was confirmed that the i360 DB connectivity was fluctuating due to high active connections. The connectivity got established as soon as the past sessions were automatically killed, post which the issue got resolved. </t>
  </si>
  <si>
    <t>INC16570747
INC16570765,INC16570769</t>
  </si>
  <si>
    <t>1)DB ims: Queries slow query count_DB ims: Too many slow queries at 10.223.161.41
Alert time - 2025-11-14 14:23Hrs
Event no-INC16570747
2)AppDynamics_Appd-Saas_DTH_OE_DTH_OE-DTH New Customer Acquisition-RS_inventory.novatel.example: 443_OverallAvgResponseTime&gt;2000ms_sev-1
Alert time - 2025-11-14 14:24Hrs(Fluctuating)
Event no-INC16570765,INC16570769</t>
  </si>
  <si>
    <t>11/14/2025 14:23
11/14/2025 14:24</t>
  </si>
  <si>
    <t>11/14/2025 15:23
11/14/2025 14:54</t>
  </si>
  <si>
    <t xml:space="preserve">457 Orders stuck at SDU MDU. </t>
  </si>
  <si>
    <t xml:space="preserve">INC16573720 </t>
  </si>
  <si>
    <t xml:space="preserve">Postpaid, COCP and SimSwap activation was impacted.  </t>
  </si>
  <si>
    <t xml:space="preserve">In this issue, eCAF was observing I/O errors from BTFLY_CRM end leading to impact on Postpaid, COCP and SimSwap activation orders. These errors were occurring due to wait events at BTFLY_CRM DB end for which required action was taken by DB team which cleared the wait events. eCAF team repushed the impacted orders and the issue got resolved. </t>
  </si>
  <si>
    <t>Alert103365475  
INC16572402
INC16572539
INC16572584</t>
  </si>
  <si>
    <t>Direct:
1)Oracle - prim_db
Failed database connects
0 requests/min impacted
The amount of 11 failed database connects exceeded the threshold of 10 in a period of 5 minutes.
Alert Start Time: 14/11/2025 16:47 Hrs
Event NO:Alert103365475  
Symptom:
1)Multiple ESB_APPLOG_ALL-APIS_HIGH_RESPONSE_ALERT
PROCESS_NAME : CreateChangeOrder_V2.createChangeOrder
Alert Start Time: 14/11/2025 16:38 Hrs
Event NO:INC16572402,INC16572403
2)eCAF Postpaid Milestone Pendency|Current Value : 52
CREATE_ORDER_STATUS : SIEBEL_TIMEOUT_CREATE_ORDER
Alert Start Time: 14/11/2025 16:46 Hrs
Event NO:INC16572539
3)Web request service
/Common/BTFLY_CRM_10.14.120.70_7777 on port 7777
Failure rate increase
474 requests/min impacted
by a failure rate increase to 100 %
Alert Start Time: 14/11/2025 16:37 Hrs
Event NO:INC16572584</t>
  </si>
  <si>
    <t>11/14/2025 16:47
11/14/2025 16:38
11/14/2025 16:46
11/14/2025 16:37</t>
  </si>
  <si>
    <t xml:space="preserve">
11/14/2025 16:49
11/14/2025 16:58
11/14/2025 17:02
11/14/2025 17:58</t>
  </si>
  <si>
    <t>29 orders</t>
  </si>
  <si>
    <t>Postpaid Activation Journey, Postpaid Customer Experience Journey (Call Center)</t>
  </si>
  <si>
    <t>eCAF, eCAF_Sim Swap, Service Portal, BTFLY_CRM</t>
  </si>
  <si>
    <t xml:space="preserve">CC advisors were unable to access BTFLY_CRM along with Postpaid, COCP and SimSwap activation orders were impacted.  </t>
  </si>
  <si>
    <t xml:space="preserve">In this issue, high no. of wait events were observed in BTFLY_CRM DB causing impact on Postpaid, COCP and SimSwap activation orders and Service Portal wherein CC advisors were unable to create SR and access BTFLY_CRM. Upon investigation, BTFLY_CRM team identified the issue to be originating from Node 4 which seemed to be having hardware failure. For this, Node 4 of BTFLY_CRM DB was isolated, post which the issue got resolved. </t>
  </si>
  <si>
    <t>Postpaid, Digital Acquisition, Digital Experience B2C</t>
  </si>
  <si>
    <t>P3
P3
P2
P3
P4
P2
P2</t>
  </si>
  <si>
    <t xml:space="preserve">INC16573328
INC16573171,INC16573176
INC16573330 
INC16573327
INC16573194,Alert103366835  
INC16573117
Alert103367330,Alert103367332 </t>
  </si>
  <si>
    <t>Direct:
1)Oracle - prim_db
Failed database connects
0 requests/min impacted
The amount of 11 failed database connects exceeded the threshold of 10 in a period of 5 minutes.
Alert Start Time: 14/11/2025 17:34 Hrs
Event NO:INC16573328 
Symptom:
1)Multiple ESB_APPLOG_ALL-APIS_HIGH_RESPONSE_ALERT
PROCESS_NAME : CreateChangeOrder_V2.createChangeOrder
Alert Start Time: 14/11/2025 17:28 Hrs
Event NO:INC16573171,INC16573176
2)eCAF Postpaid Milestone Pendency|Current Value : 83
CREATE_ORDER_STATUS : SIEBEL_TIMEOUT_CREATE_ORDER
Alert Start Time: 14/11/2025 17:36 Hrs
Event NO:INC16573330 
3)Web request service
/Common/BTFLY_CRM_10.14.120.70_7777 on port 7777
Failure rate increase
474 requests/min impacted
by a failure rate increase to 100 %
Alert Start Time: 14/11/2025 17:34 Hrs
Event NO:INC16573327
4)High rate of 502 in service ECAF NGINX
service_endpoint : /ecaf-commons/esim/smdp/cancelOrder
Alert Start Time: 14/11/2025 17:29 Hrs
Event NO:INC16573194,Alert103366835  
5)sp_multitenant_api_failure|Current Value : 207
URL : http://esbmob.novaworld.in:8015/services/operations/customerrelationshipmanagement/problemhandling/customer/problemreport/v3
Alert Start Time: 14/11/2025 17:26 Hrs
Event NO:INC16573117
6)Multiple ESB_Weblogic_Access_Nodewise_5XX_BtflySync12C_CRITICAL 
API_NAME:/services/customer/managecustomerdata/plandetails/v3
Alert Start Time: 14/11/2025 17:42 Hrs
Event NO:Alert103367330,Alert103367332</t>
  </si>
  <si>
    <t>11/14/2025 17:34
11/14/2025 17:28
11/14/2025 17:36
11/14/2025 17:34
11/14/2025 17:29
11/14/2025 17:26
11/14/2025 17:42</t>
  </si>
  <si>
    <t>11/14/2025 Open
11/14/2025 17:48
11/14/2025 17:48
11/14/2025 Open
11/14/2025 17:49
11/14/2025 17:46
11/14/2025 17:49</t>
  </si>
  <si>
    <t>eCAF- 137 orders
Service Portal Success hits dip: 225 (D vs D-7: 70 vs 295) is 76%</t>
  </si>
  <si>
    <t>LAPU_GT</t>
  </si>
  <si>
    <t>INC16579607</t>
  </si>
  <si>
    <t>Recharge Reports generation was delayed.</t>
  </si>
  <si>
    <t>In this issue, LAPU team was unable to establish a connection with the MIS DB, resulting in delayed report generation. Further, it was confirmed that a password upgrade was performed last night under activity (CHG0205731) for User 'Umarketadm', which took up to 24 hours to sync on the DB end. Meanwhile, to mitigate the impact, LAPU team generated reports from backend. A DB bounce was considered, but the password synced automatically post some time, resolving the DB connection issue.</t>
  </si>
  <si>
    <t>Delay in report generation.</t>
  </si>
  <si>
    <t>CHG0205731</t>
  </si>
  <si>
    <t>APB_Reward, APB_SBA, APB_FS_Insurance</t>
  </si>
  <si>
    <t>INC0618830</t>
  </si>
  <si>
    <t xml:space="preserve"> SBA creation failed due to a database connectivity issue: Unable to acquire a JDBC connection. The Hikari connection pool (HikariPool-2) did not provide a connection within the configured timeout of 60,000 ms.</t>
  </si>
  <si>
    <t xml:space="preserve"> During the SBA creation process, initial traffic was low, and the onboarding team confirmed with the network team that there were no WAF layer blocks. However, as traffic increased, issues arose with Reward Services, leading to persistent connection timeouts despite restarting addon-core services. To mitigate, the database connection pool for addon-core was increased from 2 to 10 on nodes 10.241.247.76/77, which provided temporary relief. The team then isolated addon-core by terminating other microservices on both nodes, stabilizing performance. Subsequently, a manual password rotation under Change Number CHG0010097 caused a DB user lock, impacting Insurance Services due to a missed service restart. After stopping services on the faulty server and unlocking the user with DB team support, the application was restarted, and all services were restored successfully. Root causes included resource contention under high traffic and incomplete password rotation steps. Preventive measures will include automating password rotation and service restarts, optimizing microservice deployment, and enhancing monitoring for DB connection pools.
Regards, MIM Team</t>
  </si>
  <si>
    <t>For NFB-SBA Account Creation Comparison Dip: - (D vs (D-7))= 1516-3441-1925 (55.94%)
For NFB-Rewards Creation Comparison Dip: - (D vs (D-7))=4019-4132-113 (2.73%)
For NFB-FS-Insurance Creation Comparison Dip (Usecase:- Bundle Insurance): -(D vs (D-7))= 0-6=6 (100%)</t>
  </si>
  <si>
    <t>INC16603346</t>
  </si>
  <si>
    <t>ONDR and MNP reports were impacted for UP East.</t>
  </si>
  <si>
    <t>In this issue, It was identified that due to absence of the Veritas configuration file on the impacted node (10.5.9.192), which prevented it from rejoining the cluster, ONDR and MNP reports generation was impacted. To mitigate this issue, Unix team recovered the missing configuration file from a healthy node, enabling successful cluster rejoin for (10.5.9.192), post which issue got resolved.</t>
  </si>
  <si>
    <t>Alert103459971</t>
  </si>
  <si>
    <t>1)ping response on IP 10.5.9.192 is down error message "ping timeout"_10.5.9.192
Alert Start Time: 2025-11-17 01:01 Hrs
Event NO:Alert103459971</t>
  </si>
  <si>
    <t>5+ ONDR and MNP report generation impacted.</t>
  </si>
  <si>
    <t>INC16628459</t>
  </si>
  <si>
    <t>B2B Users unable to obtain connection data in ATB portal intermittently.</t>
  </si>
  <si>
    <t>In this issue, B2B customers experienced intermittent issues while fetching connection details in the ATB portal, with approximately two out of every ten requests failing due to JDBC connection errors. Although users were able to successfully retrieve the data upon retry, further investigation revealed that all connections to DB were inactive and which was impacting system performance. The App DBA team resolved this by clearing the snipped sessions which were long active and that allowed new connections to be established. In parallel, the ATB team performed manual cache refreshes for each customer reporting the issue, ensuring data availability. Following these corrective actions, the portal stabilized and the problem was resolved.</t>
  </si>
  <si>
    <t>Alert103473469</t>
  </si>
  <si>
    <t>Symptom
1) APP: B2B-CACHE
    API:FETCH_SIEBEL_CONNECTIONS
    Technical Error: 123
    ErrorCode Percentage: 21.35%
Alert Start Time: 17/11/2025 09:30 Hrs
Event NO:Alert103473469</t>
  </si>
  <si>
    <t>150 Pendency</t>
  </si>
  <si>
    <t>INC16613597</t>
  </si>
  <si>
    <t>In this issue, GIS VMDS database got locked, due to which their pods restarted automatically and orders started piling up in the queue. To fix this issue, GIS team has manually unlocked the database. Once the DB was unlocked, the pending orders started getting processed smoothly and the overall service recovered. After this action, no further errors were observed and the issue is resolved.</t>
  </si>
  <si>
    <t>INC16613227
INC16613210,INC16613211</t>
  </si>
  <si>
    <t>Symptom:
1)NovaTel_Works alerts for Broad Band Journey
  Current Value : 232
Alert Time:2025-11-17 15:47 Hrs
Event NO:INC16613227
2)GIS_queue_monitoring_length Elastic|Current Value : 143.5
Alert Time:2025-11-17 15:45 Hrs
Event NO:INC16613210,INC16613211</t>
  </si>
  <si>
    <t>2025-11-17 15:46:14
2025-11-17 15:45:09</t>
  </si>
  <si>
    <t>2025-11-17 15:56:09
2025-11-17 15:56:11</t>
  </si>
  <si>
    <t>Tag change (FTTH + MOP) - 326 orders were stuck.</t>
  </si>
  <si>
    <t>INC16615743</t>
  </si>
  <si>
    <t>IPTV installation was impacted.</t>
  </si>
  <si>
    <t>In this issue, FEs were encountering “downstream is down” error that affected IPTV installations. Further, PostgreSQL DBA team identified and terminated problematic queries running on database server (10.223.161.41). Moreover, i360 team identified one SELECT query which triggered the issue. To mitigate, i360 team stopped that query, post issue got resolved.</t>
  </si>
  <si>
    <t>P4
P1
P2</t>
  </si>
  <si>
    <t>INC16613925
INC16614139/ INC16614128
Alert103487275</t>
  </si>
  <si>
    <t>Direct 
1)Hostname:10.223.161.41 severity: Warning Trigger: DB ims: Too many slow queries
Alert time : 2025-11-17 16:23
Event No : INC16613925
Symptom:
1)Multiple Appd alert 
A)DTH_OE-DTH New Customer Acquisition-RS_inventory.novatel.example: 443_OverallErrorRate
B)DTH_OE-DTH New Customer Acquisition-RS_inventory.novatel.example: 443_OverallAvgResponseTime
Alert Time:2025-11-17 16:36
Event NO:INC16614139/ INC16614128
2)NovaTel_Works alerts for Broad Band Journey severity: High Trigger: EDT journey impacted
Alert time : 2025-11-17 16:47
Event No : Alert103487275</t>
  </si>
  <si>
    <t>2025-11-17 16:23:10
2025-11-17 16:36:13
2025-11-17 16:47:09</t>
  </si>
  <si>
    <t>2025-11-17 17:03:10
2025-11-17 16:57:13
2025-11-17 17:19:01</t>
  </si>
  <si>
    <t>SDU MDU validation: 757 orders</t>
  </si>
  <si>
    <t xml:space="preserve">INC16617997  </t>
  </si>
  <si>
    <t xml:space="preserve">Broadband activation orders were impacted as Static IPs were not getting assigned. </t>
  </si>
  <si>
    <t xml:space="preserve">In this issue, Nokia_OSS was getting timeouts from NSG_NOC (BRAS) end due to which Static IPs were not getting assigned impacting Broadband activation. NSG team suspected it to be due to a bulk. To resolve, NSG team has cleared the piled up queue due to which new orders started clearing successfully. For old stuck cases, Nokia_OSS is repushing the orders in sequential order. As, of now, the issue stands resolved.  </t>
  </si>
  <si>
    <t>250+ orders</t>
  </si>
  <si>
    <t>INC16646354</t>
  </si>
  <si>
    <t>Recharges and payments via NovaTel website mode was impacted.</t>
  </si>
  <si>
    <t>In this issue, it was identified that change activity for /pay microservice (DOP-66972) on the DPS end resulted in service degradation, impacting recharge and payment transactions processed via Nova App Web channel. To mitigate this issue, DPS team performed rollback of the change, after which error rate reduced and issue got resolved.</t>
  </si>
  <si>
    <t>NovaTel Web Success Dip: (D vs D-7: 112600 vs 110036 : 553) No Dip.</t>
  </si>
  <si>
    <t>DOP-66972</t>
  </si>
  <si>
    <t>Broadband Customer Experience Journey (Activation/Install), Postpaid Customer Experience Journey (Activation/Install)</t>
  </si>
  <si>
    <t>INC16649060</t>
  </si>
  <si>
    <t xml:space="preserve">Postpaid and broadband orders were getting stuck on eCOM intermittently. </t>
  </si>
  <si>
    <t>In this issue, it was identified that eCOM DB node (10.244.46.19) was experiencing intermittent fluctuations, resulting in orders getting stuck during the impact window and clearing only post manual repush. Upon further analysis, it was confirmed that the NIC on node 19 was fluctuating. As an immediate mitigation, impacted DB node was isolated and services are running on healthy DB node (10.244.46.18). Application is functioning normally, and issue is resolved. Further DBA and Network team worked with DCO and ECOM DB service has been successfully started on the second node. Application sanity checks have been completed, and application is functioning as expected.</t>
  </si>
  <si>
    <t>TG Alert
TG Alert
P3</t>
  </si>
  <si>
    <t>TG Alert
TG Alert
Alert103547040</t>
  </si>
  <si>
    <t>Direct:
1) failed protocol test [DEFAULT] at [10.224.46.19]
Business Group: DIGITAL ACQUISITION
Application: ECOM
Status: OPEN
Severity: P1
Alert time : 2025-11-18 21:40
Event No :TG Alert 
Symptom :
1)Database service
Oracle - ecomprod
Failed database connects
0 requests/min impacted
The amount of 65 failed database connects exceeded the threshold of 10 in a period of 5 minutes.
Service method: Oracle - ecomprod
Alert time : 2025-11-18 21:49
Event No :TG Alert 
2)[OrderCheckoutServiceApplication] - ShoppingCartController
Failure rate increase
4.87k requests/min impacted
by a failure rate increase to 17 %
Alert time : 2025-11-18 22:01
Event No : Alert103547040</t>
  </si>
  <si>
    <t>11/18/2025  9:40:0O PM
11/18/2025  9:59:0O PM
11/18/2025  10:01:27 PM</t>
  </si>
  <si>
    <t>OPEN
11/18/2025  10:24:0O PM
11/18/2025  10:22:31 PM</t>
  </si>
  <si>
    <t xml:space="preserve">600 overall orders impacted  </t>
  </si>
  <si>
    <t>INC16656164</t>
  </si>
  <si>
    <t>ONDR jobs, Online Provisioning and Campaigns Services were impacted in DARTS Application.</t>
  </si>
  <si>
    <t>In this issue, it was identified that one physical server (10.5.232.33) became inaccessible after IOC patching activity due to which ONDR jobs, Online Provisioning and Campaign Services were impacted. Further, it was found that the server went down due to a hardware issue with multiple component failures. Since one node was already up, application was running on the healthy node. For the impacted node, Unix team raised a hardware case, and onsite engineer fixed the hardware issue, after which server came up and issue got resolved.</t>
  </si>
  <si>
    <t>INC16654726</t>
  </si>
  <si>
    <t>1)ping response on IP 10.5.232.33 is down
Alert time : 2025-11-19 16:51
Event No : INC16654726</t>
  </si>
  <si>
    <t xml:space="preserve">11/19/2025  16:51:0O </t>
  </si>
  <si>
    <t>150 jobs are impacted for North-East circle.</t>
  </si>
  <si>
    <t>INC16661925</t>
  </si>
  <si>
    <t>Postpaid and Broadband SMS delivery (Instant KCI) was impacted.</t>
  </si>
  <si>
    <t>In this issue, it was identified by CLM and CE teams that shared campaign response was behaving inconsistently, intermittently showing success and reject status. This indicated an internal issue within CLM. Further analysis confirmed that the lookup update process in CLM was taking longer than expected, causing delays in event capture. As a mitigation, CLM Dev team temporarily bypassed the lookup, after which the BTFLY_KCI team repushed the pending transactions and all pendency cleared. CLM team will implement a permanent fix before the morning traffic window. The issue is resolved as of now.</t>
  </si>
  <si>
    <t>Broadband, Postpaid</t>
  </si>
  <si>
    <t>5.5k pendency</t>
  </si>
  <si>
    <t>INC16660687</t>
  </si>
  <si>
    <t xml:space="preserve">Online and Retail recharges were impacted for Assam circle due to issue at IN end.     </t>
  </si>
  <si>
    <t>In this issue, it was identified that nodes A and B, which handle traffic for the Assam circle, were encountering rejection errors impacting Online and Retail recharge transactions. Further analysis confirmed a BIOS failure on node A, and due to simultaneous traffic processing, node B also started behaving abnormally and generating errors. To mitigate this issue, NSG_NOC team isolated node A and routed all traffic to node B, after which the error rate reduced and issue got resolved.</t>
  </si>
  <si>
    <t>Tg Alert
Tg Alert</t>
  </si>
  <si>
    <t>Direct:
1) Multiple CONNECTION OFFLINE ALERT
IP:10.241.177.XX,10.222.197.XX
Alert Time: 2025-11-19 23:00 Hrs
Event NO: Tg Alert
Symptom:
2)Multiple  Lapu MT Circlewise Failure Transaction_v1
Current Value : 54.0
REASON : 142
CIRCLENAME : ASSAM
Alert Time: 2025-11-19 23:00 Hrs
Event NO: Tg Alert</t>
  </si>
  <si>
    <t xml:space="preserve">11/19/2025  23:00:0O 
11/19/2025  23:00:0O </t>
  </si>
  <si>
    <t xml:space="preserve">Open
11/19/2025  23:22:0O </t>
  </si>
  <si>
    <t xml:space="preserve"> LAPU_MT - LAPU_MT - 2670 transactions impacted.
LAPU_GT - 100 transactions impacted.</t>
  </si>
  <si>
    <t>DTH Vector</t>
  </si>
  <si>
    <t>INC16665159</t>
  </si>
  <si>
    <t>Suspended DTH accounts were not resumed post recharge.</t>
  </si>
  <si>
    <t>In this issue, It was observed that during the ESB DR Activity (CHG0207000) conducted last night, users who performed DTH recharges reported that the transactions were not reflected in their accounts. Upon investigation, it was identified that the issue occurred due to firewall policy issues during the activity, which was subsequently corrected. During troubleshooting, DTH team confirmed new recharges were working fine and for the previous stuck transactions (from 3:05 am to 6:30 am), DTH team along with CE team performed reconciliation at their end to active accounts for impacted customers, post which issue stands resolved.</t>
  </si>
  <si>
    <t>Symptom:
1) Host Name : SolaceQueueAlert_1
QUEUE : OEOrderRequestOMQ,  DTHOptimusServiceQ
Alert Start Time: 20/11/2025 06:55 Hrs
Event No: TG Alert</t>
  </si>
  <si>
    <t xml:space="preserve">11/20/2025  6:55:0O </t>
  </si>
  <si>
    <t>DTH orders: 2150 orders.</t>
  </si>
  <si>
    <t>CHG0207000</t>
  </si>
  <si>
    <t>INC16668407</t>
  </si>
  <si>
    <t>Online Recharge validation requests failed intermittently for Prepaid LOB.</t>
  </si>
  <si>
    <t>In this issue, multiple partners reported that the validation requests for online recharges were getting failed intermittently due to timeout while latency. Further, Network, Firewall and LB teams performed various checks but no issues were identified. Meanwhile during troubleshooting, failure hits reduced without any technical intervention and issue stands resolved.</t>
  </si>
  <si>
    <t>Approx. 25-30% failure in hits for multiple partners (Phonepay, paytm, etc.)</t>
  </si>
  <si>
    <t>In this issue, the problem resurfaced where account resumption was impacted post recharge intermittently. It was observed that few requests for a few of the DTH jobs were still landing on south VPN queue which were getting stuck. To fix the issue, DTH team took DTH_OM application restart against the impacted jobs, post which improvement was seen for live resumptions and for stuck cases, DTH team reconciled and repushed those orders.</t>
  </si>
  <si>
    <t>DTH Orders: 3500 Orders Resumption</t>
  </si>
  <si>
    <t>IOT Customer Experience Journey</t>
  </si>
  <si>
    <t>INC16666516</t>
  </si>
  <si>
    <t>M2M portal Login impacted intermittently.</t>
  </si>
  <si>
    <t xml:space="preserve">In this issue, users were intermittently unable to log in M2M portal. During the investigation, it was found that a cache bypass at the Akamai end triggered this issue. However, to fix this issue Akamai team reconfigured the cache, post which issue was resolved. </t>
  </si>
  <si>
    <t>Intermittent Login Issue (Sunrise)</t>
  </si>
  <si>
    <t>INC16669156</t>
  </si>
  <si>
    <t>Broadband Installation Orders were Impacted.</t>
  </si>
  <si>
    <t>In this issue, broadband installation orders were impacted. During investigation, it was observed that this issue occurred due to the firmware version policy, where devices were automatically upgraded and downgraded to version 1.4. To mitigate this, ACS team updated the policy and locked firmware version to a static value for all devices. After this action, the issue was resolved.</t>
  </si>
  <si>
    <t>471 Orders Failed</t>
  </si>
  <si>
    <t>INC0621404</t>
  </si>
  <si>
    <t>Transactions were timing out and high response was observed in the Aadhaar Vault for the NFB-AEPS application.</t>
  </si>
  <si>
    <t>In this issue, Transactions were timing out, and high response was observed in the Aadhaar Vault for the NFB-AEPS application. The application team restarted multiple instance nodes, which resulted in slight intermittent improvement. Subsequently, the VM team increased the RAM on each server (10.242.40.133–136) from 48 GB to 64 GB, and the application team added more instances on these nodes. Performance began improving from 11:10 hrs. To handle the increased PM-Kisan traffic and stabilize the environment, the team added one more instance on each server (10.242.40.133–135). As a precautionary measure, the team is preparing to add an additional node, which is currently in the pipeline.</t>
  </si>
  <si>
    <t>For NFB-AePS comparison, the impacted transactions for AE600 failures are 9,576 out of a total of 82,221 failed transaction=(11.64% increase in AE600 impacted transaction)</t>
  </si>
  <si>
    <t>Prepaid New Customer Acquisition-MNP Journey, Prepaid New Order Sim Swap Journey</t>
  </si>
  <si>
    <t>INC16675027</t>
  </si>
  <si>
    <t xml:space="preserve">Prepaid and Simswap acquisition was impacted intermittently. </t>
  </si>
  <si>
    <t xml:space="preserve">In this issue, eCAF was getting high RT from ESB and further from OneNMS end due to which prepaid and simswap acquisition was impacted intermittently. Upon investigation, DB contentions were found on OneNMS DB, which were killed by DB team, followed by this, One_NMS team took refresh for Token generation service and both nodes of CRM rBAC service. Some improvement was observed post these actions. 
Further troubleshooting concluded that, OneNMS team was observing crashloop of token generation Pods, due to high memory utilization because of which containers were getting auto restarted. To restore this, OCP team suggested and app team increased memory space from 128Mi to 256Mi at pod level as application code was utilizing high memory, post which the issue got resolved. </t>
  </si>
  <si>
    <t>INC16671048
INC16671154
INC16671940
INC16672135
INC16672107
INC16672244
INC16672391
INC16672389
INC16672554
INC16672740
Alert103626473</t>
  </si>
  <si>
    <t>1)Kubernetes workload
token-generation-wrapper
Out-of-memory kills
Out-of-memory kills have been observed for pods of this workload.
k8s.cluster.name: n1ocp-pclus-01 &amp;n2ocp-pclus-02
Alert Start Time: 2025-11-20 16:26 Hrs
Event No:INC16671048,INC16672047,INC16671940,INC16671154
Symptom:
1)ESB_Failure_Percent_Process_wise_with_domain_Domain:AADHAR Process:ValidateandAllocateSIM_V1_3.validateandAllocateSIM percent is greater than 5 in 20 min
Alert Start Time: 2025-11-20 18:00 Hrs
Event No:INC16672135,INC16672107
2)Multiple ESB_Weblogic_Access_Nodewise_5XX_BtflySync12C_CRITICAL Alert
 severity: High Trigger: BTFLY_SYNC_12C_HA, 10.241.88.40, /services/resource/resourceprovisioning/allocateandinstallresource/updatenumberstatus/siebel/v2, 
Trigger Value: 100 Current Threshold Value :100
Alert Start Time: 2025-11-20 18:00 Hrs
Event No: INC16672244,INC16672391,INC16672389,INC16672554
3)Web request service [ecaf-simswap-service] - simswap-new-app (/simswap-new-app)
Disaster^ECAF-ecaf-simswap-service-Responsetime&gt;1000ms
ECAF-ecaf-simswap-service-Responsetime&gt;1000ms
Severity ~1.09 s
Alert Start Time: 2025-11-20 18:16 Hrs
Event No:INC16672740,Alert103626473</t>
  </si>
  <si>
    <t>11/20/2025  4:33:00 PM
11/20/2025  4:42:00 PM
11/20/2025  5:42:00 PM
11/20/2025  5:53:00 PM
11/20/2025  5:52:00 PM
11/20/2025  6:00:00 PM
11/20/2025  6:07:00 PM
11/20/2025  6:07:00 PM
11/20/2025  6:14:00 PM
11/20/2025  6:24:00 PM
11/20/2025  6:14:00 PM
11/20/2025  6:31:00 PM</t>
  </si>
  <si>
    <t>11/20/2025  4:46:00 PM
open
11/20/2025  5:52:00 PM
11/20/2025  9:23:00 PM
11/20/2025  9:23:00 PM
11/20/2025  7:28:00 PM
11/20/2025  7:07:00 PM
11/20/2025  7:14:00 PM
11/20/2025  6:28:00 PM
11/20/2025  6:34:00 PM</t>
  </si>
  <si>
    <t>Success Dip for Prepaid : 8582 (D: 7646 VS D-7: 16228) 52%.
Success Dip for Simswap : 1769 (D: 2218 VS D-7: 3987) 44%.</t>
  </si>
  <si>
    <t>INC16674906</t>
  </si>
  <si>
    <t>Black installation orders were impacted intermittently.</t>
  </si>
  <si>
    <t>In this issue, FEs encountered the error “Event fse_onsite_event_mop is not valid”, which intermittently impacted Black installation orders. It was further identified that FEs were unable to capture their own images, preventing them from allocating the next installation task. Moreover, AW Dev team confirmed that a JIRA-related change (ARW-230030) was being deployed during the outage period. To restore normal functionality, AW team performed a rollback of the deployed change, after which the issue was successfully resolved.</t>
  </si>
  <si>
    <t>INC16668832</t>
  </si>
  <si>
    <t>1)IPTV orders stuck in SDU MDU Validation status||EDT journey impactedHost Name : NovaTel_Works alerts for Broad Band Journey
Sev-2 Current Value : 706.0
COMPONENT : iptv_status
Alert Start Time: 2025-11-20 17:17 Hrs
Event No:INC16668832</t>
  </si>
  <si>
    <t>30 orders were impacted.</t>
  </si>
  <si>
    <t>ARW-230030</t>
  </si>
  <si>
    <t>INC16675647</t>
  </si>
  <si>
    <t>CC advisors were unable to raise FTR on Service Portal.</t>
  </si>
  <si>
    <t>In this issue, It was identified that Service Portal was observing error from BTFLY_CRM due to which CC advisors were facing issue in raising FTR for Postpaid. Although During the course of troubleshooting issue got auto resolved without any manual intervention.</t>
  </si>
  <si>
    <t>P3
P3
P3
P2
P3</t>
  </si>
  <si>
    <t>INC16674820
INC16674930
INC16675022
INC16674985
INC16674981
INC16674980
NC16675006
Alert103632017</t>
  </si>
  <si>
    <t>1)Hostname:BTFLY_asset_creation_alert
Trigger Value: 43 Current Threshold Value :43
Alert Start Time: 2025-11-20 21:12 Hrs
Event No:INC16674820
2)casefailure||TimeOut occured at CRM.
Host Name : Create_Case_Failure
Sev-3 Current Value : 102.0
ERROR_MESSAGE : TimeOut occured at CRM.
Alert Start Time: 2025-11-20 21:21 Hrs
Event No:INC16674930,INC16675022
3)Multiple BCRM Long Running query in last 30 min For Threshold:50s
Host Name : BCRM LONG RUNNING QUERY ALERT
Sev-3 Current Value : 67.0
Alert Start Time: 2025-11-20 21:25 Hrs
Event No:INC16674970, NC16674980, INC16674981, INC16674985
4)sp_guardian_raiseFTRViaCX_failure_percent||High Failure in last 10M  Total Count : 2276   Failure Count : 776 ** Failure % : 34.09
Alert Start Time: 2025-11-20 21:27 Hrs
Event No:NC16675006,Alert103632148
5)N2 - osb_server2 (/services/customer/orderhandling/issuecustomerorder/neworder/v2_1) 
Web request service
/Common/BTFLY_CRM_10.14.120.70_7778 on port 7778
Failure rate increase
268 requests/min impacted
by a failure rate increase to 100 %
Alert Start Time: 2025-11-20 21:29 Hrs
Event No:Alert103632017</t>
  </si>
  <si>
    <t>11/20/2025  9:47:00 PM
11/20/2025  9:36:00 PM
11/20/2025  10:20:00 PM
11/20/2025  9:53:00 PM
11/20/2025  9:53:00 PM
11/20/2025  9:53:00 PM
11/20/2025  9:37:00 PM
11/20/2025  9:34:00 PM</t>
  </si>
  <si>
    <t>452 failure hits.</t>
  </si>
  <si>
    <t>INC16680659</t>
  </si>
  <si>
    <t>In this issue, It was identified that users were unable to access VDI from the private network, while access via VPN and Zscaler was working. Network team confirmed that VDI services were down on the DMZ netted IP (10.14.136.66). VDI team observed traffic reaching the environment but not routing to the internal LB. As a mitigation, VDI team bypassed the internal VIP and pointed traffic directly to the backend server, after which users are able to access and Issue got resolved. As Internal LB VIP is still non-functional, VDI and LB teams will coordinate with Omnissa for further analysis and RCA.</t>
  </si>
  <si>
    <t>Multiple Users were impacted</t>
  </si>
  <si>
    <t>MIM Team</t>
  </si>
  <si>
    <t>INC16683104</t>
  </si>
  <si>
    <t>Field engineers were unable to mark the attendance in NovaWorks.</t>
  </si>
  <si>
    <t>In this issue, it was identified that Field engineers were unable to mark the attendance in NovaTel works as HDO functionality was impacted. Further it was identified that there was a change(CHG0207484) for multiple services which was deployed last night. To resolve the issue NovaTel works team initially rolled back changes for Attendance manager API, and  Skeletor services, as well as cleared the cache at their end, post which improvement was observed and issue got resolved.</t>
  </si>
  <si>
    <t>Symptom:
1) Web request service- [attendance-manager-service] - attendance-manager-service-*
Response time degradation 64.6 requests/min impacted
Alert Start Time: 21/11/2025 06:59 Hrs
Event NO: TG Alert</t>
  </si>
  <si>
    <t>327 users.</t>
  </si>
  <si>
    <t>CHG0207484</t>
  </si>
  <si>
    <t>INC16684143</t>
  </si>
  <si>
    <t>Goal Application was impacted intermittently for few users.</t>
  </si>
  <si>
    <t>In this issue, the promoters were unable to get the KPI details in GOALS application. However, the issue was for 3 to 4 specific users. Further identified that, there was an activity(SND-41286) at goals end wherein 2 KPIs were added, due to which issue occurred for old logged in users not for new logged in users. To resolve the issue, GOAL team hard deleted the circle level cache. Post this action improvement was observed and issue got resolved.</t>
  </si>
  <si>
    <t>4 users</t>
  </si>
  <si>
    <t>SND-41286</t>
  </si>
  <si>
    <t>INC16700790</t>
  </si>
  <si>
    <t>CC Advisors were unable to use Disposition option in ECHO dialer intermittently.</t>
  </si>
  <si>
    <t>In this issue, Advisors were unable to fill the conversation summary in ECHO for as Disposition option was inaccessible for 3 Centres. However, there was no impact on calls landing. Further, Upon investigation no anomaly was found at code level as well. To resolve the issue ECHO team took service restart for N1 and N2. Post which improvement was observed. Following a fresh relogin, advisors regained access to the Disposition option, and the issue was successfully resolved.</t>
  </si>
  <si>
    <t>Disposition option was inaccessible</t>
  </si>
  <si>
    <t>Careshark, ECHO, Chatbot</t>
  </si>
  <si>
    <t>INC16687460</t>
  </si>
  <si>
    <t>CC advisors were unable to upload Campaign data in ECHO dialer and Chats were getting dropped in Careshark.</t>
  </si>
  <si>
    <t xml:space="preserve">In this issue, intermittent issues were observed in ECHO and Careshark where CC advisors were unable to upload Campaign data in ECHO dialer and Chats were getting dropped in Careshark. Upon investigation, it was identified that only the requests routing to N2 were getting failed. So, to mitigate the impact, 100% traffic of both ECHO and Careshark were shifted to N1, post which the issue got resolved. </t>
  </si>
  <si>
    <t>Alert103659047</t>
  </si>
  <si>
    <t>Symptom:
1)Pods Not Running - careshark-em-secondary (OCP DC2)
Sev-1 careshark-em-secondary-6: PodInitializing
Alert Start Time: 21/11/2025 13:42 Hrs
Event NO:Alert103659047</t>
  </si>
  <si>
    <t>Success Hits Dip: 3758 (D: 15,740 VS D-5: 19,498) 19%.</t>
  </si>
  <si>
    <t>INC16728557</t>
  </si>
  <si>
    <t>CC Advisors were unable to raise SR in Service Portal.</t>
  </si>
  <si>
    <t>In this issue, CC advisors were observing the error "DFF not available" while raising SR in Service Portal. Upon investigation, it was confirmed that these errors were being observed from Case end. To resolve this, Case team took refresh of microservice (Rules framework), post which errors reduced and issue got resolved.</t>
  </si>
  <si>
    <t>Alert103670147
INC16689320,INC16689331</t>
  </si>
  <si>
    <t>Symptom
1)sp_broadband_shifting_elgibility_failure|Current Value : 31.0
Logs : http://esbhb.novaworld.in:8001/services/validateserviceeligibility/v4_1/ServiceEligibility
Alert Start Time: 21/11/2025 19:28 Hrs
Event NO:Alert103670147
2)5XX_StatusCode_Gloo_API_CS |Current Value : 1238
AUTHORITY : casemgmt.india.novatel.internal 
Alert Start Time: 21/11/2025 19:32 Hrs
Event NO:INC16689320,INC16689331</t>
  </si>
  <si>
    <t>11/21/2025 19:29
11/14/2025 19:32</t>
  </si>
  <si>
    <t>11/21/2025 19:32
11/14/2025 19:52</t>
  </si>
  <si>
    <t>D vs D-4(116 vs 357= 241) is 67%</t>
  </si>
  <si>
    <t>Broadband Dunning Order Journey, Broadband Customer Experience Journey</t>
  </si>
  <si>
    <t>INC16690541</t>
  </si>
  <si>
    <t>Broadband Unbarring Orders were stuck post payment.</t>
  </si>
  <si>
    <t>In this issue, broadband user accounts remained suspended even after payment. Upon investigation, it was found that the orders were stuck because the FX recon process had stopped. To resolve this, HB_ATOM team restarted the FX recon process, after which the pending orders were cleared and the issue was resolved.</t>
  </si>
  <si>
    <t>Unbarring:78 orders</t>
  </si>
  <si>
    <t>INC16695999</t>
  </si>
  <si>
    <t>CC Advisors unable to login Care Manager intermittently in Hexaware chennai and Startek Gurgaon centres.</t>
  </si>
  <si>
    <t>In this issue, CC Advisors reported being unable to log in to the CareManager application. Further investigation revealed that the issue was caused by fluctuations in the URL 'https://care-manager-gtm.NovaTel.com/', which occurred after the Network team added a wildcard certificate in the AXM Load Balancer to replace an expired one on the old LB. This was subsequently rolled back by the Network team, restoring stability and resolving the login issue.</t>
  </si>
  <si>
    <t>Careshark Success Dip: No Dip (D vs D-4: 150549 vs 144392: -6157).</t>
  </si>
  <si>
    <t>INC16691914</t>
  </si>
  <si>
    <t>Postpaid widgets were not loading intermittently.</t>
  </si>
  <si>
    <t>In this issue, Users reported an inability to load Postpaid service widgets, and subsequent investigation by the Nova App and GLOO teams indicated high response times from the BSL end. Although no issues were identified within BSL systems, the BSL team proactively restarted the API /v1/getUsageSummary, after which response times normalized and the issue was resolved.</t>
  </si>
  <si>
    <t>1)Web service
[getusagesummary] - GetUsageSummaryController
Response time degradation
110k requests/min impacted
The current response time (3.75 s) exceeds the auto-detected baseline (50.9 ms) by 7,266 %
Service method: All methods affected
Messaging service
[create-telemedia-account-service] - CreateAccountMessageListener
Web service
[get-ir-pack-details] - GetIrPackDetailController
Alert Time - 2025.11.21 18:51Hrs
Event No - TG Alert 
Symptom
1)Downstream-Channel-Backend-Alerts-Cx-Usage
API : https://bsl-prod.india.novatel.internal/v1/getUsageSummary
Current Value : 5
Alert time - 2025.11.21 15:13Hrs
Event No - TG Alert</t>
  </si>
  <si>
    <t>11/21/2025  7:06:00 PM
11/21/2025  3:13:00 PM</t>
  </si>
  <si>
    <t>11/21/2025  11:30:00 PM
11/21/2025  11:30:00 PM</t>
  </si>
  <si>
    <t>Success Dip (D vs D-7): 71265 (167321 vs 238586) is 30%.</t>
  </si>
  <si>
    <t>Careshark, ECHO</t>
  </si>
  <si>
    <t>CC advisors were unable to upload or download Campaign data in ECHO dialer and Closed chats were not opening in Careshark.</t>
  </si>
  <si>
    <t>The issue resurfaced with intermittent problems in ECHO and Careshark, where CC advisors were unable to upload or download campaign data in the ECHO dialer and closed chats were not opening in Careshark. Upon investigation, it was identified that one of the two NGINX servers(10.223.132.12) was misbehaving, which triggered the issue. To resolve this, the ECHO team shifted traffic from the impacted NGINX server to the healthy one, after which improvement was observed and the issue was resolved.</t>
  </si>
  <si>
    <t>Success hit dip: (D vs D-4: 86892 Vs 75578= 11314) is no dip</t>
  </si>
  <si>
    <t>The issue resurfaced, Wherein CC Advisors were unable to fill the conversation summary in ECHO dialer as Disposition option was inaccessible for. To resolve the issue ECHO team disabled the NGINX proxy Buffer and took service restart of both the NGINX servers. Post the above actions improvement was observed. Following a fresh relogin, advisors regained access to the Disposition option, and the issue was resolved.</t>
  </si>
  <si>
    <t>Success hit dip: (D vs D-5: 7115 Vs 7431= -316) is 0.04%</t>
  </si>
  <si>
    <t>INC16705527</t>
  </si>
  <si>
    <t>In this issue, SFTP file transfer suddenly stopped working on server (10.5.9.81) due to which the entire FTA process was impacted. To mitigate the issue, Unix team rebooted the server, post which issue got resolved.</t>
  </si>
  <si>
    <t>INC16703893</t>
  </si>
  <si>
    <t>Symptom
1)Hostnamen2pl-pac-abc198.india.novatel.internal severity: Warning Trigger: n2pl-pac-abc198.india.novatel.internal has been restarted uptime is less than 10m Trigger Value: 00:01:54 Current Threshold Value :00:01:54
Alert Start Time: 22/11/2025 19:33 Hrs
Event NO:INC16703893</t>
  </si>
  <si>
    <t xml:space="preserve">FTA Pull SMS functionality was impacted for PAN India.    </t>
  </si>
  <si>
    <t>INC16700622</t>
  </si>
  <si>
    <t>SFTP process was impacted.</t>
  </si>
  <si>
    <t>In this issue, SFTP file transfer process experienced disruptions. During troubleshooting, the issue was initially attributed to a high server load. However, the load normalized without any technical intervention, and the SFTP process resumed functioning as expected. The Unix team further reported that the jobs are currently running on an outdated setup (10.5.9.81) with multiple sub-processes, which contributed to the elevated load average and subsequent impact. As of now, SFTP processes are running normally and issue stands resolved.</t>
  </si>
  <si>
    <t>SFTP process was stuck.</t>
  </si>
  <si>
    <t>INC16707840</t>
  </si>
  <si>
    <t>DPS observed dip in UPI and payments via NFB.</t>
  </si>
  <si>
    <t>In this issue, DPS team reported timeout errors originating from the NFB end, resulting in failures for UPI and payment transactions routed through NFB. Subsequently, the NFB and Network teams identified that traffic was encountering issues reaching the NGINX server from LB end, with requests from PCI DSS to NFB RT experiencing elevated response times (up to 1500 ms). After 23:30 Hrs, traffic flow normalized, and response times returned to the standard level (approximately 10 ms), with no team confirming any corrective action. At present, the issue is resolved.</t>
  </si>
  <si>
    <t>INC16703669
INC16703831</t>
  </si>
  <si>
    <t>Symptom
1)Multiple High 500 Failure for PAYMENT-REQ-ID-ADAPTER
Host Name : DPS_APB_SERVICE || {HOST.IP}
Sev-4 Current Value : 307
API : PAYMENT-REQ-ID-ADAPTER
API : PAYMENT-REQ-ID
API : WALLET-PROFILE
API : LINKED-UPI-V6
Alert Start Time: 22/11/2025 19:14 Hrs
Event NO:INC16703669,INC16703671,INC16703681
2)Multiple Web service
N1 - APBOffersAndLinkedUpiController - APBWebApplication (prod)
N1 - APBUpiController - APBWebApplication (prod)
N1 - APBPaymentsHubSettlementController - APBWebApplication (prod)
Failure rate increase 13.1k requests/min impacted by a failure rate increase to 99 %
Alert Start Time: 22/11/2025 19:25 Hrs
Event NO:INC16703831,INC16703830</t>
  </si>
  <si>
    <t>2025-11-22 19:25:36
2025-11-22 19:14:21</t>
  </si>
  <si>
    <t>2025-11-22 20:51:24
2025-11-22 20:15:55</t>
  </si>
  <si>
    <t>Success Dip in UPI Hits (D vs D-7): 1393 (275106 vs 276499) is 1%.</t>
  </si>
  <si>
    <t>INC16708747</t>
  </si>
  <si>
    <t xml:space="preserve"> CAP process was impacted for CU37 due to which Rating process/CDR got impacted.</t>
  </si>
  <si>
    <t xml:space="preserve">In this issue, rating process (CDRs) for CU37 (PDK6CU37) was impacted as CAP process was getting terminated. Upon investigation, it was identified that a new CU has been added for rating (CHG0207746). BTFLY_Rating team switched the flag-off for CU51, post which process started running fine. Additionally, the process on CU51 was also turned on. </t>
  </si>
  <si>
    <t>CAP Process (Rating process/CDR) were impacted for CU37</t>
  </si>
  <si>
    <t>CHG0207746</t>
  </si>
  <si>
    <t>Broadband Dunning Order Journey, Broadband Customer Experience Journey (Call Center)</t>
  </si>
  <si>
    <t>INC16712354</t>
  </si>
  <si>
    <t>Broadband Barring and unbarring orders were impacted.</t>
  </si>
  <si>
    <t xml:space="preserve">In this issue, HB_ATOM was receiving timeout errors from North LDAP IP(10.57.105.13) due to which broadband barring and unbarring orders were stuck in the "IN PROGRESS" state. No anomalies were found at the LDAP or Techlan end. However, during the course of troubleshooting, telnet connectivity was restored between the source and destination, and the orders also started clearing. The issue was resolved, though the exact action that led to the resolution remains unknown. </t>
  </si>
  <si>
    <t>P2
P3
P3
TG alert
P3
P3</t>
  </si>
  <si>
    <t>INC16711460,INC16711463,INC16711474
INC16710668
INC16710749,INC16710750
TG alert
INC16710781
INC16710799</t>
  </si>
  <si>
    <t>Direct:
1) Multiple PCRF Port alert 
SOURCE_IP : 10.222.185..XX
DESTINATION_IP : 10.2.23.61
Alert Time: 2025-11-23     08:10 Hrs.
Incident:INC16711460,INC16711463,INC16711474
Symptom :
1)hb_atom_taskwise_PCRF_Failed
Current Value : 203.0
Alert Time: 2025-11-23    06:44 Hrs.
Incident:INC16710668
2)Multiple hb_atom_without_huawei_nokia_failure_barring_order_type
SUB_ORDR_TYPE : Involuntary-OGB
SUB_ORDR_TYPE : Involuntary
Alert Time:2025-11-23   06:48 Hrs.
Incident:INC16710749,INC16710750
3)Web service N1 - QuotaTriggerController - WebLogic humatom humatom-Cluster Response time degradation
21.2 requests/min impacted
Alert Time:2025-11-23   06:48 Hrs.
Incident:TG alert
4)HB ATOM SolaceQueue System ALERT
QUEUE : ATOMSyncProvisioningJmsQ
Current Value : 943.0
Alert Time:2025-11-23   06:50 Hrs.
Incident: INC16710781
5) hb_atom_taskwise_LDAP_Inprogress
Current Value : 783.0
Alert Time:2025-11-23   06:55 Hrs.
Incident:INC16710799</t>
  </si>
  <si>
    <t>11/23/2025  08:10:25
11/23/2025  06:44:47
11/23/2025  06:48:11
11/23/2025  06:48:00
11/23/2025  06:50:42
11/23/2025  06:55:17</t>
  </si>
  <si>
    <t>11/23/2025  09:05:25
11/23/2025  06:55:23
11/23/2025  10:03:11
11/23/2025  09:09:00
11/23/2025  09:10:42
11/23/2025  09:22:17</t>
  </si>
  <si>
    <t>Barring-982
Resume-272, Unbar-48, Disconnection-90</t>
  </si>
  <si>
    <t>Broadband New Customer Acquisition Journey, Broadband Installation/FR Journey</t>
  </si>
  <si>
    <t>INC16714192</t>
  </si>
  <si>
    <t>Broadband FWA (acquisition And Installation) were impacted.</t>
  </si>
  <si>
    <t xml:space="preserve"> In this issue, Feasibility team was getting certificate error on "GetFWA5GFeasible" API from NSG due to which Broadband FWA acquisition and installation was impacted. Further, NSG team confirmed that the Certificate at LB end was expired for VIP(10.59.144.127). To resolve the issue expired certificate was renewed by LB team, post which issue got resolved.</t>
  </si>
  <si>
    <t>Primary Root Cause: 
Specification Leg – 01
Q1: Why there was a service degradation experience in Broadband New Customer Acquisition Journey, Broadband Installation/FR Journey?
Ans: Because, Broadband FWA (acquisition And Installation) were impacted; users were unable to check the feasibility which further effected multiple Journeys.
Q2: Why Broadband orders were unable to complete feasibility call?
Ans: Because, while initiating the Broadband orders request; feasibility team was getting certificate error on "GetFWA5GFeasible"; RESPONSECODE : 40 RESPONSEMESSAGE : I/O error on GET request for "https://surecoverageb2b.novatel.example/fwa_feas/Service1.svc/GetFWA5GFeasible":java.security.cert.CertPathValidatorException: validity check failed. 
Q3: Why there was certificate error at feasibility end?
Ans: Because,  feasibility team confirmed they were getting error for Surecoverage Api which is behind airfibre feasibility. Issue occurred due to an expired SSL certificate on one of the load balancer (LB) VIPs (10.59.144.127), impacting API connectivity and causing failures for Feasibility application teams
Q4: Why SSL certificate expiry affected the application connectivity?
Ans: Because, When an SSL certificate expires, the traffic breaks at the Load Balancer because the LB can no longer establish a secure, encrypted connection between the user's browser and the server. The LB will reject the connection, resulting in the user seeing a security warning or an error page.
Q5: Why SSL certificate expired?
Ans: Because, NSG team failed to raise the certificate to renewal request at Load balancer which resulted the issue. 
Detection Leg- 02
Q1: Why certificate renew request was not raised proactively ?
Ans: The expired certificate was not proactively renewed because automated expiry notifications did not reach the relevant application or NSG teams. Ownership and monitoring of certificates at LB were unclear, leading to a communication gap.
Q2: Why NSG team didn’t proactively catch the traffic dip at their end?
Ans: No direct alerting mechanism was in place for traffic dip at NSG; only generic traffic/API failure alerts were triggered at feasibility end at 7:48 AM; hours before the noise reported from Business.
Q3: Why the MTTR was high when alert triggered early at Feasibility end?
Ans: Troubleshooting was delayed due availability issue at Feasibility and NSG teams and NSG initially suspected database issues before logs revealed certificate errors and even after identifying the certificate issue; certificate renewal done after 2 hour.
Systemic leg-03
Q1: Why did system allow the outage?
Ans: No automated process or alerting system for certificate renewal at NSG; manual intervention, Ambiguity in certificate ownership and renewal responsibility between application, Lack of direct, actionable alerts all are the contributed factors to led the outage. However, Teams are investigating the possibility of triggering certificate expiry alerts at the application end to streamline the identification of issues. 
Preventive Actions:
•	Rectify the ownership in records for the impacted LB IP and Onboard NSG Team for automated certificate expiry notifications: Open Bedbarat Kaushik.  
•	Review and revise alert priority at Feasibility end thresholds to ensure earlier detection of similar issues- Open Aayush 
•	Onboard traffic dip alerts at NSG on Dynatrace for better visibility and proactive monitoring _ Open Ramakrishna Reddy</t>
  </si>
  <si>
    <t>PRB0044568</t>
  </si>
  <si>
    <t>P3
P4
P3</t>
  </si>
  <si>
    <t>INC16711300,INC16711305
Alert103731952
INC16712445</t>
  </si>
  <si>
    <t>Symptom:      
1) Multiple Growth Feasibility Alert
API : FWA_FEASIBILITY
RESPONSECODE : 40
RESPONSEMESSAGE : I/O error on GET request for "https://surecoverageb2b.novatel.example/fwa_feas/Service1.svc/GetFWA5GFeasible": PKIX path validation
Alert time- 2025.11.23    07:48 Hrs.
Event no- INC16711300, INC16711305
2)DIP_10_percent_total_broadband_qualified_lead_D&amp;D-7
Host Name : oracle-ecom || {HOST.IP}
Alert Time-2025-11-23 09:37  Hrs.
Event NO-Alert103731952
3)Web service [myNovaTelapp-reco-engine] - FeasibilityV1Controller
Failure rate increase 285 requests/min impacted
Alert time-2025-11-23 10:02:39
Event no-INC16712445</t>
  </si>
  <si>
    <t>11/23/2025  07:48:50
11/23/2025  09:37:28
11/23/2025  10:02:39</t>
  </si>
  <si>
    <t>11/23/2025  08:09:37
11/23/2025  09:37:28
11/23/2025  11:51:04</t>
  </si>
  <si>
    <t>Broadband Success Dip: 
(D vs D-7: 1511 Vs 2704= 1193) is 44%
Feasibility Success dip- (D vs D-7: 17 Vs 1069= 1052)</t>
  </si>
  <si>
    <t>Leo_CRM, Leo_OM</t>
  </si>
  <si>
    <t>INC16727640</t>
  </si>
  <si>
    <t>B2B orders were getting stuck at LEO_OM</t>
  </si>
  <si>
    <t>In this issue, B2B_LEO CRM was not receiving hits from the LEO_OM end, due to which B2B(Enterprise) orders were getting stuck. During further investigation, OM team observed an (SSLHandshakeException) error. After drilling down, it was identified that the certificate configured at the OM end did not match the certificate configured on B2B_LEO CRM port 9413. To fix the issue, OM team renewed the same certificate on their end as well, after which the hits started coming through and all the orders got cleared.</t>
  </si>
  <si>
    <t>ABGB, Digital Experience B2B</t>
  </si>
  <si>
    <t>100 orders were stucked</t>
  </si>
  <si>
    <t>INC16741021</t>
  </si>
  <si>
    <t>ONDR loading &amp; CLM campaigns were impacted for Bihar circle in DARTS application.</t>
  </si>
  <si>
    <t xml:space="preserve">In this issue, DARTS team confirmed that server (10.5.232.57) was down, which resulted in an impact to ONDR loading and CLM campaigns. Further, Unix team investigated that the server had entered a hung state due to high CPU utilization, caused by multiple application processes running simultaneously. To mitigate the issue, Unix team performed a server reboot, after which normal functionality was restored and the issue was resolved.  </t>
  </si>
  <si>
    <t>INC16741083</t>
  </si>
  <si>
    <t xml:space="preserve">Direct:
1)ping response on IP 10.5.232.57
Alert time-2025-11-25 06:31 Hrs.
Incident no-INC16741083
</t>
  </si>
  <si>
    <t>ONDR loading &amp; CLM campaigns were impacted.</t>
  </si>
  <si>
    <t>APB_Wallet</t>
  </si>
  <si>
    <t>INC0624736</t>
  </si>
  <si>
    <t>NFB-Wallet is facing an issue where the Prismic API is failing, impacting wallet conversion due to the error: "Unable to tunnel through proxy. Proxy returned HTTP/1.1 403 Forbidden."</t>
  </si>
  <si>
    <t>In this issue, the NFB-Wallet Team reported a low conversion rate for wallet openings where the Prismic API is failing. During the investigation, the NFB-Wallet TechOps team identified an error message: "Unable to tunnel through proxy. Proxy returns "HTTP/1.1 403 Forbidden". The TechOps team took the server restart on 10.241.247.47/48. Following this actions, an improvement was observed, and the issue was resolved.</t>
  </si>
  <si>
    <t>For NFB-Wallet Creation Comparison-(D vs (D-7)=70-1038=968(93.25% dip in wallet creation).</t>
  </si>
  <si>
    <t>INC16751590</t>
  </si>
  <si>
    <t>CC advisors were facing latency issue in Careshark.</t>
  </si>
  <si>
    <t>In this issue, It was identified that due high memory and CPU utilization for careshark, CC advisors were facing latency. To mitigate this issue careshark team took POD restart at their end post which memory and CPU utilization normalized and issue got resolved.</t>
  </si>
  <si>
    <t>INC16746280,INC16746413</t>
  </si>
  <si>
    <t>Direct:
1) Multiple  High Resource % Usage - 
careshark-em-secondary (OCP DC1)
Severity: Warning
careshark-em-secondary-3:
CPU: 21.924% [&gt;90%]
MEM: 95.861% [&gt;90%]
Alert Time: 2025-11-25 14:18 Hrs
Event NO: INC16746280,INC16746413</t>
  </si>
  <si>
    <t>Careshark Success Hits: (D vs D-5: 1482 vs 1688: 206 is 12%).</t>
  </si>
  <si>
    <t>DTH Change Order Journey, DTH Dunning Order journey</t>
  </si>
  <si>
    <t>DTH Vector, DTH_OE</t>
  </si>
  <si>
    <t>INC16754026</t>
  </si>
  <si>
    <t>DTH Resumption and change orders were impacted.</t>
  </si>
  <si>
    <t>In this issue, DTH team confirmed that DTH_Vector DB server (10.223.147.11/12) became inaccessible on both N1 &amp; N2 hubs, resulting in DTH resumption and change orders were stuck. Further, Unix team identified intermittent network fluctuations that caused the servers to go down temporarily. After sometime, the server came back up automatically, post which the orders started processing, and the issue was resolved.
Moreover, Network team confirmed that an activity (CHG0207493) is ongoing caused temporary fluctuations on both servers, contributing to the issue.</t>
  </si>
  <si>
    <t>P3
P1
P3
P3
P3
P3</t>
  </si>
  <si>
    <t>INC16752980,INC16753040,INC16753147
INC16753029,Alert103833317 
INC16753031
TG alert
INC16753155
INC16753165</t>
  </si>
  <si>
    <t>Direct:
1)Multiple Interface Link down
Interface -ens4f0,ens5f0
Host Name : 10.223.147.11/12
Alert time-2025-11-25   23:44 Hrs.
Event no-INC16752980,INC16753040,INC16753147
Symptom:
1)Multiple appd. DTH_MBOSS-DTH New Customer Acquisition-RS_esbdth.novaworld.in_OverallAvgResponseTime&amp;gt;1500ms_sev-1
Alert time-2025-11-25   23:48 Hrs.
Event no-INC16753029,Alert103833317 
2)sp_multitenant_api_failure_percent
URL : https://dthbiller.novatel.example/AIWebServices/services/vectorPROD/accounts/{{accountId}}/detail/getVectorMasterData
Current Value : 574.0
Alert time-2025-11-25    23:49  Hrs.
Event no-INC16753031
3)Solace Queue OMOrderProcessingInternalSlightDelayPRODQ Spooled Messages Count High In last 10 Min
Host Name : SolaceQueueAlert_2
QUEUE : OMOrderProcessingInternalSlightDelayPRODQ
Alert time-2025-11-25   23:50 Hrs.
Event no-TG alert
4)High DTH_FAILURE alert in last 15 min
Host Name : DCAP_DTH_FLOW_FAILURE_ALERT
Current Value : 146.0
Alert time-2025-11-25   23:54 Hrs.
Event no-INC16753155
5)Multiple Web service
[dth-processor] - MessagingMessageListenerAdapter
DTHBiller on port 443
Failure rate increase 
Alert time-2025-11-25   23:55 Hrs.
Event no-INC16753165</t>
  </si>
  <si>
    <t>11/25/2025 23:44:15
11/25/2025 23:58:59
11/25/2025 23:49:00
11/25/2025 23:50:44
11/25/2025 23:54:09
11/25/2025 23:55:27</t>
  </si>
  <si>
    <t>11/26/2025 00:04:00
11/26/2025 00:03:59
11/26/2025 00:01:32
11/26/2025 00:30:44
11/26/2025 00:04:09
11/26/2025 01:31:34</t>
  </si>
  <si>
    <t>DTH_Resumption: 55 orders,
DTH_Change: 118 orders.</t>
  </si>
  <si>
    <t>CHG0207493</t>
  </si>
  <si>
    <t xml:space="preserve">APB_Wallet, APB_IMPS, APB_CKYC, APB_SBA, APB_UPI, APB_Transit Cards, APB_NEFT, APB_Payments Hub, APB_B2B, APB_CRM, APB_Retailer App, APB_RTGS, NFB-Qradar-SIEM </t>
  </si>
  <si>
    <t>INC0626018</t>
  </si>
  <si>
    <t xml:space="preserve">During the CBS mock Disaster Recovery (DR) drill under change request CHG0010362, the CBS Primary Database (PDB) entered restricted mode, preventing multiple applications from connecting to the CBS database and causing service disruption. </t>
  </si>
  <si>
    <t>In this issue, during the CBS mock drill activity for PDC-DR-PDC under change request CHG0010362, multiple application teams reported issues. The Primary Database (PDB) entered restrictive mode during both transitions. This caused service degradation across several applications and impacted CBS operations. The EXECUTE privilege on DBMS_RANDOM was removed from PUBLIC as part of database hardening. This hardening was implemented during the Oracle 19c migration, based on CISO security guidelines. To resolve the issue Database team has Restored EXECUTE privilege on DBMS_RANDOM to PUBLIC. Re-ran datapatch-verbose successfully and Restarted the database to clear restricted mode. Following these actions, application performance stabilized and normal operations resumed.</t>
  </si>
  <si>
    <t>For NFB-IMPS Inward impact(6:09 AM to 6:36 AM) -(D vs (D-7)} = 0-1906 = 1906(100% Drop in success count) For NFB-IMPS Outward impact (07:04AM to 07:35 AM) -(D vs (D-7)} = 2034-28,386 = 26,082 (92.83% Drop in Success count) For NFB-CKYC Account creation (6:09 AM - 6:33 AM)- {D vs (D-7)} = 0-19 = 19 (100% Drop in account creation) For NFB-SBA Account creation (6:09 AM - 6:33 AM)- (D vs (D-7)} = 0-5 = 5 (100% in account creation) For NFB-Wallet creation (6:09 AM - 6:33 AM)- {D vs (D-7)} = 0-41 = 41, (100% Drop in wallet creation). For NFB-UPI Transactions(6:32 AM - 6:49 AM) - (D vs (D-7)} = 15,315-13-15,302 (99.92% increase in failure rate in UPI Transactions) For NFB-TransitCard (6:08 AM-6:31 AM) - (Dvs (D-1)} = 37,384-68,827 = 31,443 (45.7% drop in success rate) For NFB-NEFT(6:19 AM-6:43 AM) - (D vs (D-7)} = 819-0-819 (messages were stuck in the Queue) For NFB-RTGS(6:18 AM-6:43 AM) - (D vs (D-7)} = 81-0 = 81 (messages were stuck in the Queue) For NFB-Payments Hub Traffic Dip (06:08 AM to 06:33 AM) - (D vs (D-7)}=47,868-0=47,868 (100% Dip) For NFB-B2B (06:00 AM to 10:00 AM)- Reporting were impacted For NFB-Qradar-SIEM (2:53 AM to 10:00 AM)- Logs were not generating For NFB-CRM (4:00 AM to 6:44 AM)- Profile Account Enquiry were impacted For NFB-Retailer App (6:00 AM to 9:30 AM) - Transaction History was not visible.</t>
  </si>
  <si>
    <t>CHG0010362</t>
  </si>
  <si>
    <t>INC16764475</t>
  </si>
  <si>
    <t>In this issue, users reported error with eKYC Face Authentication in eCAF, causing intermittent impact on the acquisition journey for Prepaid, Postpaid, and SIM Swap. Further, Issue was identified at UIDAI end and to resolve this, corrective action was taken at UIDAI end. As of now, issue stands resolved.</t>
  </si>
  <si>
    <t xml:space="preserve"> INC16761043,INC16761044,INC16761118
 Alert103854265, INC16761208, INC16761222</t>
  </si>
  <si>
    <t>Symptom:
1)Muliple HRT COUNT&gt;10 FOR RESPONSE TIME&gt;14000MS in 10 minutes
APINAME : /ASA2_6/customer/verifycustomer/verifycustomerAsadetails/v2/verifyCustomerAsaDetails
IP:: 10.222.185.212/ 10.241.150.223/10.245.100.168
Alert Time:2025-11-26 13:17 Hrs
Event NO: INC16761043,INC16761044,INC16761118
2)Multiple 5XX Failure&gt;20 in 10 min||/ASA2_6/customer/verifycustomer/verifycustomerAsadetails/v2/verifyCustomerAsaDetails,
IP:10.224.100.247/ 10.222.185.212
Alert Time:2025-11-26 13:18 Hrs
Event NO: Alert103854265, INC16761208, INC16761222</t>
  </si>
  <si>
    <t>11/26/2025 13:17
11/26/2025 13:30</t>
  </si>
  <si>
    <t>11/26/2025 13:27
11/26/2025 13:40</t>
  </si>
  <si>
    <t>Prepaid success dip:12857(D vs D-7: 20145 vs 33002) is 39% dip. Postpaid success dip: 491(D vs D-7: 1413 vs 1904) is 26% dip. Simswap success dip: 7140(D vs D-7: 3088 vs 10228) is 70% dip.</t>
  </si>
  <si>
    <t>DLT</t>
  </si>
  <si>
    <t xml:space="preserve">INC16764526 </t>
  </si>
  <si>
    <t>Users were not able to register new template on DLT portal.</t>
  </si>
  <si>
    <t>In this issue, it was identified that DLT team mistakenly deleted application DB, resulting in customers being unable to add headers, templates, and URLs for new registrations. DBA team performed a DB restore. However, due to system ID mismatch, DB services could not be brought up. As a part of the mitigation, DBA team reverted to the most recent older DB and successfully restored DB services. Post which application team brought all application services online and issue got resolved.</t>
  </si>
  <si>
    <t>New Users registration was impacted.</t>
  </si>
  <si>
    <t>Prepaid success dip: (D vs D-7:21901 vs 40224) is 46% dip.
Postpaid success dip: (D vs D-7: 1229 vs 1767) is 30% dip.
Simswap success dip: (D vs D-7: 3033 vs 10342) is 71% dip.</t>
  </si>
  <si>
    <t>INC16768908</t>
  </si>
  <si>
    <t>DPS was observing dip in UPI and payments via NFB.</t>
  </si>
  <si>
    <t>In this issue, DPS team reported timeout errors originating from NFB end, leading to failures in UPI and other payment transactions routed through NFB. Further, NFB Network team confirmed that a recent network change (CHG0010445), an F5 device version upgrade from 17.5.0 to 17.5.1.3 had been deployed. However, rolling back the upgrade did not resolve the problem. To further troubleshoot, Network team increased the timeout value from 300 to 3000 secs, but the issue persisted. Subsequently, team identified an unknown hardware issue on the primary F5 load balancer chassis (IP: 10.242.66.55). As a mitigation, traffic was shifted to the secondary F5 load balancer chassis (IP: 10.242.66.56), post which the issue was resolved.</t>
  </si>
  <si>
    <t>INC16765177
INC16765381</t>
  </si>
  <si>
    <t>Symptom:
1)Multiple 500 Failure for NFB-LINKED-UPI-ADAPTER
Host Name : DPS_APB_SERVICE 
API:ORDER-V3
API-ADAPTER-V2
API:HEALTH-CHECK-V7
API:HEALTH-CHECK-V6
API:LINKED-UPI
API:WALLET-PROFILE
Alert Time:2025-11-26 18:54 Hrs
Event NO: INC16765177,INC16765213,INC16765214,INC16765112
2)Multiple Web service
[dps-apb-service] - APBOffersAndLinkedUpiController
N1 - APBOffersAndLinkedUpiController - APBWebApplication (prod)
k8s.cluster.name: [n2ocp-pcidss-01]
k8s.cluster.uid: [3bb3405a-8ec2-4ce1-8f8b-077d6874deb4]
k8s.namespace.name: [dps-applications]
Alert Time:2025-11-26 19:19 Hrs
Event NO:INC16765381,INC16765428</t>
  </si>
  <si>
    <t>2025-11-26 19:19:59
2025-11-26 19:01:38</t>
  </si>
  <si>
    <t>2025-11-26 19:34:04
2025-11-26 19:21:43</t>
  </si>
  <si>
    <t>Hardware Bug</t>
  </si>
  <si>
    <t>ABP UPI gateway transactions Success Dip in UPI Hits: (D vs D-7: 6856 vs 21505: 14649 is 68%).</t>
  </si>
  <si>
    <t>In this issue, users reported error with eKYC flow (both Face Authentication and BMD) in eCAF, causing intermittent impact on the acquisition journey for Prepaid, Postpaid, and SIM Swap. Further, Issue was identified at UIDAI end and to resolve this, corrective action was taken at UIDAI end. As of now, issue stands resolved.</t>
  </si>
  <si>
    <t>Alert103883455</t>
  </si>
  <si>
    <t>Symptom:
1) UIDAI_KUA_KSA-Postpaid/Prepaid New Customer Acquisition Journey-RS_uidaiinternal.novatel.example:443_OverallErrorRate&amp;gt;5%_Sev-1
Alert Start Time: 27/11/2025 07:50 Hrs
Event No: Alert103883455</t>
  </si>
  <si>
    <t>Prepaid success dip (D vs D-7): 11698 (12757 vs 24455) is 48% dip. Postpaid success dip (D vs D-7): 32 (21 vs 53) is 60% dip. Simswap success dip (D vs D-7): 1256 (640 vs 1896) is 66% dip.</t>
  </si>
  <si>
    <t>INC16778264</t>
  </si>
  <si>
    <t>In this issue, CC Advisors encountered the error message "DFF not available" while raising SRs. Upon investigation, it was found that issue occurred in Rule Framework. To mitigate this issue, Case &amp; Interaction team performed service refresh of the Rule Framework, post which issue stands resolved.</t>
  </si>
  <si>
    <t>INC16773614
INC16773994</t>
  </si>
  <si>
    <t>Symptom:
1) srlisting||Unable to serve your request
ERROR_MESSAGE : Unable to serve your request. Please try later
Alert Start Time: 27/11/2025 09:26 Hrs
Event No: INC16773614
1) Status Code[503] Count Greater than [500] in Last 10 Minutes
AUTHORITY : casemgmt.india.novatel.internal
Alert Start Time: 27/11/2025 10:01 Hrs
Event No: INC16773994</t>
  </si>
  <si>
    <t>11/27/2025 9:27
11/27/2025 10:01</t>
  </si>
  <si>
    <t>Open
11/27/2025 10:12</t>
  </si>
  <si>
    <t>Success Dip: (D vs D-7): 10 (808 vs 818) is 1%.</t>
  </si>
  <si>
    <t>Broadband Dunning Order Journey</t>
  </si>
  <si>
    <t>UDP_Dunning, DNC, HB_CRM</t>
  </si>
  <si>
    <t>INC16779341</t>
  </si>
  <si>
    <t>In this issue, CC Advisors reported that certain prepaid broadband (LCO) user accounts remained suspended despite successful payment. Investigation revealed that the related orders were stuck at the HB_CRM system due to high OS utilization, which resulted from a large bulk transfer received from Dunning system. To address this, HB_CRM team performed a service refresh, normalizing OS utilization. Subsequently, the Dunning team re-pushed the pending transactions, clearing the backlog, post which issue stands resolved.</t>
  </si>
  <si>
    <t>TG Alert
Alert103895088
TG alert
INC16773614</t>
  </si>
  <si>
    <t>Direct:
1)Host
10.222.185.114 - N1PTMLHBCA0200.india.novatel.internal
CPU saturation
100 % CPU usage
dt.entity.host: HOST-3E4BB9D24DFD86C2
dt.host_group.id: PRD_Seibel_N1
host.name: N1PTMLHBCA0200.india.novatel.internal
Alert Start Time: 27/11/2025 13:59 Hrs
Event No: TG Alert
Symptom:
1)HB CRM EAI SERVER COUNT in LAST 5 min||Error: Unable to create session | count in last 5min
IP : 10.222.185.93
LOGPATH : /data/app/siebel/20.0.0.0/AIUpdatemilestone/applicationcontainer/logs/EAI.log
Alert Start Time: 27/11/2025 13:49 Hrs
Event No: Alert103895088
2)Web service
N1 - GetLANSpeedController - WebLogic humatom humatomdn-Cluster
Failure rate increase
240 requests/min impacted
by a failure rate increase to 43 %
Alert Start Time: 27/11/2025 13:55 Hrs
Event No: TG alert
3) Sable URI Response Alert||Sable URI Response Alert
URI_PATH : /siebel/app/Updatemilestone/enu
Alert Start Time: 27/11/2025 13:58 Hrs
Event No: INC16773614</t>
  </si>
  <si>
    <t>11/27/2025 14:03
11/27/2025 13:49
11/27/2025 13:59
11/27/2025 13:58</t>
  </si>
  <si>
    <t>Open
11/27/2025 13:54
11/27/2025  14:01:00 PM
11/27/2025 14:23</t>
  </si>
  <si>
    <t>Unbarring: 890 Change Order: 161 Change of Bill Plan: 17 Promise to Pay: 12</t>
  </si>
  <si>
    <t>Visit to Lead Journey</t>
  </si>
  <si>
    <t>Feasibility</t>
  </si>
  <si>
    <t>INC16781147</t>
  </si>
  <si>
    <t xml:space="preserve">Lead creation via Nova App was impacted. </t>
  </si>
  <si>
    <t xml:space="preserve">In this issue, due to an ongoing deployment (CHG0208575 - OS Patching) Blink Prod N2 servers, due to which leads creation for Nova App were impacted. During this activity, Blink team disabled the traffic and services for N2 site, but requests through active connections made prior to the traffic switchover were observing errors. To mitigate this issue, Blink team paused the ongoing patching, and enabled the services on N2, post which the errors decreased and issue got resolved. </t>
  </si>
  <si>
    <t>P1
P1
P3
P3</t>
  </si>
  <si>
    <t>INC16780528,INC16780564
INC16780537
INC16780618
INC16780614</t>
  </si>
  <si>
    <t>1)Hostname:FETCHPINCODESFORCITY_omniwidget_service severity: Disaster Trigger: Total Count : 103 | Failure Count : 23 | Failure %: 22.33
Alert time -2025-11-27 18:30Hrs
Event no- INC16780528,INC16780564
2)OneNova-Black Customer Experience Journey-Homes-RS_blinkmdm.novatel.example_Overall Error rate is greater than 5%_Sev-1
Alert time -2025-11-27 18:32Hrs
Event no-INC16780537
3)Unified service blink-platform-proxy-v1 Failure rate increase 2.87k requests/min impacted by a failure rate increase to 8.68 %
Alert time -2025-11-27 18:34Hrs
Event no-INC16780618
4)Web service [v-*omnichannel-widget-prod] - PincodeController
Ecaf-cart- internalapi-gateway:8080 on port 8000
Failure rate increase 518 requests/min impacted
by a failure rate increase to 48 %
Alert time -2025-11-27 18:40Hrs
Event no-INC16780614</t>
  </si>
  <si>
    <t>11/27/2025  6:30:00 PM
11/27/2025  6:35:00 PM
11/27/2025  6:32:00 PM
11/27/2025  6:39:00 PM
11/27/2025  6:40:00 PM</t>
  </si>
  <si>
    <t>11/27/2025  6:50:00 PM
11/27/2025  6:45:00 PM  
11/27/2025  7:18:00 PM 
11/27/2025  7:12:00 PM
11/27/2025  7:16:00 PM</t>
  </si>
  <si>
    <t>2169 leads</t>
  </si>
  <si>
    <t>Internal Operations Journey, Broadband Customer Experience Journey</t>
  </si>
  <si>
    <t>LCO Portal, CTS, APS (NovaTel Payment System), Proposition</t>
  </si>
  <si>
    <t>INC16775727</t>
  </si>
  <si>
    <t xml:space="preserve"> LCO Partner Onboarding along with cash deposit slips were impacted for CTS and APS applications.</t>
  </si>
  <si>
    <t>In this issue, it was identified that there was a connectivity problem between OpenShift and one of the SVM storage IPs, which had impacted the application pods that were using that IP. To mitigate, the storage team redirected traffic to a healthy node (10.224.133.146) and isolated the impacted node (10.224.133.147). After this action, connectivity was re‑established, and Proposition and LCO ran smoothly. However, APS and CTS continued to experience intermittent errors. Later it was identified that flap was observed in one of the master node (3rd router node) which impacted the application services. To resolve this, LB team isolated the 3rd master node post which improvement observed.</t>
  </si>
  <si>
    <t xml:space="preserve">Primary root cause:
Specification Leg-01
Q1: Why did the Internal Operations Journey &amp; Broadband Customer Experience Journey experience a service outage?
Ans: Because, Numerous applications (LCO, APS, CTS) were experiencing failures ,which affected the LCO Partner Onboarding in LCO application along with cash deposit slips for CTS and offline payments for all LOBs leading impact towards above mentioned journey’s. 
Q2: Why were several application services receiving failures simultaneously ? 
Ans: Because, applications were hosted on same OCP cluster and integrated applications reported an internal server errors/502 leading impact to pods instability and down. 
Q3: Why associated applications were getting errors and pods instability ? 
Ans: Because, Pods were experiencing connectivity issues(unable to establish connectivity ) to underlying NAS SVM (Storage Virtual Machine). NetApp storage cluster had two nodes, each with its own NAS IP. During the incident, the NAS IP on node two was not accessible, and failover to node one restored partial functionality. As an ideal scenarios both Ips(10.222.133.145/147) should work from each node. However, after failover LCO applications worked fine, but APS and CTS issues still persisted. 
Q4: Why did network connectivity issue observed for NetApp storage cluster? 
Ans: Teams jointly completed the troubleshooting however, due to unavailability of historical logs for outage window nothing conclusive identified. To reproduce the issue storage team perform the failover activity next day however issue didn’t resurface hence, the RCA for NAS IP Connectivity Issue remain unknown. 
Q5: Why after making failover still APS and CTS applications experienced connectivity issues? 
Ans: Because, during further troubleshooting it came to picture that intermittent flapping was observed for OCP cluster master node-3 which affected the application connectivity/intermittent connection drops and to mitigate/maintaining stable connectivity the 3rd master node get isolated by LB team. 
Q6: Why did OCP cluster master node-3 experienced intermittent connectivity issue? 
Ans: Further discussion with network/OCP team explored that due to incorrect VLAN tagging intermittent connectivity issue was observed which get triggered due to recent change performed CHG0203257 by network team where an extra character get added in VLAN. 
Detection Leg- 02 
Q1: Why didn’t the existing systems detect the issue earlier? 
Ans: Because, existing (Pods health check system) monitoring and alerting systems only trigger when a node is fully down, not during intermittent connectivity losses. The affected node was experiencing brief disconnects, which were not severe enough to activate standard alerts.
Q2: Why team took longer time to deduct the issue which increase the higher MTTR? 
Ans: Storage, Openshift team took long to identify the NAS Ip not reachable issue Post restoration , LB master node 3 issue came into picture which also took time due to lack of direct alerts. All are contributing factors for this Higher MTTR. 
Systemic leg-03 
Q1: Why did existing system allow this outage to trigger? 
Ans: There were multiple factor contributed to this as follows- 
•	System relied on node redundancy(NAS) and failover however, didn’t work as expected. 
•	Alerts were only generated for complete Pods outages, not for intermittent or partial failures. 
•	Misconfiguration at the switch/VLAN level (extra character in VLAN tag) was not caught by existing control 
•	Health check interval allowed requests to be routed to the problematic node during short disconnects. 
•	cause was only identified after larger manual investigation, indicating a lack of automated detection 
Observations: 
•	The team suggested implementing external or proactive health checks and more granular alerting mechanisms to identify and report partial or intermittent failures, not just complete outages. 
•	NFS protocol couldn’t connect to the NAS IP, resulting in 100% packet loss during ping tests from various locations. 
•	Recommended to capture Wireshark logs during the event if such issue occur in future to identify the actual cause(NAS issue). 
Preventive Action: 
•	OCP team have to explore with OEM for alerting and monitoring mechanisms for detection of intermittent issues. Open Shreya/ Mandeep 
•	Network team have to take extra precautions and avoid human errors while performing such changes along with that need to explore with OEM to figure out how to avoid(extra character in VLAN tag) - Open Bed
 </t>
  </si>
  <si>
    <t>PRB0044569</t>
  </si>
  <si>
    <t>Digital Acquisition, Digital Experience B2C, IntOps</t>
  </si>
  <si>
    <t>INC16774762, INC16774765, INC16774767
TG Alert
TG Alert</t>
  </si>
  <si>
    <t>Symptom: 
1) High 503 failure in last 5 min from below API on  MyNovaTelapp-internal-community-Kong 
Kong Server IP :- 10.222.232.26/23/27
API :- /orderhive/getAllSubscriptions
Alert Start Time: 27/11/2025 11:11 Hrs
Event NO: INC16774762, INC16774765, INC16774767
1)  digital-catalog_ocp-digital-catalog-prod-prod-myNovaTelapp.apps.n1cs1ocp-pclus-01.acs.novatel.internal - status failed (1) -- Actuator is Down
Alert Start Time: 27/11/2025 11:12 Hrs 
Event No: TG Alert
2) honcho-ocp-honcho-prod-prod-myNovaTelapp.apps.n1cs1ocp-pclus-01.acs.novatel.internal - status failed (1) -- parse error: Invalid numeric literal at line 1, column 20
Actuator is Down 
Alert Start Time: 27/11/2025 11:20 Hrs
Event No: TG Alert
LCO Partner Onboarding along with cash deposit slips are impacted for CTS and APS applications.</t>
  </si>
  <si>
    <t>11/27/2025 11:09
11/27/2025 11:12
11/27/2025 11:20</t>
  </si>
  <si>
    <t>11/27/2025 11:34
Open
Open</t>
  </si>
  <si>
    <t>TBC</t>
  </si>
  <si>
    <t>Black Activation Journey, Black Customer Experience Journey</t>
  </si>
  <si>
    <t>OneNova, Case &amp; Interaction</t>
  </si>
  <si>
    <t>INC16784478</t>
  </si>
  <si>
    <t>Black bundling orders were impacted for NUPW circle.</t>
  </si>
  <si>
    <t>In this issue, CASE team reported encountering an “890 error” affecting black bundling orders, particularly broadband orders for North UP West circle (Noida, Ghaziabad). Investigation revealed that there was an change (CHG0207637) deployed yesterday at HB_CRM end which caused incorrect bill cycle code and the change was subsequently rolled back. After the rollback, all stuck orders were cleared through repush.</t>
  </si>
  <si>
    <t>Digital Acquisition, Case N Interaction</t>
  </si>
  <si>
    <t>900 bundling orders were impacted.</t>
  </si>
  <si>
    <t>CHG0207637</t>
  </si>
  <si>
    <t>INC16784682</t>
  </si>
  <si>
    <t>Nova App Benefits and Critical Realtime recharges process were impacted.</t>
  </si>
  <si>
    <t>In this issue, DARTS team has confirmed that mount point data was missing on both servers (10.5.9.88 and 10.5.9.89). Further, Unix team identified that both servers were in an offline state due to some storage-related issue. Meanwhile, Storage team confirmed that these servers were part of an ongoing activity (CHG0205619) at Storage end. To mitigate, Unix team rebooted the servers (10.5.9.88/89) one by one and reseated physical cable. Post these actions, both servers are running fine and app services are also in operational state.</t>
  </si>
  <si>
    <t>INC16784571</t>
  </si>
  <si>
    <t>Direct
1)Some Resources [FS_DATA] in the servicegroup [THANKS_SG] are faulted_HA Failover Alert_event.alert.vom.vcs.resource.faulted_HostName : n2pl-pac-abc227  _sysUpTime : 204 days, 4:44:53.60
Alert time - 2025-11-28 00:19 Hrs
Event no - INC16784571</t>
  </si>
  <si>
    <t>Nova App benefits was impacted for real-time recharge process.</t>
  </si>
  <si>
    <t>CHG0205619</t>
  </si>
  <si>
    <t>Black Customer Experience Journey (Call Center), Broadband Customer Experience Journey (Call Center), Prepaid Customer Experience Journey (Call Center), Postpaid Customer Experience Journey (Call Center), DTH Customer Experience Journey (Call Center)</t>
  </si>
  <si>
    <t>INC16791570</t>
  </si>
  <si>
    <t xml:space="preserve">CC Advisorrs were not able to login the ECHO dialer. </t>
  </si>
  <si>
    <t xml:space="preserve">In this issue, CC advisors experienced a login issue with the ECHO dialer. To fix this issue, DevOps team implemented configuration optimizations on the NGINX servers (10.223.132.12 and 10.223.132.21). Post optimization CC advisors confirmed that ECHO dialer is accessible successfully. The issue is now resolved. </t>
  </si>
  <si>
    <t>No success dip</t>
  </si>
  <si>
    <t>Nova App Experience Journey, DTH Change Order Journey, DTH Recharge Journey, Black Change Order Journey, Black Customer Experience Journey, DTH Customer Experience Journey</t>
  </si>
  <si>
    <t>OneNova, LAPU_GT, LAPU_MT, Nova App, IPTV, POQ</t>
  </si>
  <si>
    <t>INC16790113</t>
  </si>
  <si>
    <t xml:space="preserve"> DTH change orders were impacted and recharges dip was seen for 15% traffic.</t>
  </si>
  <si>
    <t>In this issue, Multiple application were observing failure from DTH_Vector biller Api due to which partial dip was seen for DTH recharges as well as DTH change orders were impacted. Initially, DTH_Vector team have taken Service restart, post which failures for LAPU has been settled but issue still persisted for other applications. Further identified DTH team shifted traffic from N2 to N1 due to which sticky sessions were not released from N2, due to which few requests were landing on N2. To resolve the issue LB team flushed out the inactive sessions from N2 post which failures got settled and issue got resolved.</t>
  </si>
  <si>
    <t>Root Cause Summary: 
The primary cause of the incident was the duplication of heartbeat IP addresses between DTH_Vector N2 Database cluster and eCAF DR environment. The same heartbeat IP was unknowingly assigned to both environments during recent build activities.
Oracle database clusters rely on dedicated private interconnects for heartbeat communication to maintain node membership and cluster integrity. When two clusters use identical heartbeat IP addresses within the same VLAN/subnet, the following issues occur:
•	Heartbeat packets are misrouted or dropped.
•	Nodes intermittently lose visibility of each other.
•	Cluster interconnect flapping occurs.
•	Nodes may be evicted from the cluster.
•	Database services intermittently fail or freeze.
Why the Duplicate Heartbeat IP Was Assigned:
The duplication occurred due to legacy IP governance practices, gaps in IPAM hygiene and limitations in the way heartbeat IPs can be validated. The following key gaps contributed to the misconfiguration:
1. Manual IP Management in IPAM (Legacy Process)
•	Network team maintains both production and heartbeat IP pools manually using the IP Address Management (IPAM) tool.
•	Due to manual handling, Heartbeat IP allocations were sometimes missed or were not correctly updated in IPAM.
•	As a result, IPAM did not reflect the actual deployed state of heartbeat IP assignments across historical cluster builds.
•	This created a mismatch between what IPAM showed as "free" and what was being used in operational clusters.
2. Incorrect Validation Mechanism (Relying Only on Ping)
•	Before IP assignment, both Network and Build teams rely on ICMP ping responses to verify if an IP address is already in use.
•	This method works only for L3/routable production subnets.
•	Heartbeat IPs operate on L2 switches, which:
	Do not use default gateways.
	Do not have routing enabled.
•	Conflict cannot be checked using a normal ping unless the test is done from another interface in the same private subnet.
•	Therefore, even if a heartbeat IP was already in use, a ping test from outside its subnet would misleadingly show the IP as free.
3. Historical Oversight and IPAM Gaps
•	The heartbeat IP originally assigned to  DTH_Vector cluster 7–8 years ago was never accurately recorded or updated in IPAM.
•	During the recent eCAF DR build, IPAM indicated that the same heartbeat IP as available.
•	Network team proceeded to allocate this IP to build team for eCAF DR environment configurations.
•	Once the eCAF DR cluster came online, both clusters began responding to the same heartbeat IP address, resulting in packet drops and heartbeat failures.
Additional Findings - Systemic Failure:
A similar duplicate heartbeat IP issue was also identified between:
•	SkyVault DB and eCAF SIT environments
Both pairs of clusters were configured using identical heartbeat IPs. This indicates that the problem is not isolated, but symptomatic of:
•	Missing centralized governance for heartbeat IPs.
•	Lack of end-to-end visibility in IPAM for L2 IP pools.
Action Required:
To address the systemic gaps and prevent future outages, teams to verify the network configurations for all other oracle database clusters to ensure that configuration should be correct.
Preventive Measures: 
•	Collect all IP addresses currently configured in all servers and find out the heartbeat IP addresses. – Bedabrat (In Progress - ETA- 5th December)
•	Update IPAM with all the currently configured IP addresses to avoid any duplicity in future. - Bedabrat (In Progress - ETA- 12th December)</t>
  </si>
  <si>
    <t xml:space="preserve">PRB0044570 </t>
  </si>
  <si>
    <t>Xstream, Digital Experience B2C, Prepaid, Digital Acquisition</t>
  </si>
  <si>
    <t>P3
P4
P1
P4
P4
P4</t>
  </si>
  <si>
    <t>INC16787469
TG Alerts
Alert103923290,Alert103923289,Alert103923309
INC16787822,INC16787821,INC16787998
INC16787829,INC16787843
INC16787959</t>
  </si>
  <si>
    <t>1)Web service [channels-xena] - CatalogueController
DTHBiller on port 443
Failure rate increase
3.02k requests/min impacted
by a failure rate increase to 58 %
Alert time - 2025-11-28 05:57 Hrs
Event no -INC16787469
2)LOW - POQ response not fully eligible for chipId
Sev-4 Threshold Value: 6.0
Alert time - 2025-11-28 06:10Hrs
Event no -TG Alerts
3)DTH_MBOSS-DTH New Customer Acquisition-OverallAvgResponseTime is greater than 300ms_Sev-1
Alert time - 2025-11-28 06:21Hrs
Event no -Alert103923290,Alert103923289,Alert103923309
4)Multiple NovaTel-Zabbix_New_Digital_Selfcare_4xx | /dth/catalogue/getbasepacks | Failure Perc : 80.516 % || Failure count : 618
Alert time - 2025-11-28 06:55 Hrs
Event no -INC16787822,INC16787821,INC16787998
5)Hostname:ecom_bundling_noc_alerts severity: Warning Trigger: Total Count : 76 | Failure Count : 29 | FailurePercentage %: 32.31 | Threshold: 7% Trigger Name : BUMBLEBEE_SERVICE_LOGS-CREATE_CHANGE_ORDER_SUMMARY-DTH High Failure in last 60M Trigger Value: 32.307692307692307 Current Threshold Value :32.307692307692307
Alert time - 2025-11-28 06:58Hrs
Event no -INC16787829,INC16787843
6)MilestoneWisePendency1540_2797_Pendency observed on milestone FULL_BAR_ORDER_RECEIVED (2200.0)
Trigger Value: 142 Current Threshold Value :142
Alert time - 2025-11-28 07:18Hrs
Event no -INC16787959</t>
  </si>
  <si>
    <t>11/28/2025  05:57
11/28/2025  06:10
11/28/2025  06:21
11/28/2025  06:55
11/28/2025  06:58
11/28/2025  07:18</t>
  </si>
  <si>
    <t>11/28/2025  06:51
11/28/2025  06:30
11/28/2025  06:26
11/28/2025  07:43
11/28/2025  07:09
11/28/2025  10:03</t>
  </si>
  <si>
    <t>Lapu- 15% DTH recharges dip 
OneNova Success hits Dip- (D vs D-4: 17728 Vs 29218= 11490) is 39% 
Nova App- 60% failure 
"Mismatch in telemedia account id" - 19 errors
"ELIGIBILITY-MASTER-UNKNOWN-001" -179 errors</t>
  </si>
  <si>
    <t>NovaTel_IQ Whatsapp</t>
  </si>
  <si>
    <t>INC16791554</t>
  </si>
  <si>
    <t>IR whatsapp Chatbot was not working.</t>
  </si>
  <si>
    <t xml:space="preserve"> In this issue, customers reaching IR whatsapp helpdesk, were unable to reach advisors. Further identified that, Chatbot teams were observing failures from NovaTel_IQ Whatsapp API. However, Issue got resolved without any technical intervention. </t>
  </si>
  <si>
    <t>No major impact</t>
  </si>
  <si>
    <t>APB_SBA, APB_Transit Cards</t>
  </si>
  <si>
    <t>INC0629890</t>
  </si>
  <si>
    <t>Reward API was failing due to which impacted SBA onboarding processes and caused a cascading effect on the NFB-TransitCards application.</t>
  </si>
  <si>
    <t>In this issue, team reported that the Reward API was failing, which impacted SBA onboarding and caused a cascading effect on the APB_TransitCards application. During troubleshooting, the failures reduced automatically, and the issue resolved without any technical intervention.</t>
  </si>
  <si>
    <t xml:space="preserve">For NFB-SBA Account creation - {D vs (D-7) } = 41-908 = -867 (97% dip in account creation).
For NFB-Trasitcards - As it got impacted due to dip in SBA </t>
  </si>
  <si>
    <t>APB_Payments Hub, APB_Cash Withdrawl</t>
  </si>
  <si>
    <t>INC0629915</t>
  </si>
  <si>
    <t>Cash withdrawal and Payment Hub (PH) transactions are impacted due to timeout error from CBS end.</t>
  </si>
  <si>
    <t>In this issue, team reported encountering a timeout error from the CBS end with the message: “Timeout during Category update request. Exception in CBSA003ClientImpl::callA003.”This issue impacted NFB-Cash Withdrawal and NFB-Payments Hub services. During troubleshooting,  However, actual caused was not identified at application end and issue got auto resolved without any technical intervention of domain teams.</t>
  </si>
  <si>
    <t>For NFB-Payment Hub transaction Failure (10:53 AM to 11:30 AM)-{D vs (D-7)} =232 - 50 = 182 (Transaction Failure)
For NFB-Cash withdrawal Success count- (6:26AM to 11:30PM)-{D vs (D-7)} =5620-7798 = 2178 (27.93% dip in Success count)</t>
  </si>
  <si>
    <t>Prepaid Online Recharge Journey, Prepaid Retail Recharge Journey, Prepaid New Customer Acquisition-MNP Journey, Postpaid New Customer Acquisition-MNP Journey</t>
  </si>
  <si>
    <t>LAPU_GT, LAPU_MT, PACS, Mediation_IL</t>
  </si>
  <si>
    <t>INC16797623</t>
  </si>
  <si>
    <t>Recharges and Provisioning Orders failed for KK Circle.</t>
  </si>
  <si>
    <t>In this issue, LAPU team reported failures in recharge transactions for the KK circle. It was subsequently confirmed that an ongoing MPLS activity (CRQ000005750327) at the Embedd end (NSG) was being carried out for an IOS Router devices upgrade from version 7.5.2v7 to 24.4.30-v1 for MPLS. To address the issue, the activity was rolled back, after which the problem was resolved.</t>
  </si>
  <si>
    <t>TG Alert 
TG Alert 
TG Alert
INC16797263/INC16797276/INC16797295</t>
  </si>
  <si>
    <t>Direct:
1)CONNECTION OFFLINE ALERT
Error Codes: dlm.result.code.100,dlm.result.code.1002
Server: HUB2_N1_218 (10.222.197.xxx/10.222.177.xxx)
Total Occurrences: 16
to_circle: 06
Proxy URLs are: 10.89.41.180,10.91.16.25
Alert time : 2025-11-29 00:46
Event No : TG Alert 
2)MT ERICSSON OFFLINE FAIL
Operational Data  : circle: KK, responseCode: 100, Server: 10.241.177.xx
Alert time : 2025-11-29 01:00
Event No : TG Alert 
Symptom:
1)Lapu MT Transaction Failure
Host Name : Lapu MT Circlewise Failure Transaction_v1
CIRCLENAME : KK
BuisnessField : Prepaid Retail Recharge Journey
component : Lapu MT Circlewise Transaction Failure
Alert time : 2025-11-29 00:45
Event No : TG Alert
2)Ping Check Trigger for 10.142.58.49 / 10.102.192.42
Host Name : 10.222.197.xxx
Business Group : cellstack nhi n, prepaid_lapumt_infra
Alert time : 2025-11-29 01:06
Event No :INC16797263/INC16797276/INC16797295</t>
  </si>
  <si>
    <t>11/29/2025 0:46
11/29/2025 1:00
11/29/2025 0:45
11/29/2025 1:06</t>
  </si>
  <si>
    <t>Open
11/29/2025 1:31
11/29/2025 1:22
11/29/2025 1:20</t>
  </si>
  <si>
    <t>Provisioning: Approx. 100 MNP orders Recharges: Approx. 30 Retail recharge transactions failed. Online recharges success Dip (D vs D-7): 675 (2867 vs 3542) is 19%.</t>
  </si>
  <si>
    <t>CRQ000005750327</t>
  </si>
  <si>
    <t>Prepaid Customer Experience Journey (Call Center)</t>
  </si>
  <si>
    <t>Service Portal, Selfcare_B2C</t>
  </si>
  <si>
    <t>INC16812567</t>
  </si>
  <si>
    <t>CC advisors were facing slowness in MOP and 5G scenarios in Service Portal.</t>
  </si>
  <si>
    <t>In this issue, Selfcare_B2C and Service Portal were getting failure from LBS API of NSG, for APIs (/esim/v1/eligibilities and 10.3.128.140:10035) due to which slowness was observed for MOP and 5G scenarios in Service Portal . Further it was identified that, there was a change deployed at NSG end for LBS API, due to which issue occurred. To resolve, NSG team rolled back the changes(CRQ000005255913,CRQ000005255477, CRQ000005255569, CRQ000005255571, CRQ000005255495, CRQ000005255666, CRQ000005255921) as well as took component and Node restart for GMPC1/2, post which failures reduced and issue got resolved.</t>
  </si>
  <si>
    <t>INC16810488
INC16810495
INC16811378
TG alert</t>
  </si>
  <si>
    <t>Symptom:
1) sp_multitenant_api_failure_percent Text_To_Speech
Total Count : 598 ,Failure Count : 261,Failure % : 43.65
Alert Start Time: 2025-11-30 05:57 Hrs 
Event NO:INC16810488
2)SP_MT_RULE_FAILURE
RULE_NAME : LBS 5G Network Feasibility
Current Value : 90.83
Alert Start Time: 2025-11-30 05:59 
Event NO:INC16810495 
3) Web service
[channels-experience] - ESimController
Failure rate increase 57.6 requests/min impacted
Alert Start Time: 2025-11-30 08:09 Hrs 
Event NO:INC16811378 
4)Web service
[sp-mt-dt-prepaid] - userSecureScenarioController
Response time degradation 377 requests/min impacted
Alert Start Time: 2025-11-30 08:53 Hrs 
Event NO:TG alert</t>
  </si>
  <si>
    <t>11/30/2025 05:57	
11/30/2025 05:59	
11/30/2025 08:09
11/30/2025 08:53</t>
  </si>
  <si>
    <t>11/30/2025 06:48
11/30/2025 06:33
11/30/2025 10:13
11/30/2025 09:07</t>
  </si>
  <si>
    <t>: Service Portal Success hits dip: (D vs D-7: 883 Vs 71417= 70534)
Selfcare_B2C Success hits dip: (D vs D-3: 327 Vs 2186= 1859)</t>
  </si>
  <si>
    <t>CRQ000005255913,CRQ000005255477, CRQ000005255569, CRQ000005255571, CRQ000005255495, CRQ000005255666, CRQ000005255921</t>
  </si>
  <si>
    <t>INC16825006</t>
  </si>
  <si>
    <t>In this issue, CC advisors experienced a login issue with the ECHO dialer. However, the issue was automatically resolved without any technical intervention.</t>
  </si>
  <si>
    <t>P3
TG alert 
P1
P1</t>
  </si>
  <si>
    <t>Alert104050562
TG alert 
INC16822840,INC16822841
Alert104052293,Alert104052346</t>
  </si>
  <si>
    <t>Symptom:
1)ECHO_URLS_10.5.252.243_7003_NovaTelTG
URL:http://10.5.252.243:7003/NovaTelTG/faces/homePage.jspx
Alert time-25/12/01  09:23 Hrs.
Event no-Alert104050562
2)aerospike-10.5.118.97 - failed protocol test [DEFAULT] at [10.5.118.97]:
3000 [TCP/IP] -- Connection timed out
Alert time-25/12/01  10:21 Hrs.
Event no -TG alert 
3)ECAF Container restart cart-service
Host Name :Multiple ECAF n1ocp-pclus-02 Namespace Wise || 127.0.0.1
Alert time-25/12/01  10:33 Hrs.
Event no-INC16822840,INC16822841
4)Multiple Kong High 503 error on 10.242.146.xx
Alert time-25/12/01  10:21 Hrs.
Event no -Alert104052293,Alert104052346</t>
  </si>
  <si>
    <t>12/01/2025 09:23:20
12/01/2025 10:21:00
12/01/2025 10:26:20
12/01/2025 10:21:25</t>
  </si>
  <si>
    <t>12/01/2025 09:24:10
open
12/01/2025 10:51:15
12/01/2025 10:26:25</t>
  </si>
  <si>
    <t>Broadband Activation Journey, Postpaid Activation Journey</t>
  </si>
  <si>
    <t>INC16827812</t>
  </si>
  <si>
    <t>Broadband and COCP activation were delayed.</t>
  </si>
  <si>
    <t>In this issue, COCP and Broadband activation orders were initially stuck at "EV Submitted" due to EV synchronization failures caused by fluctuations in RabbitMQ. To mitigate, eCAF team performed a service refresh, after which orders began flowing to the EV team and COCP orders were successfully cleared by 12:38 hrs. Despite this, Broadband order pendency remained high, and further investigation revealed that the earlier RabbitMQ disruption had caused a sync mismatch between the cart DB and the eCAF_eDSL DB, resulting in inconsistent order statuses. To resolve, the eCAF team re-synced the status for and enabled the re-KYC option for all EV_REJECTED orders(last 3 days). Following these corrective actions, the issue was resolved.
Regards, MIM Team</t>
  </si>
  <si>
    <t>P3
P2 
TG alert</t>
  </si>
  <si>
    <t>INC16822631,Alert104050562
INC16824464 
TG alert</t>
  </si>
  <si>
    <t>Symptom:
1)RabbitMQ: Number of network partitions is too high
RabbitMQ: There are queues that could potentially lose data if this node goes offline.
Host Name : n1cs1vlpdiececaa0046,n2cs1vlpdiececaa0010
Alert time-25/12/01  10:17 Hrs.
Event no-INC16822631,Alert104050562
2)Broadband milestone pendency alert in last 10 min 
Host Name : Milestone_pendency_broadband_ecaf
Current Value : 610.0
Alert time-25/12/01  10:22 Hrs.
Event no -INC16824464 
3)Web request service
[ecaf-simswap-service-canary] - simswap-new-app (/simswap-new-app) 
Disaster^ECAF-ecaf-simswap-service-Responsetime&gt;1000ms
ECAF-ecaf-simswap-service-Responsetime&gt;1000ms
Alert time-25/12/01  10:23 Hrs.
Event no -TG alert</t>
  </si>
  <si>
    <t>12/01/2025 10:17:40
12/01/2025 12:22:20
12/01/2025 10:23:00</t>
  </si>
  <si>
    <t>12/01/2025 11:07:40
12/01/2025 12:42:25
12/01/2025 10:31:00</t>
  </si>
  <si>
    <t>840 EV submitted Broadband orders delayed.</t>
  </si>
  <si>
    <t>INC16829789</t>
  </si>
  <si>
    <t>In this issue, errors were observed with eKYC Face Authentication in eCAF, which caused intermittent impact on the acquisition journey for Prepaid, Postpaid and SIM Swap. This concern was raised to UIDAI and corrective action has been taken from their end, post which issue stands resolved.</t>
  </si>
  <si>
    <t>INC16829002
INC16829140</t>
  </si>
  <si>
    <t>Symptom:
1)Multiple INTEGRATION_UIDAI_TOMCAT_ACCESS_API_5XXFAILURES
API_NAME :/ASA2_6/customer/verifycustomer/verifycustomerAsadetails/v2/verifyCustomerAsaDetails 
API_NAME : /KSA2_6/customer/getUser/getUserAadhaarProfile/v2_1/getUserAadhaarProfileKsaDetails
API_NAME : /OASA2_6/customer/getUser/getCustomerAadhaarOTP/v1/generateCustomerAadhaarOtpAsa
API_NAME : /KSA2_6/customer/getUser/getUserAadhaarProfile/v2_1/getUserAadhaarProfileKsaDetails
Alert time - 2025.12.01 19:20Hrs 
Event No -INC16829002 , INC16829003 , INC16829004 ,INC16829001
2)Web service [aadhaar-kua-service-canary] - KuaController
Failure rate increase
315 requests/min impacted
by a failure rate increase to 91 %
Web service - N1 - OAsaController - OAsaApplication (prod)
Web service - N1 - KsaController - KsaApplication (prod)
Web service -  N2 - AsaController - AsaApplication (prod)
Web service - N1 - AsaController - AsaApplication (prod)
[aadhaar-kua-service] - KuaController
Web request service
N2 - kong:8081 - nginx
Alert time - 2025.12.01 19:29Hrs
Event No - INC16829140</t>
  </si>
  <si>
    <t>2025-12-01 19:20:10
2025-12-01 19:29:15</t>
  </si>
  <si>
    <t>2025-12-01 19:40:10
Open</t>
  </si>
  <si>
    <t>Prepaid success dip: (D vs D-7: 3572 vs 8382) is 57% dip.
Postpaid success dip: (D vs D-7: 245 vs 380) is 35% dip.
Simswap success dip: (D vs D-7: 1300 vs 2650) is 50% dip.</t>
  </si>
  <si>
    <t>Black Acquisition Journey, Broadband New Customer Acquisition Journey, DTH New Customer Acquisition Journey</t>
  </si>
  <si>
    <t>eCAF_eDSL, Feasibility, IPTV, OneNova</t>
  </si>
  <si>
    <t>INC16836180</t>
  </si>
  <si>
    <t>IPTV, Broadband, DTH and Black Acquisition was impacted.</t>
  </si>
  <si>
    <t>In this issue, FEs were encountering “MDU Pincode Error,” due to which IPTV, Broadband and DTH acquisition was impacted. Further investigation revealed that the issue was caused by an incorrect query executed during eCAF JIRA change (ECAF-41459) at eCAF_eDSL end. To mitigate the issue, eCAF team along with Oracle DBA team rolled back the change, post which application team performed a cache refresh. Following these actions, the issue was fully resolved and services resumed normal operation.</t>
  </si>
  <si>
    <t>Primary Root Cause: 
Leg 01 – Specification 
Q1. Why were service disruptions observed for Broadband, DTH and Black Acquisition journeys? 
A1. Because feasibility checks for customer addresses started failing during acquisition. The feasibility logic—specifically the pin code–level validation (MDU pin code check)—began using incorrect reference values, causing the backend service to return pin code mismatch or invalid pin code errors. Since, feasibility is a mandatory validation step for Broadband, DTH and Black journeys, all new acquisition orders failed across channels. 
Q2. Why did the feasibility logic (MDU pin code validation) start failing? 
A2. Because an unintended production impact occurred from a Jira change (ECAF-41459) that was meant only for the pre-production (beta) environment. This change was intended to modify the format of the KCI message (OTP SMS) sent to end users during activation. However, while updating configuration values related to SMS formatting, it unintentionally modified production configuration records, leading to a production outage. 
Q3. Why did the Jira change (ECAF-41459), intended only for beta environment, affect production? 
A3. Because the SQL update query executed as part of the Jira change was run on a database instance that had shared schema, shared data and shared credentials with production. Due to this lack of environment segregation, the update unintentionally modified 617 configuration records in the production database. Although the change occurred at 04:59 PM, it did not immediately affect the system. 
Q4. Why did the SQL update modify production values without immediate impact? 
A4. Because the application does not consume configuration values from the database in real time. It uses an internal caching mechanism where configuration data is periodically loaded into memory. The incorrect values remained inactive until the internal scheduler triggered a cache refresh at 8:40 PM, reloading the corrupted configuration values into the in-memory cache across all application nodes. This made the incorrect parameters active system-wide, causing feasibility logic to fail for all incoming requests.
Leg 02 – Detection 
Q1. Why was the issue not identified proactively? 
A1. Because the pre-production (Beta) and Production databases were not segregated, the change was executed directly without a controlled validation process. As a result: 
a) No pre-execution dry run was possible in an isolated environment. 
b) No automated validation checks were triggered before or after the execution. 
c) The system could not differentiate whether the query was meant for Beta or Production. 
Thus, the issue remained undetected until business impact was observed. 
Q2. Why did database-level monitoring not detect the issue? 
A2. Because DB monitoring was limited to infra parameters (CPU, connections / sessions, disk I/O) and did not include data-level reliability controls. Specifically: 
a) No row-level auditing was enabled on key configuration tables to capture modifications. 
b) No alerting on high row-count updates, even when 617 records were altered 
c) Lack of environment tags/controls, which would have detected that a change intended for Beta was impacting Production. 
Q3. Why was the rollback delayed despite deployment failure? 
A3. Because there was no predefined rollback plan for configuration-level data changes. Teams had to manually identify and validate the corrupted entries. Specifically: 
a) eCAF and Oracle DBA teams spent time analysing the central application properties table to locate all incorrect updates. 
b) Rollback required restoring 617 misconfigured rows from table-level backups, as no selective rollback mechanism was available.
Leg 03 – Systemic Failure 
Q1. Why was a production-impacting Jira change allowed to execute without proper controls? 
A1. Because of multiple systemic gaps: 
a) Process Gap: SQL changes were executed through Jira instead of going through the standard CAB-controlled change management workflow. 
b) Environment Gap: Beta and production environments had no segregation—shared DB schema, shared data and shared credentials, allowing beta-level updates to hit production. 
c) Validation Gap: SQL changes lacked row-level filters, row-count validation, dry-run checks, and diff-based verification before execution. 
d) Rollback Gap: No mandatory pre-execution table-level backup or documented rollback plan was defined. 
e) Access Governance Gap: DB access controls did not restrict or isolate beta-specific operations from impacting production data. 
Recommendations: 
1. Change Freeze: Enforce a freeze on the last and first day of each month, restricting SQL and configuration changes in both pre-prod and prod environment. 
2. CAB Governance: Ensure all such changes go through the standard CAB process, not Jira for review and approval. 
3. Backup &amp; Rollback: Mandate manual table-level backups before executing configuration-impacting SQL changes and require a documented rollback plan for every change. 
Preventive Measures: 
1. Implement segregation between pre-production and production environments to prevent unintended changes affecting both. – Devinder / Ravindra (Open) 
2. Add additional validation checks in the query execution process to ensure only intended rows are updated and automate failure on unexpected updates. – Devinder (Open)</t>
  </si>
  <si>
    <t>PRB0044571</t>
  </si>
  <si>
    <t>INC16829862</t>
  </si>
  <si>
    <t>Symptom:
1)Web service
[edsl-service] - ComKycController
Failure rate increase
94.6 requests/min impacted
by a failure rate increase to 12 %
Alert Time:  2025.12.01 20:46 Hrs
Event NO: INC16829862,INC16829870</t>
  </si>
  <si>
    <t>Broadband Success Dip for Duration (20:56 Hrs. to 22:07 Hrs.): (D vs D-7: 127 vs 247: 120).
Broadband Success Dip for Full Day: No Dip (D vs D-30: 68736 vs 55582: -13154). 
Homes Success Dip for Full Day: No Dip (D vs D-30: 36738 vs 24948: -11790).
Broadband Success Dip for Duration (19:30 Hrs. to 23:59 Hrs.): No Dip (D vs D-30: 2661 vs 1587: -1074).
Homes Success Dip for Duration (19:30 Hrs. to 23:59 Hrs.): (D vs D-30: 3362 vs 3526: 164 is 4.65%).</t>
  </si>
  <si>
    <t>ECAF-41459</t>
  </si>
  <si>
    <t>Service Portal, Careshark</t>
  </si>
  <si>
    <t>INC16840126</t>
  </si>
  <si>
    <t>CC Advisors were unable to access Service Portal Intermittently.</t>
  </si>
  <si>
    <t>In this issue, CC Advisors encountered multiple issues on Service Portal, including login failures, inability to load data, and intermittent auto-logout. During investigation, Application team observed unauthorized errors on OCP pods, which triggered this issue. To fix this issue, Service Portal team performed a pod refresh, after which the issue was fixed and normal functionality was restored.</t>
  </si>
  <si>
    <t xml:space="preserve">Alert104088638,Alert104088643,Alert1040886378
INC16836263
INC16836373
</t>
  </si>
  <si>
    <t>Direct :
1)Multiple Kubernetes workload No pod ready
sp-mt-dt-prepaid-canary
sp-feedback-platform-logs-view
sp-dumbledore-logs-view
Symptom:
1) Hostname:Careshark_LOGIN_FAILURE_count severity
Alert Start Time: 02/12/2025 10:03 Hrs
Event No: INC16836263
2) Web request service
[sp-mt-dt-postpaid] - MultiTenantApplication (/multi-tenant)
Response time degradation 37.6 requests/min impacted
Alert Start Time: 02/12/2025 10:12 Hrs (Fluctuating)
Event No: INC16836373</t>
  </si>
  <si>
    <t>12/2/2025 05:31
12/2/2025 10:03
12/2/2025 10:12</t>
  </si>
  <si>
    <t>12/2/2025 05:33
12/2/2025 10:11
12/2/2025 10:22</t>
  </si>
  <si>
    <t>Service portal success dip (D vs D-5: 10512 vs 18590: 8078) is 43% dip</t>
  </si>
  <si>
    <t xml:space="preserve">INC16838879 </t>
  </si>
  <si>
    <t>Users faced issue while doing payments via NFB Wallet in Nova App.</t>
  </si>
  <si>
    <t>In this issue, Nova App team reported encountering socket timeout errors while accessing the API (https://payments.int.novabank.com:5051/NovaTel/auth/api/v2/payments/options/fetch), which resulted in users being unable to view their NFB wallet balance or make payments through it. Further, issue was traced to the 'Balance API' timing out due to high RT from the APB_CBS end. As of now, errors subsided without any confirmed corrective action from any party, and the issue stands resolved.</t>
  </si>
  <si>
    <t>INC16837580, INC16837579,INC16837604
INC16837753</t>
  </si>
  <si>
    <t>Symptom:
1) Multiple DPS_APB_SERVICE High 500 Failure for WALLET-PROFILE
API : WALLET-PROFILE
API : WALLET-DETAILS-ADAPTER
Alert Start Time: 02/12/2025 11:59 Hrs
Event NO: INC16837580, INC16837579,INC16837604
2) Multiple Web service is impacted
a) [dps-pg-service-web] - WalletController
b) N1 - APBTransactionsController - APBWebApplication (prod)
c) Payments-Internal on port 5051
Alert Start Time: 02/12/2025 12:12 Hrs
Event No: INC16837753</t>
  </si>
  <si>
    <t>12/2/2025 11:59
12/2/2025 12:12</t>
  </si>
  <si>
    <t>12/2/2025 12:29
12/2/2025 12:53</t>
  </si>
  <si>
    <t>No Dip in Success hits (D vs D-7): (49,563 vs 44,008).</t>
  </si>
  <si>
    <t>CC advisors were facing latency in Careshark intermittently.</t>
  </si>
  <si>
    <t>In this issue, It was identified that during the 62 DC migration activity for E-Row switches in 2B block to the new EVPN network fabric (CHG0208383), application traffic was shifted to alternate worker nodes. PODs on those nodes were restarting automatically, resulting in intermittent latency in Care Manager. To mitigate this issue Careshark team performed a manual restart of the affected PODs on the new worker nodes. Post which stability was restored and issue got resolved.</t>
  </si>
  <si>
    <t>Alert104103735
Alert104103938</t>
  </si>
  <si>
    <t>Symptom:
1)Host Name : Careshark_RULE_EXECUTION_TIME_RT
Current Value : 30205.0
APP : wf-v3
Issue : High latency for Macro execution creation in last 10 mins
Threshold : 95th percentile of response time is greater than 20 
Alert Time:  2025-12-02 14:56 Hrs
Event NO: Alert104103735
2)Host Name : Careshark_INBOUND_SUBSCRIBER_ERROR_count
Current Value : 62.0
APP : tm-v2
ISSUE : High Error Count in last 10 mins
THRESHOLD : Inbound Subscriber Error Count greater than 50 
Alert Time: 2025-12-02 15:03 Hrs
Event NO: Alert104103938</t>
  </si>
  <si>
    <t>12/2/2025 14:56
12/2/2025 15:03</t>
  </si>
  <si>
    <t>12/2/2025 15:01
12/2/2025 15:06</t>
  </si>
  <si>
    <t>INC16859086</t>
  </si>
  <si>
    <t>CC advisors were not able to fetch data usage details for broadband in service portal</t>
  </si>
  <si>
    <t>In this issue, CC Advisors were unable to retrieve Broadband data usage history as Service Portal team didn't receive a response from iFactory end for 'Get Data Usage API'. Further investigation confirmed that iFactory team had encountered a data corruption issue for which team subsequently backed up the data, restored it to the primary path, and refreshed system partitions, post which issue stands resolved.</t>
  </si>
  <si>
    <t>Tg Alert
INC16843867</t>
  </si>
  <si>
    <t>Symptom:
1)Web service
[sp-mt-dt-postpaid] - userScenarioController
Failure rate increase
20.2 requests/min impacted
by a failure rate increase to 21 %
Alert Time:  2025-12-02 20:07 Hrs
Event NO: Tg Alert
2)Host Name : sp_guardian_card_failure || 127.0.0.1
Current Value : 523
Issue Start Time : 2025.12.02 20:10:28
URL : /guardian/api/v1/user/custom/NETWORK_USAGE_HISTORY_DAILY
Action : : copy URL starting from "user" and search by  
Alert Time: 2025-12-02 20:10 Hrs
Event NO: INC16843867</t>
  </si>
  <si>
    <t>2025-12-02 20:07
2025-12-02 20:10:40</t>
  </si>
  <si>
    <t>2025-12-02 20:10
2025-12-02 20:50:35</t>
  </si>
  <si>
    <t>Dip in Success hits (D vs D-5): 1625 (20 vs 1645)</t>
  </si>
  <si>
    <t>INC16850901</t>
  </si>
  <si>
    <t>Prepaid success dip:895(D vs D-7: 257 vs 1152) is 78% dip. Postpaid success dip: 3(D vs D-7: 2 vs 5) is 60% dip. Simswap success dip: 56(D vs D-7: 32 vs 88) is 64% dip.</t>
  </si>
  <si>
    <t>Broadband Customer Experience Journey (Call Center), Broadband Installation/FR Journey, Broadband New Customer Acquisition Journey, Black Customer Experience Journey (Call Center), DTH Customer Experience Journey (Call Center), Postpaid Customer Experience Journey (Call Center), Prepaid Customer Experience Journey (Call Center), Postpaid Activation Journey, Broadband Activation Journey</t>
  </si>
  <si>
    <t>eCAF, eCAF_eDSL, Ecom, ECHO, NovaWorks, Nokia OSS - GIS, BTFLY_ATOM</t>
  </si>
  <si>
    <t>INC16856257</t>
  </si>
  <si>
    <t>Postpaid and Broadband Activation along with Broadband installation orders were impacted, ECHO was inaccessible.</t>
  </si>
  <si>
    <t>In this issue, Multiple applications were facing service disruption due to which Postpaid and Broadband Activation along with Broadband installation orders were impacted. To mitigate, Nokia_OSS GIS team have taken service restart at their end, post which orders started getting clear and echo dialer issue along with other application services were restored without any technical intervention. Additionally teams are working at backend to identify the Root cause of the issue.</t>
  </si>
  <si>
    <t>RCA#Awaited</t>
  </si>
  <si>
    <t>PRB0044574</t>
  </si>
  <si>
    <t>Digital Acquisition, Digital Experience B2C, Broadband, Postpaid</t>
  </si>
  <si>
    <t>P1
P2
P4
P4
P3
P2
P2
P3
P3</t>
  </si>
  <si>
    <t>TG Alert
INC16852526,  INC16853456
INC16853332, INC16853334
INC16853342
INC16853495, INC16853496
INC16853512, INC16853513
INC16853598
TG Alert
INC16853795</t>
  </si>
  <si>
    <t>Symptom:
1) Multiple myNovaTelapp-mongodb alert
IP- 10.242.XXX.XX, 10.5.XX.XXX, 10.241.XXX.XX, 10.92.XXX.XXX,  10.222.XXX.XXX,  
Alert Start Time: 03/12/2025 11:50
Event NO: TG Alert
2) Alert Name: High rate of 500 in service ECAF NGINX
Alert Start Time: 03/12/2025 11:52
Event No: INC16852526,  INC16853456
3) Alert Name: High rate of Timeout exceptions in ECAF for Service : commons_service
Alert Start Time: 03/12/2025 11:53
Event No: INC16853332, INC16853334
4) Multiple Free Hikari Connection pool of edsl-service-b887b545d-dgwt8 left than 40%
Host Name : ECAF Actuator Alert
pod_name : edsl-service-canary-57cfc6cb57-8rcg9
Alert Start Time: 03/12/2025 11:54
Event No: INC16853342
5) Average of Queue monitoring length in last 1 Hr
Host Name : GIS_queue_monitoring_length Elastic
IP : 10.222.237.11
Alert Start Time: 03/12/2025 12:00
Event No: INC16853495, INC16853496
6) Orders stuck at Tag change State - FTTH broadband orders 
Host Name : NovaTel_Works alerts for Broad Band Journey
INSTANCE : 10.5.31.145:9091
Alert Start Time: 03/12/2025 12:01
Event No: INC16853512, INC16853513
7) 12_13 Difference in AW and Nokia count in last 1 hr
Host Name : AW Nokia mismatch count
Alert Start Time: 03/12/2025 12:04
Event No: INC16853598
8) Web request service
Internal KONG on port 80
Failure rate increase 3.91k requests/min impacted
Alert Start Time: 03/12/2025 12:08
Event No: TG Alert
9) Pendency alert for component MDU_Task_2
Host Name : NovaTel_Works alerts for Broad Band Journey
INSTANCE : 10.5.31.145:9091
Alert Start Time: 03/12/2025 12:16
Event No: INC16853795</t>
  </si>
  <si>
    <t>12/3/2025 11:50
12/3/2025 11:52
12/3/2025 11:53
12/3/2025 11:54
12/3/2025 12:00
12/3/2025 12:01
12/3/2025 12:04
12/3/2025 12:08
12/3/2025 12:16</t>
  </si>
  <si>
    <t>Open
12/3/2025 11:57
12/3/2025 12:04
12/3/2025 12:02
12/3/2025 12:37
12/3/2025 12:25
12/3/2025 12:26
12/3/2025 12:08
Open</t>
  </si>
  <si>
    <t>COM- Broadband- 300, Postpaid 500 orders were delayed.
Broadband Installation orders: 601 Orders</t>
  </si>
  <si>
    <t>HB_ATOM, HB_CRM, NovaWorks, Nokia OSS</t>
  </si>
  <si>
    <t>INC16856911</t>
  </si>
  <si>
    <t>FWA install orders were impacted.</t>
  </si>
  <si>
    <t>In this issue, it was reported that FEs were waiting for Task 2 in installation leading to an impact in FWA install orders in Broadband. Further, issue was identified at PCRF (NSG) end and to mitigate this, PCRF team shifted their services from primary server to secondary server, followed by service refresh at their end. Following this action, pendency started clearing and issue stands resolved.</t>
  </si>
  <si>
    <t xml:space="preserve">Primary Root Cause: 
Between 3rd December 2025 and 16th December 2025, multiple service disruption incidents were observed impacting FWA installation orders, thereby affecting Broadband Customer Experience Journey (Installation/FR). The issue impacted multiple downstream applications including HB_ATOM, HB_CRM, NovaWorks and Nokia_OSS, resulting in significant broadband operational delays and degradation of key performance indicators (KPIs). 
Business Impact: 
• 1700 MDU Task-2 installation tasks were not received by Field Engineers (FEs). 
• 8000 HB_ATOM orders were stuck in the system. 
• Field Engineers were unable to book time slots, allocate tasks or view installation tasks. 
• Overall Broadband KPIs were adversely impacted during the incident window. 
Incident Overview: 
Field Engineers reported delayed waiting for MDU Task-2 creation during FWA installations, directly impacting broadband order completion. Simultaneously, HB_ATOM continued to receive SERVICE UNAVAILABLE errors from PCRF (NSG) with repeated database connection timeouts (DB Down Exception, Error Code: 6), indicating system unresponsiveness at the PCRF (NSG) layer. 
Technical Root Cause: 
• The issue was isolated to the PCRF (NSG) system, which became unresponsive due to a software defect. 
• During detailed analysis with OEM, it was identified that a software logic flaw was creating duplicate user records in the PCRF database. 
• These duplicate entries consumed system capacity, leading to performance degradation, delayed responses and eventual timeouts for dependent applications such as HB_ATOM. 
• The software bug remains present in the system; however, its impact has been mitigated temporarily. 
Resolution &amp; Restoration: 
• As an immediate mitigation, PCRF services were shifted from primary server to the secondary server. 
• A service refresh was performed at the PCRF end. 
• Additionally, a temporary fix was implemented by deleting duplicate database tables/records, which helped restore system responsiveness. 
• Post-mitigation, pendency started clearing, Task-2 generation resumed and normal operations were restored. 
• Services were restored effective 16th December 2025. 
Key Observation:
Despite multiple escalations by the application team, issue did not receive effective resolution in a timely manner and ultimately resulted in a major outage. This highlights deficiencies in the issue identification, escalation and service restoration mechanisms, which require enhancement to ensure proactive risk mitigation and faster resolution.
Current Status &amp; Next Steps: 
• Current Status: Resolved and stable with temporary mitigation in place. 
• Permanent Fix: OEM has acknowledged the software defect and is planning a permanent fix in the upcoming weeks. – Adil (ETA to be shared) 
• Continuous monitoring is in place to ensure no recurrence until the permanent fix is deployed.
</t>
  </si>
  <si>
    <t>PRB0044573</t>
  </si>
  <si>
    <t>Alert104142785, INC16853989, INC16854070, INC16853989
INC16853771
INC16853940</t>
  </si>
  <si>
    <t>Direct:
1) Multiple port_monitoring alert
Application : PCRF
DESTINATION_IP : 10.2.23.61
SOURCE_IP : 10.222.185.XXX
Alert Start Time: 03/12/2025 12:16 Hrs
Event NO: Alert104142785, INC16853989, INC16854070, INC16853989
Symptom:
1) Host Name : hb_atom_taskwise_PCRF_Inprogress
Alert Start Time: 03/12/2025 12:13 Hrs
Event NO: INC16853771
2) hb_atom_taskwise_LDAP_Inprogress
TRGT_SYS : LDAP
Alert Start Time: 03/12/2025 12:22 Hrs
Event NO: INC16853940</t>
  </si>
  <si>
    <t>12/3/2025 12:16
12/3/2025 12:13
12/3/2025 12:22</t>
  </si>
  <si>
    <t>12/3/2025 12:21
12/3/2025 14:26
12/3/2025 13:22</t>
  </si>
  <si>
    <t>Approx. 1700 MDU Task 2 not received. HB_ATOM: Approx. 8000 orders stuck</t>
  </si>
  <si>
    <t>INC16859461</t>
  </si>
  <si>
    <t>Bundling and Unbundling Task to create SR were stuck at Case end.</t>
  </si>
  <si>
    <t>In this issue, It was identified that maximum connection limit exceeded at Solace end due to which Tasks which were created at case end to raise SRs were getting stuck for bundling and unbundling. To mitigate this issue Solace team increased the connection limit from 500 to 700. Post this connections started creating successfully and issue got resolved.</t>
  </si>
  <si>
    <t>Case N Interaction</t>
  </si>
  <si>
    <t>INC16854666</t>
  </si>
  <si>
    <t>Symptom:
1)Multiple Update-Case
Current Value : 15.0
ERROR_MESSAGE : Category not present for given SR
LOB : Case_N_Interaction_Platform
Alert time:2025-12-03 13:15
Event NO:INC16854666</t>
  </si>
  <si>
    <t>Bundling and Unbundling Task to create SR were impacted</t>
  </si>
  <si>
    <t>Broadband Customer Experience Journey (Call Center), Broadband Installation/FR Journey, Broadband New Customer Acquisition Journey, Black Customer Experience Journey (Call Center), DTH Customer Experience Journey (Call Center), Postpaid Customer Experience Journey (Call Center), Prepaid Customer Experience Journey (Call Center), Postpaid Activation Journey, Broadband Activation Journey, DTH Recharge Journey</t>
  </si>
  <si>
    <t>ECHO, NovaWorks, Ecom, Nokia OSS - GIS, LAPU_DTH, DTH Vector</t>
  </si>
  <si>
    <t>Multiple applications were facing service disruption for both the DC.</t>
  </si>
  <si>
    <t>The issue resurfaced wherein, Multiple applications were facing service disruption due to which Postpaid and Broadband Activation along with Broadband installation orders were impacted. However, all the applications were restored without any technical intervention and issue got resolved.</t>
  </si>
  <si>
    <t>Digital Acquisition, Digital Experience B2C, Broadband, DTH</t>
  </si>
  <si>
    <t>P2
P1
P3
P3
P3
P1
P3</t>
  </si>
  <si>
    <t xml:space="preserve">INC16856442 
INC16856487,INC16856505
Tg Alert 
Alert104150565 
Tg Alert 
Tg Alert 
Tg Alert </t>
  </si>
  <si>
    <t>Symptom:
1)Multiple service portal
a)URL : /guardian/api/v1/user/custom/raiseSRViaCase
Logs : : http://10.242.146.186:5601/goto/b8525e90-1aa4-11f0-8d0c-691d5cb03406
b)URL : http://dtinternalkong.india.novatel.internal/fawkes/v1/createNote
c)URL : https://casemgmt.india.novatel.internal/troubleticket
d)URL : /guardian/api/v1/user/custom/manage/reviewBundle/v1
Alert time:2025-12-03 15:36
Event NO:INC16856442 
2)Multiple AppDynamics alert
a)DTH_MBOSS-DTH New Customer Acquisition-OverallAvgResponseTime is greater than 300ms_Sev-1
b)DTH_OE-DTH New Customer Acquisition-BT_Catalog_OverallAvgResponseTime&amp;gt;1000ms_sev-1*
c)Prism-DTH Recharge Journey-Overall Avg ResponseTime is greater than 500ms_Sev-1 
Alert time:2025-12-03 15:37 Hrs
Event NO:INC16856487,INC16856505
3)oracle-10.5.75.231-n2 - failed protocol test  
 [10.5.75.231]:1535 [TCP/IP] -- 
Connection timed out
Application: ECOM
Alert time:2025-12-03 15:37
Event NO:Tg alert 
4)Multiple Web service
[cart-orchestrator-service] - DthController
N2 - Oracle Service Bus REST resource - WebLogic PROD_DTH_domain DTH_Cluster1
Web service
[channels-complaints] - FTRController
Web service
N1 - Oracle Service Bus REST resource - WebLogic PROD_DTH_domain DTH_Cluster1
Messaging service
[dth-processor] - MessagingMessageListenerAdapter
Web request service
DTHBiller on port 443
Failure rate increase
29.8k requests/min impacted
by a failure rate increase to 21 %
Service method: All dynamic requests
Alert time:2025-12-03 15:48
Event NO:Alert104150565 
5)Host Name : DCAP_DTH_FLOW_FAILURE_ALERT
Business Group : DCAP
Current Value : 167.0
Alert time:2025-12-03 13:44
Event NO:Tg alert
6)Multiple mitra-txn-processing-service
IP:10.5.205.28/29/10.222.189.16
Alert time:2025-12-03 13:42
Event NO:Tg alert
7)Host Name : lapuMT_API_ResponseTime_MT_V1
Current Value : 19.82
NODE : N1
HUB : Hub_1
SUBTYPE : dthrecharge
Alert time:2025-12-03 15:55
Event NO:Tg alert</t>
  </si>
  <si>
    <t>2025-12-03 15:36:25"
2025-12-03 15:38:05"
12/3/2025 15:37
2025-12-03 15:49:00"
12/3/2025 13:44
12/3/2025 13:42
12/3/2025 15:55</t>
  </si>
  <si>
    <t>12/3/2025 15:55
12/3/2025 15:52
Open
Open
2025.12.03 15:54:00
Open
2025.12.03 16:15:05</t>
  </si>
  <si>
    <t>LAPU DTH: 350 transactions failed</t>
  </si>
  <si>
    <t>INC16869540</t>
  </si>
  <si>
    <t>Users not able to submit their work on PNI application.</t>
  </si>
  <si>
    <t>In this issue, GIS team reported that a port (61636) was inaccessible via telnet leading to an impact for users being unable to submit their work in PNI application. Further investigation by Firewall team found that there were unraised policy for the same which was later opened by Firewall team, post which issue stands resolved.</t>
  </si>
  <si>
    <t>Users facing problem while submitting their work in PNI application.</t>
  </si>
  <si>
    <t>Postpaid Activation Journey, Prepaid Activation Journey, IOT Activation Journey</t>
  </si>
  <si>
    <t>INC16870202</t>
  </si>
  <si>
    <t>Prepaid, Postpaid, M2M and MNP orders activation/provisioning were delayed.</t>
  </si>
  <si>
    <t xml:space="preserve"> In this issue, Mediation team observed 1.1% packet loss in the South DC while pinging from source to destination, which caused latency in processing Prepaid, Postpaid, M2M, and MNP orders. The Network team further confirmed that latency was present. To resolve the issue, Network team resegmented routes and pushed them between the Switch and NIPS. This action triggered multiple ping alerts for the South DC, but they were automatically resolved. Following this intervention, the issue was successfully resolved.</t>
  </si>
  <si>
    <t>INC16870269, INC16870299</t>
  </si>
  <si>
    <t>1)Telnet Connectivity Issue for 10.92.202.80/30_telnet
Name : KINGFISHER/NEPTUNE
Port : 10099
Destination IP : 10.140.17.180/10.142.58.53
Alert Start Time: 04/12/2025 12:43 Hrs
Event No:  INC16870269,INC16870299</t>
  </si>
  <si>
    <t>3k orders were delayed.</t>
  </si>
  <si>
    <t>Prepaid, Postpaid, M2M and MNP orders activation/provisioning are delayed.</t>
  </si>
  <si>
    <t xml:space="preserve"> This Issue resurfaced where Mediation team was observing a packet loss of approximately 1.23% in the South DC during source-to-destination pings. This resulted in latency across Prepaid, Postpaid, M2M, and MNP order processing. As part of the interim mitigation, Network team removed the NIPS profile for the impacted source and target IPs, following which intermittent improvement has been observed. Moreover Network team was continuously engaged with TAC team for a deeper analysis. However, no packet loss was observed over TAC call during MNP window and the issue stands resolved.</t>
  </si>
  <si>
    <t>5 -10% TAT is breaching</t>
  </si>
  <si>
    <t>INC16875951</t>
  </si>
  <si>
    <t>Prepaid activation orders were getting delayed for South and East Hub.</t>
  </si>
  <si>
    <t>In this issue, it was identified that prepaid activation orders were getting stuck at Dedupe_success for south &amp; East hub. It was observed that South PACS DBs (10.92.3.65/64) were observing high no. of active contentions. Upon investigation, DBA team identified that, one of the application query is causing this contention. DBA team killed this query, followed by which contentions got normal. Orders were repushed by eCAF team, post which pendency started clearing and issue got resolved.</t>
  </si>
  <si>
    <t xml:space="preserve">Primary Root Cause -
Incident Summary:
During the incident window, prepaid activation orders for South and East Hubs were getting stuck at Dedupe_Success status, causing order pendency on upstream eCAF application and resulting in delayed order processing. 
A detailed investigation revealed an abnormally spike in active sessions (400–640) on the downstream PACS CHN DB (10.92.3.65/64), leading to database contention and performance degradation. This session buildup disrupted prepaid activation order workflows and contributed to the outage.
Once the stuck sessions were manually cleared, the system immediately stabilized and all parameters returned to baseline values.
Key Findings:
1.	High Active Session Spike Observed:
Both South and East hubs experienced a sudden rise in active Database sessions, directly contributing to Database contention. Once stuck sessions were manually cleared, session counts immediately normalized.
2.	No Evidence of Blocking Queries:
A query using “SELECT FOR UPDATE” was evaluated as a possible contributor to blocking. Such queries can lock rows until an order status completes. If many such order requests piles up — due to delays, retries or network issues — they can cause session buildup and blocking chains. However, no direct evidence linked this query as the primary cause.
3.	Static PACS Schedule Table Verified:
The schedule table, a static master table updated using “SELECT FOR UPDATE,” had been optimized earlier at PACS end. Since its structure and query pattern have been stable and unchanged, it is considered unlikely to be the root cause of the issue. 
4.	No Long-Running Queries or Resource Bottlenecks:
AWR reports and DB statistics showed:
o	No LRQs or excessive resource consumption
o	No CPU/memory fluctuations
o	No wait events or DB-level anomalies
o	This indicates that the DB system was functioning normally during the incident.
5.	Network Suspected but Ruled Out:
Initial suspicion of a network fluctuation (potential retries, hung sessions or partial incomplete requests) could not be substantiated.
Post validation, no abnormalities were identified by network team, ruling out network instability as a contributing factor.
RCA Status – Unknown: Despite thorough analysis across application, database and network layers, no definitive root cause could be established for the sudden spike in active sessions. All involved components behaved normally during and after the incident, and no recurring patterns have been observed.
</t>
  </si>
  <si>
    <t>PRB0044576</t>
  </si>
  <si>
    <t>P3
P1
P1
P2</t>
  </si>
  <si>
    <t>INC16874865,INC16874914
INC16874616, Alert104200623,Alert104200620,Alert104200621
INC16874999,Alert104202012
INC16874839,INC16874958,INC16874957</t>
  </si>
  <si>
    <t>Direct:
1)Oracle - IPACBLR &amp; IPACCHN
Failed database connects 0 requests/min impacted
The amount of 11 failed database connects exceeded the threshold of 10 in a period of 5 minutes.
Alert Start Time: 2025-12-04 17:40 Hrs
Event No:INC16874865,INC16874914
2)host: BLRPL-PD-CRM06 ip: 10.92.3.64/65 Check Process :  ntpd  ntpd user : ntp_10.92.3.64/65
Alert Start Time: 2025-12-04 17:40Hrs
Event No:INC16874616, Alert104200623,Alert104200620,Alert104200621
3)PACS-CHN-High Number of Active Connections_Sev-1
Alert Start Time: 2025-12-04 17:58 Hrs
Event No: INC16874999,Alert104202012
Symptom:
1)PREPAID_EKYC_MILESTONE dedupe_success having high count
Host Name : ECAF_PREPAID_EKYC_MILESTONE_ORACLE
Sev-2 Current Value : 949.0
STATUS : dedupe_success
Alert Start Time: 2025-12-04 17:48Hrs
Event No:INC16874839,INC16874958,INC16874957</t>
  </si>
  <si>
    <t>12/4/2025 17:48:15
12/4/2025 17:40:11
12/4/2025 17:58:10
12/4/2025 17:48:57</t>
  </si>
  <si>
    <t>OPEN
12/4/2025 17:50:05 
12/4/2025 21:18:56
12/4/2025 18:43:08</t>
  </si>
  <si>
    <t>2100 orders stuck at dedupe_success</t>
  </si>
  <si>
    <t>INC16877140</t>
  </si>
  <si>
    <t>Post to Pre DTH orders were Impacted.</t>
  </si>
  <si>
    <t>In this issue, It was identified that bind count was not established at ESB end on DeleteServiceReqQ queue for deleting existing subscriber, which impacting Post to Pre DTH orders. To mitigate this issue BSL team took POD restart of DeleteServiceReqQ queue post which bind count got established and ESB started consuming requests and issue got resolved.</t>
  </si>
  <si>
    <t xml:space="preserve">	INC16875411</t>
  </si>
  <si>
    <t>Symptom:
1)Post To Pre Response not Received
Host Name : Post To Pre Response not Received
Sev-3 Current Value : 120.0
Alert Start Time:2025-12-04 18:23Hrs (Forcefully)
Event No:INC16875411</t>
  </si>
  <si>
    <t>200 Orders</t>
  </si>
  <si>
    <t>INC16939306</t>
  </si>
  <si>
    <t>Multiple services in Careshark were impacted.</t>
  </si>
  <si>
    <t>In this issue,  Spikes were observed in secondary node of MongoDB (10.241.102.184), leading to impact on 121 emails, X and Whatsapp chats in Careshark. However, during the course of troubleshoot, the spikes got settled automatically and issue got resolved without any technical intervention.</t>
  </si>
  <si>
    <t>TG alert
P2
P3</t>
  </si>
  <si>
    <t>TG alert
INC16876912
Alert104207191</t>
  </si>
  <si>
    <t>Direct:
1)Multiple Free disk space is less than 30% on volume /data
Host: 10.241.102.184
Current_value: 29.99 %
Alert time-2025-12-04 14:42 Hrs.(flactuating)
Event No:TG alert
Symptom
1)Careshark_Twitter_DM_RT
APP : tm-v2
Current Value : 1198160.0
Alert time-2025-12-04 20:38 Hrs.
Event No:INC16876912
2)Careshark_Reverse_Proxy_Access_FailurePerc
URL : careshark-reverseproxy
Current Value : 5.43
Alert time-2025-12-04 20:40 Hrs.
Event No:Alert104207191</t>
  </si>
  <si>
    <t>12/4/2025 14:42:00
12/4/2025 20:38:05
12/4/2025 20:40:30</t>
  </si>
  <si>
    <t>12/4/2025 14:44:00
12/4/2025 20:47:10
12/4/2025 20:45:30</t>
  </si>
  <si>
    <t>Careshark Success dip (D vs D-5: 73,158 vs 238,209) is 69% dip.</t>
  </si>
  <si>
    <t>INC16880000</t>
  </si>
  <si>
    <t>Incoming call connectivity dip observed in Nova IQ_Voice for users(Zomato and Ola) at KK Circle.</t>
  </si>
  <si>
    <t>In this issue, an incoming call connectivity dip was reported for Zomato and Ola customers. Zomato completely removed their traffic after observing the dip, while Ola continued to use Nova IQ_Voice. Initially, the issue was suspected to be at NSG end, however, nothing concrete was found. During the course of troubleshoot, the issue got resolved without any technical intervention.</t>
  </si>
  <si>
    <t>100% Incoming call connectivity dip (Zomato and Ola) at KK Circle.</t>
  </si>
  <si>
    <t>APB_Reward</t>
  </si>
  <si>
    <t>NFB-Rewards team reported that Suraksha rewards are not getting issued.</t>
  </si>
  <si>
    <t>In this issue, It was identified was that Suraksha rewards are not getting issued, resulting in failures for Suraksha rewards issuance. The NFB-SBA Development team confirmed that a recent SBA change involving "Tez Scodes | DMS Scodes | Passbook Massify | CASA" was deployed under CHG0010607. However, the Development team updated a property in the cloud configuration for transaction-ms, as the old property was pointing to the V1 API, while the new value points to the V2 API. Subsequently, the TechOps team restarted the services on servers 10.83.0.150 till 10.83.0.154. Following these actions, an improvement was observed, and the issue was resolved</t>
  </si>
  <si>
    <t>For NFB-Rewards Success impacted count (07:00 hrs - 08:34 hrs) - (D-D-7} = 2-243-241(99% increase in Success impacted Count)</t>
  </si>
  <si>
    <t>CHG0010607</t>
  </si>
  <si>
    <t>Prepaid, Postpaid, M2M and MNP orders activation/provisioning was delayed.</t>
  </si>
  <si>
    <t>Issue resurfaced where Mediation_IL south servers were observing 1% packet loss  due to which latency across Prepaid, Postpaid, M2M, and MNP order processing was observed. Upon investigation, it was identified that packet loss was observed, post the New NIPS Deployment in SHDC in between WAN and Intranet (CHG0205867). To resolve, change was rolled back in lean hours after which errors reduced and issue got resolved.</t>
  </si>
  <si>
    <t>1% Packet drop caused slowness in order processing.</t>
  </si>
  <si>
    <t>CHG0205867</t>
  </si>
  <si>
    <t>INC16893409</t>
  </si>
  <si>
    <t>INC16893163,  INC16893168</t>
  </si>
  <si>
    <t>Symptom:
1) Status Code[504] Count Greater than [500] in Last 10 Minutes
Host Name : 5XX_StatusCode_Gloo_API_CS
AUTHORITY : casemgmt.india.novatel.internal
Alert Start Time: 05/12/2025 19:31 Hrs
Event No: INC16893163,  INC16893168</t>
  </si>
  <si>
    <t xml:space="preserve">Service Portal Success dip-  794 (D vs D-5: 116 vs 910) is 87% dip. 
</t>
  </si>
  <si>
    <t>Prepaid Customer Experience Journey (Call Center), B2B SMS Journey, Postpaid Activation Journey</t>
  </si>
  <si>
    <t>Care Manager, Service Portal, Mediation_IL, PACS, SkyVault</t>
  </si>
  <si>
    <t>INC16900298</t>
  </si>
  <si>
    <t>Multiple applications observed service disruption in Bangalore DC.</t>
  </si>
  <si>
    <t>Multiple ping probe alerts received for Bangalore DC due to which Careshark, Service Portal FTR tagging, PACS provisioning issue was reported. Network Team investigated the issue and found one of the switch CPU utilization was high for MPLS link which impacted multiple applications, storage devices and DB servers. However, Network team failover the traffic on redundant link post which services got recovered. Team raised the case with TAC for RCA</t>
  </si>
  <si>
    <t>Primary Root Cause: 
Leg 01 – Specification 
Q1. Why were service disruptions observed for multiple applications hosted in Bangalore and Sector 62 DC? 
A1. Because of a planned EOL PDU replacement activities at Bangalore (06-Dec-2025) and Noida Sector 62 (07-Dec-2025) DCs. During these maintenance windows, multiple critical applications experienced connectivity issues, including telnet failures, which led to service interruptions. 
o	Bangalore DC (06-Dec-2025 | 23:00–23:25 IST): Applications in South Hub were impacted, including PACS, Service Portal, Careshark, Mediation_IL and SkyVault.
o	Sector 62 DC (07-Dec-2025 | 22:20–22:35 IST): Multiple applications such as BTFLY_ATOM, DSL, Service Portal, HB_ATOM, Echo and Selfcare_B2C were affected, with the most severe impact observed on NovaIQ_Voice and NovaIQ_SMS. 
Q2. Why did the PDU replacement activity affect application services in both DCs? 
A2. Because in both DCs, the primary Service Leaf switches were running on a single active power source due to maintenance. The active power cable on the primary Service Leaf became unstable, which caused the primary Service Leaf to reboot. Although the failover mechanism initiated as expected but the secondary failover paths also failed (BLR: NIPS failure, Noida: Load Balancer failure), leading to a complete service outage. 
Q3. Why did instability occur on the remaining power cable, causing primary Service Leaf reboot? 
A3. Because of an unexpected hardware behavior under single power source conditions, where the active power cable on the primary Service Leaf experienced overheating or could not sustain stable operation under load: 
o	Bangalore (Service Leaf is Juniper): The active power cable overheated under load. 
o	Noida (Service Leaf is Arista): Similar to Bangalore, the active power cable was unable to maintain stable operation when running on a single power feed and overheated. 
Q4. Why did the secondary failover paths fail in both DCs? 
A4. Because the secondary devices that were expected to take over during the failover were not functional at the time of the activity: 
o	Bangalore: The secondary NIPS had a configuration issue that prevented it from forwarding WAN traffic during the switchover. 
o	Noida: The secondary Load Balancer was not available for failover due to an underlying hardware defect. 
Q5. What was the configuration issue with the Bangalore secondary NIPS? 
A5. During the NIPS failover, the WAN switch failed to learn the MAC address of the newly active NIPS. As a result, it continued forwarding traffic to the old (standby) NIPS using a stale MAC entry, resulted in traffic not reaching the intended active device. As per the OEM recommendation, an additional inter-switch link is being provisioned between the two WAN switches to ensure proper MAC address synchronization and MAC learning during future failovers.
Leg 02 – Detection 
Q1. Why wasn’t the failure of single power supply on Service Leaf (BLR &amp; Noida) identified proactively? 
A1. Because the power supply seemed to be working normally until it overheated under the extra load. There were no early warning signs and other devices of the same model continued to operate normally during the PDU activity, making this failure unpredictable and non - detectable via standard monitoring or preventive checks. 
Q2. Why were configuration and hardware issues on secondary devices not detected earlier? 
A2. Because operational validation primarily focused on the primary paths. The checks did not include: 
o	Full traffic-forwarding verification for secondary NIPS/LB, whether they could forward traffic if the primary failed or not. 
o	MAC-learning behavior validation during HA transitions, whether MAC addresses would update correctly during failover or not.
As a result, hidden problems on the secondary backup devices went unnoticed. 
Q3. Why was there no alert about NIPS MAC synchronization issues (Bangalore)? 
A3. Because the WAN switches were not continuously checking if their MAC address tables were up-to-date and there was no dedicated inter-switch link for real-time MAC synchronization. Without this, the system could not alert anyone about stale entries, leaving the problem unnoticed until failover occurred. 
Q4. Why wasn’t the hardware problem in the secondary Load Balancer (Noida) detected proactively? 
A4. Because the faulty components didn’t trigger any critical alarms. The device still appeared “healthy” or “ready” in monitoring tools, so the underlying hardware issue went unnoticed until the failover was attempted.
Leg 03 – Systemic Failure 
Q1. Why did the system allow this failure to happen? 
A1. Because the system assumed that backup devices and secondary paths would work if needed, but there was no proper check to confirm they could actually handle traffic during a real failover. When the primary Service Leaf rebooted, the backup devices could not take over because of hidden configuration and hardware issues that had never been tested under real conditions. 
Q2. Why did similar problems occur in both DCs? 
A2. Because the maintenance and operational processes did not include mandatory checks for: 
o	Mandatory HA failover validation, testing if backups can take over.
o	Backup-path forwarding tests, verifying traffic forwarding on backup paths.
o	Power source stress testing under load.
o	Cross-component synchronization checks, ensuring all components are properly synchronized 
These systemic process gaps existed in both DCs, which led to simultaneous failures when the primary devices went down. 
Preventive Measures: 
•	An additional inter-switch link is being provisioned between the two WAN switches to ensure proper MAC address synchronization and MAC learning during future failovers. – Shobhit (Open)
•	Verify that all primary and secondary power and network paths, including cables and power supplies, are fully operational prior to the scheduled PDU replacement activities. – Shobhit (Open)</t>
  </si>
  <si>
    <t>PRB0044578</t>
  </si>
  <si>
    <t>Digital Experience B2C, Prepaid, ABGB</t>
  </si>
  <si>
    <t>Alert104254318
INC16897239,INC16897215,INC16897221,INC16897269
INC16897301,INC16897304,INC16897468,INC16897309,INC16897308</t>
  </si>
  <si>
    <t xml:space="preserve">Direct:
1)SOUTH_DC:CPU Utilization of Node BAL-SHDC-QFX5100-CDR-SEC is greater than 70%, which is 96 %_10.96.20.22
Alert time-2025-12-06 00:49 Hrs.(flactuating)
Event No:Alert104254318
Symptom:
1)Multiple Host has lost connection to vCenter Server
Alert time-2025-12-06 02:39 Hrs.
Event No:INC16897239,INC16897215,INC16897221,INC16897269
2)Multiple ping down alerts for 10.96.XX.XX,10.92.XX.XX
Alert time-2025-12-06 02:39
Event no-INC16897301,INC16897304,INC16897468,INC16897309,INC16897308
</t>
  </si>
  <si>
    <t>12/06/2025 00:49:15
12/06/2025 02:39:40
12/06/2025 02:39:26</t>
  </si>
  <si>
    <t>12/06/2025 00:54:10
12/06/2025 03:30:21
12/06/2025 03:26:40</t>
  </si>
  <si>
    <t>PACS: 200(Approx) Postpaid Provisioning orders.
Service Portal:  (D vs D-4: 2576 vs 2477) No dip</t>
  </si>
  <si>
    <t>INC16904524</t>
  </si>
  <si>
    <t>CC advisors were not able to get details in Internet not working MOP scenario.</t>
  </si>
  <si>
    <t>In this issue,  HB_ATOM was getting timeout from ACS (Embed) end. Upon investigation, it was identified that some issue was there with one of their API.The Embed team attempted a service refresh, but it didn't work. Embed team then stopped the impacted service, after which the issue was resolved.</t>
  </si>
  <si>
    <t>INC16896391
TG Alert</t>
  </si>
  <si>
    <t>Symptom:
1)sp_multitenant_api_failure
URL : https://hbatomdn-prod.novatel.example/routermanagement/getCurrentChannelValues
https://hbatomdn-prod.novatel.example/routermanagement/getAccessPointInfo
Alert time-2025.12.06 01:21 Hrs.(fluctuating)
Event No:INC16896391
2)Web serviceN1 - GetCurrentChannelValueController - WebLogic humatom humatomdn-Cluster
Response time degradation 21.6 requests/min impacted The current response time (18.2 s) exceeds the auto-detected baseline (322 ms) by 5,566 %
Alert time-2025.12.06 02:26 Hrs.(fluctuating)
Event No:TG Alert</t>
  </si>
  <si>
    <t>12/06/2025 01:21
12/06/2025 02:06</t>
  </si>
  <si>
    <t>12/06/2025 01:44
12/06/2025 02:49</t>
  </si>
  <si>
    <t>Success Hits Dip (D vs D-5: 26101 vs 7905) :No dip</t>
  </si>
  <si>
    <t>INC16907236</t>
  </si>
  <si>
    <t>Prepaid, Postpaid and Simswap Acquisitions were impacted intermittently</t>
  </si>
  <si>
    <t>In this issue, users reported error with eKYC Face Authentication in eCAF, causing intermittent impact on the acquisition journey for Prepaid, Postpaid, and SIM Swap. Further, Issue was identified at UIDAI end and to resolve this, corrective action was taken at UIDAI end post which issue stands resolved</t>
  </si>
  <si>
    <t>Prepaid success dip: (D vs D-7: 64698 vs 62156)No dip. Postpaid success dip: (D vs D-7: 3756 vs 3491) No Dip . Simswap success dip: 9969 (D vs D-7: 8459 vs 18428) 54% Dip.</t>
  </si>
  <si>
    <t>Broadband Customer Experience Journey (Call Center), DTH Customer Experience Journey (Call Center), Postpaid Customer Experience Journey (Call Center), Prepaid Customer Experience Journey (Call Center), Black Customer Experience Journey (Call Center), IPTV Customer Experience Journey (Call Center)</t>
  </si>
  <si>
    <t>INC16910606</t>
  </si>
  <si>
    <t>CC Advisors were unable to view SR details in Service Portal.</t>
  </si>
  <si>
    <t>In this issue, CC advisors were unable to view SR details in Service Portal. Upon investigation, it was confirmed that these errors were being observed from Case end. To resolve this, Case team restarted their pods post which issue got resolved.</t>
  </si>
  <si>
    <t>INC16909780
INC16909857</t>
  </si>
  <si>
    <t xml:space="preserve">Symptom:
1)Status Code[503] Count Greater than [500] in Last 10 Minutes
Host Name : 5XX_StatusCode_Gloo_API_CS
AUTHORITY : casemgmt.india.novatel.internal
Current Value : 40593.0
Alert time-2025-12-06  21:32 Hrs.
Event No-INC16909780
2) Multiple Web services performance alerts
Web service[channels-tracking] - CXTrackingController
Web service[sp-mt-dt-postpaid] - s2sUserScenarioController
Web request service-CaseMGMT on port 443
Alert time-2025-12-06  21:33 Hrs
Event No-INC16909857
</t>
  </si>
  <si>
    <t>12/06/2025 21:32
12/06/2025 21:33</t>
  </si>
  <si>
    <t xml:space="preserve">
12/06/2025 Open
12/06/2025 21:50</t>
  </si>
  <si>
    <t>Success Hits Dip: (D vs D-7: 2588 vs 2127) No dip</t>
  </si>
  <si>
    <t>Postpaid New Customer Acquisition-MNP Journey</t>
  </si>
  <si>
    <t>INC16912031</t>
  </si>
  <si>
    <t xml:space="preserve">MNP orders activation/provisioning impacted for South Hub / West Hub/ East Hub </t>
  </si>
  <si>
    <t>In this issue, MNP impacted for South Hub / West Hub/ East Hub due to which order processing stopped. App team received Multiple Node down alerts and found issue caused due to Planned UPS power supply DR drill activity 2025. During the failover, Service Leaf device primary power supply was isolated and the secondary/active power supply cable was unable to cater the heavy load due to which it got heated and become faulty. To fix this Network team replaced the faulty cable and issue got resolved</t>
  </si>
  <si>
    <t xml:space="preserve">INC16911015 , INC16911056, INC16911050, INC16911063 ,INC16911060
INC16911123,INC16911120,INC16911124
</t>
  </si>
  <si>
    <t>Direct:
1)Multiple Telnet Connectivity Issue for 10.96.xx.xx , 10.92.xx.xx
telnet
Name : Newton 
Name : PACS_VENUS
Name : TATA
Name : SEOUL
Name : KINGFISHER
Name : NEPTUNE
Name : TWSS_KIWI79_2
Alert Start Time: 06/12/2025 23:10 Hrs
Event No:  INC16911015 , INC16911056, INC16911050, INC16911063 ,INC16911060
2)Multiple network alert for 10.96.xx.xx
Alert Start Time: 06/12/2025 23:20 Hrs
Event No:INC16911123,INC16911120,INC16911124</t>
  </si>
  <si>
    <t>12/06/2025 23:10
12/06/2025 23:20</t>
  </si>
  <si>
    <t>12/06/2025 23:30
12/07/2025 00:02</t>
  </si>
  <si>
    <t>Port IN Pendency: 12000 
Port OUT: 7000</t>
  </si>
  <si>
    <t>INC16921974</t>
  </si>
  <si>
    <t xml:space="preserve">CDR Files processing was impacted. </t>
  </si>
  <si>
    <t>In this issue, the Mediation_EL Team was unable to process CDRs (billing files) to downstream.  However, no abnormalities were observed from network end. Later, issue was identified at NSG end (IMS VOLTE) which triggered the issue. To restore, corrective action was taken by NSG team (IMS VOLTE) post which, the issue got resolved.</t>
  </si>
  <si>
    <t>20 files got delayed.</t>
  </si>
  <si>
    <t>DTH Activation Journey</t>
  </si>
  <si>
    <t>INC16921402</t>
  </si>
  <si>
    <t>DTH change and resumption orders were impacted.</t>
  </si>
  <si>
    <t xml:space="preserve">In this issue, the DTH_OM team was experiencing job failures. The application team moved the traffic from the OMProdScaleUp framework to another OM prod framework, after which the issue was resolved for current resumptions and change orders. For the pending orders, the team manually repushed all impacted orders from their end. After that, all the pendencies were cleared, post which the issue got resolved. </t>
  </si>
  <si>
    <t>INC16916403 , INC16916406</t>
  </si>
  <si>
    <t>Symptom:
1)MilestoneWisePendencyAlert severity
Pendency observed on milestone OE_SEND_ORDER_TO_OM
Pendency observed on milestone CAS_MULTIAUTH_DONE
Current Threshold Value :9516
Alert time-2025-12-07 07:48 Hrs
Event No-INC16916403 , INC16916406</t>
  </si>
  <si>
    <t>DTH change orders:500 and DTH resumption orders: 908</t>
  </si>
  <si>
    <t>UCC Exchange</t>
  </si>
  <si>
    <t>INC16919792</t>
  </si>
  <si>
    <t>Outgoing emails from NovaTel to external entities were impacted.</t>
  </si>
  <si>
    <t xml:space="preserve">In this issue, connectivity issue was observed between DLP to Office 365 leading to impact on e-mails from NovaTel to other enitities. To mitigate the impact, DLP was bypassed by UCC Exchange team due to which new emails started reaching external entities normally @16:30Hrs. For old stuck queue, some issue with network tagging was observed. To restore this, network tagging was corrected by Network team, post which the queue started processing and issue got resolved. ETR to clear the queue- 2 Hrs. </t>
  </si>
  <si>
    <t>Primary root cause Summary:
-	On 7 December 2025 @02:44 Hrs, outbound emails from NovaTel internal domains routed through the DLP system were not reaching external domains such as Gmail, Yahoo, customers, partners, vendors, and regulatory bodies etc.
-	Emails were scanned by DLP but could not be sent to the Office 365 (O365) mail gateway, resulting in the DLP queue building up and blocking all outbound mail flow for approximately 14 hours.
-	Partial mail flow restoration only occurred after DLP bypass @16:30 Hrs.
-	Later, Tags were manually applied with help of network team and network communication between DLP and O365 restored.
-	Queues started clearing and email flows started normalized from 17:45 hrs.
-	
Discussion further with respective teams explore the below pointer’s
-	During a VMware Cloud migration from version 2.0 to 3.0, two DLP virtual machines (N1VA-PA-DLP06 -10.14.162.141 and N1VA-PA-DLP07 -10.14.162.142) were migrated manually without running the required post-migration script. 
-	This resulted in missing network/security tags in vCenter and NSX, preventing the VMs from communicating externally(DLP systems lost routing and network access to O365 gateways).
Process GAP’s/Observations:
•	The migration was initiated via a service request (RITM) but bypassed the formal change process and stakeholder notification. Manual migration led to missing critical steps, specifically the tagging process, which is automated in the standard script. 
•	Pre-migration sanity checks were skipped, and the migration was executed without proper validation.
•	The incident was not escalated promptly to the Major Incident Management (MIM) team by both the team(UCC &amp; DLP), leading to a delayed resolution. Troubleshooting process was prolonged due to lack of early escalation and unclear ownership between teams.
•	There was no automated or semi-automated monitoring for DLP queue thresholds, resulting in delayed detection.
Preventive Measures: 
•	Enforce Change Management: Ensure all infrastructure changes follow the formal change management process, including stakeholder communication and pre/post-migration checks. Open Sunil/Vikas
•	Mandatory Use of Migration Scripts: Prohibit manual migrations; require use of approved scripts that handle tagging and validation. Open Sunil/Vikas
•	Training and SOP Reinforcement: Re-brief and sanitize migration processes with the team, emphasizing adherence to SOPs and documentation. Open Sunil/Vikas
•	Monitoring and Alerting: Implement automated monitoring for DLP queues with threshold-based alerts to enable proactive incident detection. Open Raviranjan
•	Incident Escalation: Team should report any production impact to MIM team proactively per defined standard process . Open Raviranjan/Girish</t>
  </si>
  <si>
    <t>PRB0044579</t>
  </si>
  <si>
    <t>23,016 emails piled up in queue.</t>
  </si>
  <si>
    <t>Nova IQ SMS Journey, Nova IQ Voice Journey, Black Customer Experience Journey (Call Center), Broadband Customer Experience Journey (Call Center), DTH Customer Experience Journey (Call Center), IPTV Customer Experience Journey (Call Center), Postpaid Customer Experience Journey (Call Center), Prepaid Customer Experience Journey (Call Center)</t>
  </si>
  <si>
    <t>Nova IQ_SMS, Nova IQ_Voice, BTFLY_ATOM, HB_ATOM, Service Portal, ECHO, Selfcare_B2C, eCAF_eDSL</t>
  </si>
  <si>
    <t>INC16925281</t>
  </si>
  <si>
    <t>CC Advisors were unable to access service portal and dip observed in IQ voice and sms connectivity for several customer.</t>
  </si>
  <si>
    <t>In this issue, issue caused due to Planned UPS power supply activity planned for 62 DC drill activity. During the failover, Service Leaf device primary power supply was isolated and the secondary/active power supply cable was unable to cater the heavy load due to which it got cable got faulty. To fix this, Network team replaced the faulty cable post which services restored.</t>
  </si>
  <si>
    <t>Nova IQ, Postpaid, Broadband, Digital Experience B2C, Digital Acquisition</t>
  </si>
  <si>
    <t>INC16924472
INC16924455,INC16924464,INC16924463
INC16924584,INC16924582,Alert104335289
Alert104335114,INC16924493,Alert104335113</t>
  </si>
  <si>
    <t>Direct:
1)Product SN =1-80-000011 : ProductTrapData= AutoSupport mail (HA Group Notification from N1-LAPU-NTP13-1ADC-G04-01 (CHASSIS POWER DEGRADED: Power Supply Status Critical: PSU1.) ERROR) was not sent for 10.13.1.109_134.
Alert Start Time : 07/12/2025 22:23 Hrs
Event No : INC16924472
Symptom:
1) Multiple Network alert for 10.222.XXX.XX
Alert Start Time : 07/12/2025 22:22 Hrs
Event No : INC16924455,INC16924464,INC16924463
2) Multiple application performance alerts
Alert Start Time : 07/12/2025 22:27 Hrs
Event NO: INC16924584,INC16924582,Alert104335289
3) Multiple Health Rule Careshark-MongoDB Availability_Sev-1 
10.241.102.184,
10.224.134.167, 
10.224.134.217, 
10.241.103.208,
10.241.102.188
Alert Start Time : 07/12/2025 22:41 Hrs
Event NO:Alert104335114,INC16924493,Alert104335113</t>
  </si>
  <si>
    <t>07/12/2025  22:23
07/12/2025  22:22
07/12/2025  22:27
07/12/2025  22:24</t>
  </si>
  <si>
    <t>07/12/2025  22:51
07/12/2025  22:32
07/12/2025  22:40
07/12/2025  22:40</t>
  </si>
  <si>
    <t>ICICI and HDFC bank traffic for IQ SMS: 100% impact 
All long code messages impacted.
For IQ Voice JustDial, Rapido, and other Voice 1.2 customers got impacted.
Service Portal: Failure %: (D vs D-7:890:3)99%.</t>
  </si>
  <si>
    <t>Broadband Activation Journey, Broadband Customer Experience Journey (Call Center), Postpaid Customer Experience Journey (Call Center)</t>
  </si>
  <si>
    <t>HB_ATOM, HB_CRM, BTFLY_CRM</t>
  </si>
  <si>
    <t>INC16928302</t>
  </si>
  <si>
    <t xml:space="preserve">HB_CRM and BTFLY_CRM portal not accessible for call center advisor  also impacted </t>
  </si>
  <si>
    <t>In this issue, Multiple cpu load avg high alerts triggered on HB crm nodes. Application team was not able access the HB_CRM nodes. Storage team identified they were not able to reach the NAS IP from outside. Storage team performed the bounce on a storage logical interface port; post which HB_CRM servers came up and order started processing at HB_CRM. Network team also investigated the issue but didn't find any anything. Storage team raised the case with Netapp to further explore the RCA.</t>
  </si>
  <si>
    <t>Primary Root Cause:
•	On 08-Dec-2025, multiple critical applications including HB_CRM and BTLFY_CRM experienced service disruption. Call centre advisors were unable to access the HB_CRM and BTFLY_CRM portal and order processing was impacted. 
•	The issue was traced to loss of connectivity to NAS-mounted file systems, caused by NFS IPs becoming unreachable from the network server.
•	The impacted NFS IPs were: 10.14.113.168, 10.14.113.98, 10.14.113.169 and 10.14.113.99
Detailed Timeline:
1.	Pre-Upgrade State -
•	NFS IP 10.14.113.168 and associated IPs were active on Node-4.
•	Network connectivity and NAS mounts were healthy.
2.	Planned Upgrade Activity -
•	Node-4 rebooted as part of the scheduled upgrade.
•	NFS IPs failed over to Node-3 as expected.
•	Network switch successfully learned the new MAC address of Node-3.
•	Services remained stable during failover.
3.	Failback Event -
•	After Node-4 came back online, NFS IPs failed back from Node-3 to Node-4.
•	Storage side reported IPs as active and healthy on Node-4.
4.	Issue Triggered -
•	Servers were unable to reach NFS IPs.
•	NAS mount points became inaccessible.
•	Network switch continued forwarding traffic to the stale MAC address of Node-3, despite IPs being active on Node-4.
•	No automatic MAC refresh occurred on the switch.
5.	Service Impact Observed -
•	HB_CRM and BTFLY_CRM nodes reported high CPU load due to I/O wait.
•	Application team could not access HB_CRM and BTFLY_CRM servers.
•	Storage team confirmed NAS Ips were unreachable from outside the storage network.
6.	Corrective Actions Taken -
•	Storage team manually changed the NFS logical interface (LIF).
•	This action triggered fresh Gratuitous ARP (GARP) messages.
•	Network switch MAC tables were refreshed.
•	NFS IP connectivity was restored.
•	Application services recovered and order processing resumed.
Root Cause Analysis:
•	The incident was caused by stale MAC address entries on the network switch after NFS IP failback from Node-3 to Node-4.
•	Although the IPs successfully failed back at the storage layer, the network switch continued to associate the NFS IPs with the MAC address of Node-3, causing the IPs to become unreachable.
•	MAC address updates on the switch rely on Gratuitous ARP (GARP) packets sent by the storage node during IP movement.
•	During the failback event, the expected GARP packets:
o	Were either not sent, not received or not processed by the network switch.
•	The switch does not autonomously detect IP-to-MAC movement without receiving GARP.
•	MAC aging timer on the VLAN was the default 5 minutes, which was insufficient to self-correct during the impact window.
•	The failure occurred at the network layer, where the switch retained stale MAC information, despite storage IP ownership being correctly restored.
•	Storage IPs were up and assigned correctly on Node-4.
•	Connectivity failure was due to incorrect MAC learning on the network switch.
•	Issue was resolved only after forcing MAC refresh via NFS logical interface change.
•	No storage configuration changes were required to restore service.
•	Network switch behavior directly determined traffic forwarding.
Key Recommendations:
•	Continuous ping monitoring of all in-scope NFS IPs during maintenance.
•	Immediate NFS logical interface change, if IP reachability drops.
•	Enable packet traces (TCP dump) on storage and switch during future upgrades.</t>
  </si>
  <si>
    <t>PRB0044581</t>
  </si>
  <si>
    <t>INC16926752, INC16926800 , INC16926803 , INC16926801
INC16926571 ,INC16926687
INC16926528,INC16926544 , INC16926573
TG alert</t>
  </si>
  <si>
    <t>Symptom:
1)Multiple Load average is too high on 10.222.XXX.XXX
Alert Start Time: 08/12/2025 01:21 Hrs
Event NO:INC16926752, INC16926800 , INC16926803 , INC16926801
2)Web request service 
a) N1 - siebel (/siebel)- AIUpdatemilestone
Failure rate increase
101 requests/min impacted
by a failure rate increase to 100 %
b)N1 - siebel (/HBCRM)- ses
Response time degradation
12.8 requests/min impacted
The current response time (20.4 min) exceeds the auto-detected baseline (66.9 ms) by 1,825,365 %
Alert Start Time: 08/12/2025 01:27 Hrs
Event NO:INC16926571 ,INC16926687
3) hb_atom_without_huawei_nokia_failure_change_order_type
Threshold Value :646
Alert Start Time: 08/12/2025 01:30 Hrs(Fluctuating)
Event NO:INC16926528,INC16926544 , INC16926573
4)Messaging service
N1 - OrderCompletionJmsController - WebLogic humatom humatom-Cluster
Response time degradation
34.4 requests/min impacted
Alert Start Time: 08/12/2025 01:33 Hrs
Event NO:TG</t>
  </si>
  <si>
    <t>08/12/2025  01:56
08/12/2025  01:32
08/12/2025  01:30
08/12/2025  01:33</t>
  </si>
  <si>
    <t>08/12/2025  03:46
08/12/2025  03:44
open
08/12/2025  01:38</t>
  </si>
  <si>
    <t>HB-ATOM:7547 (7501(Change)+ 33(COBP)+ 14(Safe Custody))</t>
  </si>
  <si>
    <t>INC16932637</t>
  </si>
  <si>
    <t xml:space="preserve">CC advisor were facing intermittent auto logout issue in Service Portal </t>
  </si>
  <si>
    <t>In this issue, Service Portal team was getting ping-down alerts, because of which users were facing intermittent auto logout. To fix this, the problematic server (10.242.152.63) was removed from Kong, and its NIC was replaced. After the NIC replacement, ping response started working fine. Currently, all Service Portal services are running smoothly on the remaining two servers (10.242.152.64/65) without any issues.</t>
  </si>
  <si>
    <t>INC16929508,INC16929544,INC16929543
Alert104351167,INC16929694</t>
  </si>
  <si>
    <t>Symptom:
1)Multiple DTinternalkong Port Down Alert for 10.241/242.XX.XX
Module: DTinternalkong
Module: app_external_kong_cassandra
Module: app_external_kong_nginx
Alert time-2025-12-08 07:18 Hrs.(fluctuating)
Event No-INC16929508,INC16929544,INC16929543
2)Web request service
[sp-dumbledore] - sp-dumbledore-canary Failure rate increase
31.4 requests/min impacted by a failure rate increase to 100 %
Alert time-2025-12-08 07:22 Hrs.
Event No-Alert104351167,INC16929694</t>
  </si>
  <si>
    <t xml:space="preserve">08/12/2025  07:18
08/12/2025  07:45 </t>
  </si>
  <si>
    <t>08/12/2025 07:28:10
08/12/2025 09:15:05</t>
  </si>
  <si>
    <t>Intermittent logged out issue in service portal.</t>
  </si>
  <si>
    <t>INC16934167</t>
  </si>
  <si>
    <t>In this issue, Nokia_OSS team encountered the "Response status: 50" error at Altiplano_NMS end, due to which Broadband installation orders were impacted. To mitigate the issue, Altiplano_NMS team performed service restart for AV1, post which issue got resolved.</t>
  </si>
  <si>
    <t xml:space="preserve">INC16933659, INC16933744 </t>
  </si>
  <si>
    <t>Symptom:
1) Task 2 not received for FTTH broadband orders
Host Name : NovaTel_Works alerts for Broad Band Journey
COMPONENT : ordercount_mop_ftth_task1
INSTANCE : 10.5.31.145:9091
Alert Start Time: 08/12/2025 13:11 Hrs
Event NO: INC16933659, INC16933744</t>
  </si>
  <si>
    <t>Waiting for task 2 (FTTH + MOP) - 184 orders were stuck.</t>
  </si>
  <si>
    <t>INC16939218</t>
  </si>
  <si>
    <t>Users were unable to unlock device enrolled in Device Manager post recharge.</t>
  </si>
  <si>
    <t xml:space="preserve"> In this issue, it was identified that DARTS had not been receiving expiry epoc updates from Device Manager since 04 December. This was suspected to have occurred post NIPS-related activity, wherein Device Manager was unable to successfully initialize a session with Solace. As a result, validity information for devices enrolled in Device Manager was not updated, leading to device locking for users who recharged after that. To mitigate this issue Device Manager services were restarted across 10 servers by DM team, post which session with Solace was successfully established and expiry epoc updates resumed. Issue stands resolved now.</t>
  </si>
  <si>
    <t>Nova App Failure Hits Percentage: (D vs D-5: 563176 vs 257195) is 54%.</t>
  </si>
  <si>
    <t>INC16936778</t>
  </si>
  <si>
    <t>CDR reports were intermittently impacted for PAN India.</t>
  </si>
  <si>
    <t>In this issue, DARTS team reported an issue with file loading from MIS end, leading to intermittent disruptions in CDR report generation across PAN India and affecting hourly fraud alarms sent to the Business team. Further, MIS team identified that the CU33 probe was uncompiled so team recompiled it to resolve the issue.</t>
  </si>
  <si>
    <t>Hourly CDR reports was impacted.</t>
  </si>
  <si>
    <t>INC16947518</t>
  </si>
  <si>
    <t>In this issue, DARTS team had reported intermittent SFTP connection errors on Cluster Server 10.5.28.12, due to which multiple jobs were stuck and FTA MNP reports were impacted PAN India. As part of the fix, the VM was migrated to the Platinum 8 cluster. Post-migration, a few disks were found in a failed state, for which the team logged a case and performed troubleshooting. After these actions, the issue has been resolved and all services are working fine now.</t>
  </si>
  <si>
    <t>INC16950884</t>
  </si>
  <si>
    <t xml:space="preserve">DPS was observing dip in payments via NFB. </t>
  </si>
  <si>
    <t>In this issue, Selfcare_B2C and DPS had observed high response time from NFB, due to which a dip was observed in recharges done through the Nova App. However, the transactions were getting cleared on 3 retries. As a solution, the NFB network team suggested connecting directly to the Pune node, which would reduce the response time. Further, LB team redirected the N2 IP to Pune DC IP, after which, Issue got resolved.</t>
  </si>
  <si>
    <t>INC16941483,INC16945859</t>
  </si>
  <si>
    <t>Symptom:
1)Web service [dps-apb-service] - APBTransactionsController Failure rate increase1.11k requests/min impacted
by a failure rate increase to 100 % Service method: All methods affected dt.entity.cloud_application_namespace:[CLOUD_APPLICATION_NAMESPACE-895FFCE61D927A6D] dt.entity.kubernetes_cluster: [KUBERNETES_CLUSTER-059BA9FC11360F2E]
Alert Start Time:2025-12-09 00:44:30
Event NO:INC16941483
2)90Percentile10minutes|selfcareV1|/services/common/recharge/order-details/NON_NovaTel_PREPAID/RECHARGE
Host Name : Channel-Backend-Alerts-NovaTel_selfcareV1
API : /services/common/recharge/order-details/NON_NovaTel_PREPAID/RECHARGE
Current Value : 439
Alert Start Time: 2025.12.09 10:33Hrs
Event NO: INC16945859</t>
  </si>
  <si>
    <t>6.5k failure</t>
  </si>
  <si>
    <t>APB_Ranger, APB_Retailer App, APB_Merchant, APB_Transit Cards, APB_AEPS</t>
  </si>
  <si>
    <t>INC0640551</t>
  </si>
  <si>
    <t>Retailers were unable to log in to the impacted application.</t>
  </si>
  <si>
    <t>In this issue, Retailers were unable to log in to the application, impacting customer onboarding and transaction history. During troubleshooting, the NFB Network team disabled Nginx IPs (10.56.20.121/122), and the application team restarted Nginx services, resulting in slight improvement. Subsequently, after the Network team applied additional corrective measures, the issue was fully resolved and normal functionality restored.
Regards, MIM Team</t>
  </si>
  <si>
    <t>For NFB-Retailer App (Mitra)- Total count: 319,089, Failed count: 31,781 : Approx. 10% failure.
For NFB-Merchant App - Total Count: 10,117, Failed count: 144 : Approx. 2% failure.
For NFB-Ranger App/Promoter App-  Total Count: 27,066, Failed count: 596 : Approx. 2.5% failure.
For NFB-Transitcards transaction success dip: D Vs D-7 : 1107 Vs 3921 : 2814 (Approx.70% dip)
For NFB-AePS transaction success dip: D Vs D-7 : 56341 Vs 87282 : 30941  (35 % transaction dip)</t>
  </si>
  <si>
    <t>INC16947175</t>
  </si>
  <si>
    <t xml:space="preserve"> Broadband Dunning Orders were impacted.</t>
  </si>
  <si>
    <t>In this issue, there was a change activity(CHG0209307) last night post which the Broadband Dunning orders were impacted. To resolve the issue, change has been rolled back, post which the pendency started clearing and issue got resolved.</t>
  </si>
  <si>
    <t>Barring- 367 Orders
Unbarring- 198 Orders</t>
  </si>
  <si>
    <t>(CHG0209307)</t>
  </si>
  <si>
    <t>INC16988384</t>
  </si>
  <si>
    <t>CC advisors were not receiving 121 emails intermittently in Careshark.</t>
  </si>
  <si>
    <t>In this issue, CC advisors were receiving very less flow of 121 emails, in Careshark. However, there was no anomaly in system. As a proactive action careshark team took pods refresh post which 121 emails started landing, inflow was also restored and issue got resolved.</t>
  </si>
  <si>
    <t>121 email flow was low.</t>
  </si>
  <si>
    <t>ERP, ERP DMZ</t>
  </si>
  <si>
    <t xml:space="preserve">INC16948213 </t>
  </si>
  <si>
    <t>ERP DMZ page is not opening for external users.</t>
  </si>
  <si>
    <t>In this issue external users were unable to log in and submit their quotations or invoices because the ERP DMZ page was not accessible. To resolve this issue, the ERP team performed a complete service restart of the ERP stack. Post service restart, issue was resolved and all services are now functioning properly.</t>
  </si>
  <si>
    <t>External users were unable to log in and submit their quotations in ERP DMZ page.</t>
  </si>
  <si>
    <t>The issue resurfaced, wherein DARTS team has confirmed that for the Cluster Server 10.5.28.12, source-to-destination connection was intermittently facing SFTP connection errors, due to which multiple jobs were stuck and FTA MNP reports got impacted for PAN India. Further to resolve the issue, Windows team took refresh of the servers(10.5.28.71 / 72) and restarted the Bitwise tool services as well. Following these actions the reports started getting delivered and issue got resolved.</t>
  </si>
  <si>
    <t>P1/P1</t>
  </si>
  <si>
    <t>INC16950578 / INC16950577</t>
  </si>
  <si>
    <t xml:space="preserve">1)ping response on IP 10.5.28.72 / 71
</t>
  </si>
  <si>
    <t>ACS, PACS, Case &amp; Interaction</t>
  </si>
  <si>
    <t>INC16964094</t>
  </si>
  <si>
    <t>Multiple teams were facing login issue to RDP server which impacted their internal operational activities.</t>
  </si>
  <si>
    <t>In this issue, multiple teams were unable to perform their internal operational BAU activities. Initially, 17 VMs hosted on ESXi43 were found down. Although the ESXi host was powered on, it was in a hung state. VMware team attempted a force reboot of the ESXi host to migrate impacted VMs to healthy hosts, but the attempt was unsuccessful, post which team performed a shutdown of the host and successfully brought 10 VMs online on healthy ESXi hosts. Restoration was initiated for 6-7 remaining VMs. One VM is a test instance under troubleshooting. Further investigation revealed ESXi43 is part of a 6-node cluster, where 3 additional ESXi hosts were in a ‘Not Responding’ state and OEM cases have been opened with Broadcom, Brocade, and NetApp. To restore the services VMware team along with OEM team restored the latest backup of these instances, post which issue stands resolved.</t>
  </si>
  <si>
    <t>Case N Interaction, Prepaid, NSG</t>
  </si>
  <si>
    <t>P1/P1/P1/P1</t>
  </si>
  <si>
    <t>INC16951135, INC16951267, INC16951245, INC16951399</t>
  </si>
  <si>
    <t xml:space="preserve">1)Multiple ping timeout Alert on IP 10.241.XX.XX, 10.5.XX.XX, 10.241.XX.XX </t>
  </si>
  <si>
    <t>Multiple applications faced problem while performing internal actions.</t>
  </si>
  <si>
    <t>Nova App Experience Journey, Black Acquisition Journey, Broadband New Customer Acquisition Journey, Postpaid New Customer Acquisition Journey, Prepaid Customer Retail Acquisition Journey, Prepaid New Order Sim Swap Journey, Business Reporting Journey</t>
  </si>
  <si>
    <t>eCAF, eCAF_eDSL, Mitra, Nova App, CGNAT, DARTS, Lobby, Message Broker</t>
  </si>
  <si>
    <t>INC16963245</t>
  </si>
  <si>
    <t>OTP services were intermittently impacted for multiple application services.</t>
  </si>
  <si>
    <t>In this issue, customers were unable to receive OTP SMS during the acquisition process, resulting in an impact on acquisitions. Additionally, FSEs along with retailers experienced login issues via OTP for Mitra and NovaTel app. To resolve the same, SMSC team identified certain processes on their end that were consuming application threads and post killing these processes, services were successfully restored.</t>
  </si>
  <si>
    <t>Primary Root Cause: 
Specification Leg-01
Q1: Why there was an issue observed across multiple acquisition flows and customer experience journeys impacting multiple applications ?.
Ans: Because, On 10th Dec, customers intermittently experienced OTPs delivery failures affecting Prepaid, Postpaid, BB, Black acquisitions and Mitra , Nova App, CGNET,CDWH applications login . Initial failure rate: 10–15%, mostly resolved after a few retries , Peak-hour failure rate: surged to 70%, causing significant hindrance to acquisition journeys.
Q2: Why were customers unable to receive OTPs??
Ans: Because applications received 503 errors from the Lobby API while calling the sendsms endpoint 'http://10.14.120.134:10202/cgi-bin/sendsms', causing OTP delivery failures..
Q3: Why was the Lobby API returning 503 errors??
Ans: Because, Lobby API downstream SMSC (Mavenir) was delaying submit_sm requests by 7–10 seconds per message. As the system’s stopped accepting new messages due to the backlog, the Lobby began returning 503 errors to upstream applications.
Q4: Why was SMS delivery failing/delay at the SMSC?
Ans: Although SMS submissions to SMSC were successful, there were delays and failures during the SRI (Send Routing Information) phase within the Core Mobility Network. 
Q5: Why there was delay and failures during SRI phase?
Ans: Because SMSC VM servers experienced high CPU and memory utilization, caused by problematic threads/processes consuming excessive resources, degrading system performance. 
Q6: Why SMSC VM servers consumed all threads ?
Ans: SMSC investigated the issue with Mavenir and identified Script to monitor the SMS performance was put in place which abruptly consumed the CPU threads of the nodes. Script was disabled followed by killing the processes to fix the issue.
Detection Leg- 02 
Q1: Why was the script impacted the production nodes?
Ans: Because the script was deployed directly to production without prior load testing.
Q2: Why was load testing not performed before production deployment?
Ans: Because of unavailability of SIT setup at SMSC end for validating the script’s performance impact.
Q3: Why did the system not flag the issue during script execution?
Ans: Because, there was no active traffic at night when the script was configured. Also, the script ran only once and did not immediately breach alert thresholds under low traffic conditions.
Q4 : Why did the script increased the CPU load and creating bottleneck?
Ans: Since the script was uninstalled from the systems the day after deployment, team was unable to identify the bugs within the script. As a result, the exact cause of script could not be determined.
Systemic leg-03
Q1: Why did existing system fail to prevent this issue?
Ans Delay in alert response at SMSC and no alert mechanism at Lobby end to detect the issue at SMSC. 
•	Absence of SIT setup for pre-production testing and deployment controls, allowed untested scripts to be executed in production.
•	Additionally, no traffic was present when the script was configured, further masking the issue. Combination of alerting gaps and process deficiencies allowed the issue to occur
Q2: Why the MTTR was high for this incident?
Ans: Initial suspicion by the eCAF team pointed to the recent deployment. The deployment was rolled back without thorough validation, although direct alerts from Dynatrace indicated MB Lobby API failures.
•	Absence of alerts for SMSC at Lobby delayed identification of the actual issue; Lobby team took significant time to identify the issue at SMSC end and performed node-by-node restarts, service refresh but nothing worked
•	SMSC team did not proactively review alerts and relied on manual checks to pinpoint the problem.
Observations:
•	Approximately 30–40 nodes handling MB Lobby traffic were impacted, resulting in intermittent service. Due to the already high load on these nodes, it took additional time for them to stabilize and return to normal operation after the problematic script was uninstalled. 
Preventive Actions:
•	Lobby team should check the feasibility to onboard alerts at DT and AppD in case of failures and dip in traffic from SMSC end -Open Ruchin/ Manish
•	SMSC team need to ensure, all testing should be conducted on a lower setup or a non-impacting node and must follows the process before doing any changes in production- Open Shahnawaz
•	SMSC team need to ensure all alerts should be proactively check and responded-Open Shahnawaz</t>
  </si>
  <si>
    <t>PRB0044582</t>
  </si>
  <si>
    <t>Digital Acquisition, Digital Experience B2C, Analytics, ABGB</t>
  </si>
  <si>
    <t>P3
P1
P2
P3</t>
  </si>
  <si>
    <t>INC16959580
INC16959772
INC16960150
Alert104439467</t>
  </si>
  <si>
    <t>Symptom:
1)Messaging service [orion-fse-sms-service] - EndpointMessageListener
Failure rate increase 420 requests/min impacted by a failure rate increase to 26 %
Alert time - 2025-12-10 08:56 Hrs
Event no -INC16959580
2)AppDynamics has detected a problem with Backend *10.14.120.134:10202*. *Mitra_Phase_1 &amp; Mitra_Phase_2-Prepaid Retail Recharge Journey-RS_Lobby LB 10.14.120.134_OverallErrorRate&amp;gt;15%_Sev-1* started violating and is now *critical
Alert time - 2025-12-10 08:47 Hrs
Event no -INC16959772
3)autofillNon200WebLayer_/mitra/login-service/otp/verify-otp_High Failures in last 10minutes
2025-12-10 09:03:40
INC16959616
4)P2P_V2L_HOURLY_DROP_Threshold
Host Name : AcquisitionExperience_FE_Postpaid
Severity : P2
Current Value : 3.87
Alert time - 2025.12.10 10:05 Hrs
Event no -INC16960150
5)Difference in API in last 5m
Host Name : traffic_difference_percentage
Current Value : 16018.0
component : failure
Alert time - 2025.12.10 10:12 Hrs
Event no -Alert104439467</t>
  </si>
  <si>
    <t>12/10/2025 08:56
12/10/2025 09:24
12/10/2025 10:05
12/10/2025 10:12</t>
  </si>
  <si>
    <t>12/10/2025 12:19
12/10/2025 09:37
12/10/2025 10:33
12/10/2025 10:13</t>
  </si>
  <si>
    <t>Prepaid Success Dip (D vs D-7): 3855 (89885 vs 93739) is 4% Postpaid Success Dip (D vs D-7): 1675 (1023 vs 1675) is 62% Broadband Success Dip (D vs D-7): 6693 (1939 vs 8632) is 78% Simswap Success Dip (D vs D-7): 7796 (11023 vs 18819) is 41% Nova App Login Success Dip (D vs D-7): 55k (220k vs 275k) is 20%</t>
  </si>
  <si>
    <t>Business Reporting Journey</t>
  </si>
  <si>
    <t>INC16961008</t>
  </si>
  <si>
    <t>Broadband reports delivery was impacted for PAN India.</t>
  </si>
  <si>
    <t>In this issue, DARTS team reported that they were not receiving the broadband reports which are usually fetched from ESB. Further on the bridge, Amdocs DBA team confirmed that a lag had occurred in Golden Gate, which caused the data synchronization issue. This was triggered when a glitch process was accidentally started in the database, leading to a sudden surge of updates. Due to this, archive logs crossed the threshold, and HB_CRM team performed a component refresh to stabilize the database. Additionally, Amdocs DBA team identified a problematic SQL query that was contributing to the high lag. Once the query was stopped, the data flow improved. Golden Gate has now successfully synced up at 22:30 hrs, and the data is fully up to date. With synchronization completed, reports can now execute without any delay, and the next report execution cycle will begin tonight at 00:00 hrs.</t>
  </si>
  <si>
    <t>Updated broadband report execution was impacted</t>
  </si>
  <si>
    <t>INC16981842</t>
  </si>
  <si>
    <t>Outgoing call connectivity dip observed in Nova IQ_Voice for users (Justdial, Rapido &amp; Zomato).</t>
  </si>
  <si>
    <t>In this issue, Outgoing call connectivity dip was reported for Justdial, Rapido &amp; Zomato users. The issue was initially suspected to be at the NSG end; however, nothing concrete was found. Subsequently, Application team identified an issue in Aerospike due to which customer number mapping was not happening. During the course of troubleshooting, the issue resolved on its own without any technical intervention. 
Further, Application team is currently analyzing the root cause of the Aerospike malfunction.</t>
  </si>
  <si>
    <t>INC16961940
INC16961941
Alert104444614</t>
  </si>
  <si>
    <t>Symptom:
1)IQ Voice CDR severity: High Trigger: 134.71143352378508 Trigger Name : Anomaly_Rate_Justdial Text_To_Speech: Anomaly_Rate_Justdial
Alert time - 2025-12-10 12:16 Hrs
Event no -INC16961940
2)IQ Voice CDR severity: High Trigger: 150.62478603218077 Trigger Name : Anomaly_Rate_Rapido Text_To_Speech: Anomaly_Rate_Rapido | ISSUE STARTED description: Call volume of Rapido is lower by 25 percentage compared to yesterday 
Alert time - 2025-12-10 12:16 Hrs
Event no -INC16961941
3)IQ Voice CDR severity: High Trigger: 48.092868988391373 Trigger Name : Connectivity_rate_ZOMATO Text_To_Speech: Connectivity_rate_ZOMATO | ISSUE STARTED description: Connectivity rate of Zomato is lesser than 50% 
Alert time - 2025-12-10 12:28 
Event no- Alert104444614</t>
  </si>
  <si>
    <t>2025-12-10 12:16
2025-12-10 12:16
2025-12-10 12:28</t>
  </si>
  <si>
    <t>2025-12-10 13:00
2025-12-10 12:32
2025-12-10 12:36</t>
  </si>
  <si>
    <t>Outgoing connectivity was impacted for users (Justdial, Rapido &amp; Zomato).</t>
  </si>
  <si>
    <t>INC16991587</t>
  </si>
  <si>
    <t>CC advisors were unable to login ECHO dialer</t>
  </si>
  <si>
    <t xml:space="preserve"> In this issue, CC advisors were facing issue while logging in to ECHO dialer. However, No anomaly was observed in the system. Further, Issue got resolved without any technical intervention.</t>
  </si>
  <si>
    <t>ECHO login was impacted</t>
  </si>
  <si>
    <t>Ecom, NovaWorks</t>
  </si>
  <si>
    <t>INC16967683</t>
  </si>
  <si>
    <t>CROs were unable to create intent and visit to lead was impacted.</t>
  </si>
  <si>
    <t>In this issue, Hikari pool connection was filled due to which eCOM( v-10sales-lead-service-prod-ecom-prod-n1)Pods went on crash back loop and CROs were unable to create intent as well as and visit to lead was impacted. However, there was no impact on orders as they were cleared on retrial. To resolve, eCOM team took Sales lead pods restart post which failures reduced and issue got resolved.</t>
  </si>
  <si>
    <t>P2
P3
P2</t>
  </si>
  <si>
    <t>INC16967240
INC16967324
INC16967183</t>
  </si>
  <si>
    <t>Symptom:
1)ecom_order_checkout_service_audit_logs|Current Value : 26.48
API : TMF_CREATE_CART
Alert Start Time: 10/12/2025 19:41 Hrs
Event NO:INC16967240
2)Multiple Web service
[channels-order] - ExperienceController
[SalesLeadServiceApplication] - ComLeadController
[channels-order] - CompositeController
[d*c-task-manager-service] - InternalOrderController
[OrderCheckoutServiceApplication] - ShoppingCartController
[channels-order] - CartOrderController
[cart-service] - CommonCartController
Alert Start Time: 10/12/2025 19:50 Hrs
Event NO:INC16967324
3)Kubernetes workload
v-57track-order-service-prod-ecom-prod-n1
Alert Start Time: 10/12/2025 19:33 Hrs
Event NO:INC16967183</t>
  </si>
  <si>
    <t>2025-12-10 19:33:35
2025-12-10 19:41:55
2025-12-10 19:50:40</t>
  </si>
  <si>
    <t>2025-12-10 19:42:10
2025-12-10 20:11:55
2025-12-10 20:37:32</t>
  </si>
  <si>
    <t>No Impact on orders</t>
  </si>
  <si>
    <t>IPTV Customer Experience Journey (Call Center)</t>
  </si>
  <si>
    <t>DTH_OM, IPTV</t>
  </si>
  <si>
    <t xml:space="preserve">INC16978229 </t>
  </si>
  <si>
    <t>Suspended IPTV Accounts were not getting unbarred even after bill payment.</t>
  </si>
  <si>
    <t>In this issue, IPTV customers who had already made their payments were still showing in barred status. Further on bridge, DTH team and UDP team confirmed that a status mismatch issue had occurred because UDP failed to send the status-update signal to Vector. Due to this, the account status remained barred in the system. To fix the issue, UDP team manually unbarred all the affected orders and reconciled the base. Additionally, DTH_OM team re-pushed the impacted orders from their end. Post these actions, all pending mismatches were cleared and services were restored to normal.</t>
  </si>
  <si>
    <t>INC16965712</t>
  </si>
  <si>
    <t>Symptom: 1)Host Name : udp_black_unbarring_count Current Value : 233.0 TYPE : BLACK UNBARRING</t>
  </si>
  <si>
    <t xml:space="preserve">46 unbarring orders had a status mismatch. </t>
  </si>
  <si>
    <t xml:space="preserve"> In this issue, IPTV customers who had already completed their payments were still showing in barred status. Further on the bridge, DTH team confirmed that the impacted cases were not part of the dump shared by the UDP team yesterday, due to which the status mismatch occurred. To fix the issue, DTH team manually unbarred all the orders reported by business and reconciled the base by validating the identified table in their database. For future prevention, DTH team along with their development team is building a recon utility to handle such cases automatically. Till the utility is deployed, any newly reported suspended accounts will be handled manually.</t>
  </si>
  <si>
    <t xml:space="preserve">Few unbarring orders had a status mismatch. </t>
  </si>
  <si>
    <t>INC16983402</t>
  </si>
  <si>
    <t>M2M new registration orders were Impacted for Delhi Circle.</t>
  </si>
  <si>
    <t>In this issue, it was reported that new M2M Registration orders provisioning was failing on the CMPTL task with following error: "Request execution failed. General error: Invalid public key CONTR0030874577, unable to retrieve corresponding private key. Probably the public key is invalid." Upon analysis, it was found that Contract ID had become corrupted on LB IP: 10.14.95.22 (Port: 5252), which was associated with the servers 10.5.207.85 / 10.96.2.118 / 10.92.204.170 / 10.92.202.81. Due to which this issue got triggered. However, To resolve this issue, Mediation_IL team updated the Contract ID and performed a server refresh. Following which pending orders started clearing and the issue was successfully resolved.</t>
  </si>
  <si>
    <t>9.5k Orders</t>
  </si>
  <si>
    <t>INC16990999</t>
  </si>
  <si>
    <t>CDR files processing was impacted for the KER/TN circle.</t>
  </si>
  <si>
    <t xml:space="preserve">In this issue, it was identified that CDR files processing had been impacted for the KER/TN circle as the Mediation team was unable to receive CDRs from Ericsson and Nokia (NSG) ends. The IT Network and NSG network teams were checking the complete path and found The Techlan team had performed an activity at 1:30 am, following which the CDR files were not being received. Later, the Techlan team partially rolled back the activity, after which the files started coming post which the issue got resolved. </t>
  </si>
  <si>
    <t xml:space="preserve">CDR files processing was impacted </t>
  </si>
  <si>
    <t>Prepaid Activation Journey, Prepaid Customer Experience Journey</t>
  </si>
  <si>
    <t>INC16995055</t>
  </si>
  <si>
    <t>Prepaid and MNP orders are stuck at Ev_Success lead to delay in activation.</t>
  </si>
  <si>
    <t>In this issue, Prepaid and MNP orders were getting stuck at the EV_Success step because the (eCAF_TBS) tablespace had become full. To fix this, DBA team added around 700GB of additional space to the tablespace. After this action, the order processing started working normally and the issue got resolved.</t>
  </si>
  <si>
    <t>INC16994697
INC16994724</t>
  </si>
  <si>
    <t>Symptom:
1)Host Name : Milestone_pendency_prepaid_ecaf
Current Value : 272.0
STATUS : ev_success
Alert time:2025-12-12 20:47 Hrs
Event NO:INC16994697	
2)Database service
Oracle - ECAFDB
Failure rate increase
800 requests/min impacted
by a failure rate increase to 56 %
Service method: Insert into provision_consumer_data
Alert time:2025-12-12 20:49 Hrs
Event NO:INC16994724</t>
  </si>
  <si>
    <t>2025-12-12 20:49:05
2025-12-12 20:46:35</t>
  </si>
  <si>
    <t>2025-12-12 21:23:10
2025-12-12 21:16:35</t>
  </si>
  <si>
    <t>1708 prepaid MNP orders were stuck.</t>
  </si>
  <si>
    <t>Broadband Customer Experience Journey (Call Center), Black Acquisition Journey, Black Customer Experience Journey (Call Center), Broadband Activation Journey, Broadband Dunning Order Journey, Broadband Installation/FR Journey, Broadband New Customer Acquisition Journey</t>
  </si>
  <si>
    <t>HB_CRM, HB_ATOM, Service Portal, Feasibility, OneNova, eCAF_eDSL, POQ, Selfcare_B2C</t>
  </si>
  <si>
    <t>INC17003696</t>
  </si>
  <si>
    <t>CC Advisors were unable to raise/ close SRs and FTRs along with delay in acquisition and installation/activation orders for Broadband LOB.</t>
  </si>
  <si>
    <t>In this issue, it was identified that load average on HB_CRM had increased, resulting in multiple application impacts and disruption to Broadband CRM journey. Upon analysis, it was found that DT agents installed on four DB nodes a day prior were contributing to the abnormal load behavior. As a corrective action, DBA team removed the DT agents from HB, post which system stability was restored and Issue got resolved.</t>
  </si>
  <si>
    <t>Primary root cause:
Specification Leg-01
Q1: Why did a case of service disintegration affect multiple significant journeys?
Ans: Because, Due to the unavailability /failure of services for a variety of scenarios and functionalities across multiple applications. Multiple API’s in SSP, raising/closing SR/FTR  for Broadband ,Broadband/Black Acquisitions, delay in broadband installation/activation orders, Barring/unbarring orders along with SR(Fault/Repair) closures in AW showed the most noticeable effects.
Q2: Why did failure/service unavailability was observed in multiple applications at the same time?
Ans: Discussion with applications team uncovered that, affected upstream applications(Service Portal, Feasibility, OneNova, eCAF_eDSL, HB_ATOM, POQ, Selfcare_B2C, NovaWorks )were associated with downstream application  HB_CRM where high load average over HB_CRM databases observed which caused this outage. FE’s and Advisors were getting error’s “unable to perform update ESB task, No response received form downstream system, Page is not working, Failed to raised FTR.
Q3: Why did the HB_CRM databases/cluster experience extreme load and degradation?
Ans: Because, multiple high-impact workloads (full/incremental RMAN backups, archive backups, and background DB processes) were running concurrently on already highly utilized RAC node2, causing CPU saturation and OS-level contention.
Q4: Why did load increase across all other nodes after Node-2 isolation?
Ans: Because, when a node is isolated or shut down in Oracle RAC cluster, Sessions and background processes are redistributed to surviving nodes. As a result, load was shifted abruptly to Nodes 1–4, causing cascading overload.
Q5: Why did system load continue increasing even after database restart and application shutdown?
Ans: As per discussion and OEM response it was noticed that, Oracle background processes spawned during restart and thousands of OS processes entered D-state (uninterruptible sleep),Processes were blocked in kernel function audit_log_start.part, causing load average inflation without proportional CPU usage.
Q6: Why did Node-5 remain largely unaffected during the incident?
Ans: Further investigation revelated that node5 has -Stable thread counts, no such spike in running or blocked processes, no abnormal increase in D-state processes. Which is indicating that, it did not receive a significant redistribution of problematic sessions or was not impacted by the same audit log contention.
Detection Leg- 02
Q1: Why issue was not get proactively arrested and prevented escalations?
Ans: Although CPU, memory, and load average alerts were triggered and reached the application BIN, timely action was not taken, delaying mitigation during the early stages of degradation.
Q2: Why was the backup workload not flagged as a risk earlier?
Ans: Further discussion with teams explore that , Rman backup were used to run from node 10.14.70.58 however, moved to 10.14.70.56 node on 13th Nov 2025 due to a hardware issue and impact of moving backups from Node-4 to Node-2 was not reassessed even post hardware recovery also full and incremental backups running for ~60 hours were treated as normal along with no alerting existed node-specific backup saturation.
Systemic Leg-03
Q1 Why was a single node able to become a point of systemic stress for the entire RAC cluster?
Ans: Because backup workloads, high-parallel database activity, and background processes were allowed to converge on the same node without enforced workload isolation or node utilization thresholds, creating a hotspot that later propagated across the cluster.
Q2: Why did OS-level contention escalate into a full database outage requiring restart?
Ans: Because kernel-level audit logging contention caused thousands of processes to enter uninterruptible (D) state, and there were no preventive controls or automated safeguards to detect and arrest this condition before recovery options were exhausted.
Observations:
•	Application team was not aware of these DT one agent installations over databases nodes of HB_CRM. 
•	Change management process was not followed to installed the agents, hence It is recommended teams to strictly adhere to standard change processes.
•	Alerts for CPU, memory, and load average were triggered and reached the application BIN; however, timely action was not taken. Faster response and earlier engagement could have significantly reduced MTTR.
•	R-man backups were used to run from node 10.14.70.58 however, moved to 10.14.70.56 node on 13th Nov 2025 due to a hardware issue. Since node 10.14.70.56  used to utilized more than other nodes also one of contribution factor .
•	One of the SQL query (SQL_ID 1w53xda5gnhwy)running with 16 parallel sessions on a large table (over 400 GB) was also identified, executed by Case team. SQL had no prior execution history. It is recommended to avoid execution of query with multiple parallel sessions.
Preventive Actions:
•	Review and implement the recommended parameter changes provided by Oracle to address D state processes and buffer/cache issues. Open Nitin
•	Change management process must be adhere along with proper communication to respective teams while making any changes in production environment. Gaurav- Closed
•	Implement load-aware and dynamic RMAN backup scheduling so backups run only on nodes with sufficient available CPU, I/O, and OS capacity. Prohibit permanent backup relocation after hardware issues without a post-change capacity and utilization reassessment of the target node. Nitin/Pankaj Closed</t>
  </si>
  <si>
    <t>PRB0044584</t>
  </si>
  <si>
    <t>P4
P3
P3
P2
P2
P3
P2</t>
  </si>
  <si>
    <t xml:space="preserve">
INC17000156
TG alert 
Alert104559134,INC17002472
INC17001835
INC17002589,INC17002590,INC17002602
TG Alert
INC17002574</t>
  </si>
  <si>
    <t>Direct:
1)10.14.70.57 severity: Warning , High memory utilization (&gt;80% for 15m)  Current Threshold Value :81.1 %
Alert Start Time: 10/13/2025 09:47 Hrs
Event NO:INC17000156
2)1 impacted infrastructure component
Host 10.222.185.110 - N1PTMLHBCA0196.india.novatel.internal
CPU saturation
96.35 % CPU usage
dt.entity.host: HOST-053F1AE5937920AE
Alert Start Time: 10/13/2025 09:56 Hrs
Event NO:TG alert 
3)Multiple  Load average is too high on  10.14.70.55/56/57/58,10.222.185.109/110
Alert Start Time: 10/13/2025 11:21 Hrs
Event NO:Alert104559134,INC17002472
Symptom:
1)HB CRM SERVER COMP Alert WPMNWSRResolve greater than 90%
Alert Start Time: 10/13/2025 13:24 Hrs
Event NO:INC16967240,INC17001835
2)Multiple SP_MT_RULE_FAILURE
URL : https://hbcrmeailb.india.novatel.internal:6112/siebel/v1.0/service/HUMBDServices/QueryAccountInfo
URL : https://hawkeye.novatel.example/QuotaTrigger/services/getRemainingBalance
URL : http://esbhb.novaworld.in:8001/services/validateserviceeligibility/v4_1/ServiceEligibility
URL : http://dtinternalkong.india.novatel.internal/fawkes/v1/createNote
URL : http://esbonline3.novaworld.in:8011/managecustomerdata_V1_8/customer
RULE_NAME : ICRM - CHECK_SR_SLA
Alert Start Time: 10/12/2025 13:24 Hrs
Event NO:INC17002589,INC17002590,INC17002602
3)Multiple Web service
N1 - EAI_Resource- ses
N1 - localhost (/services/ManageWorkOrder/V1_2/frTaskStatus) - WebLogic Prod_OSB Cluster1
[task-manager-service-canary] - JefeController
N1 - EAI_Resource- ses
N1 - localhost (/services/ManageWorkOrder/V1_2/frTaskStatus) - WebLogic Prod_OSB Cluster1
Alert Start Time: 10/12/2025 13:24 Hrs
Event NO:TG Alert
4)Multiple Milestone_pendency_broadband_ecaf
ORDER_STATUS : ACCOUNT_SIEBEL_FAILED
ORDER_STATUS : ORDER_SIEBEL_FAILED
STATUS : ACCOUNT_CREATION_REQUEST_INITIATED
Alert Start Time: 10/12/2025 13:32 Hrs
Event NO:INC17002574</t>
  </si>
  <si>
    <t>12/13/2025 09:47
12/13/2025 09:56
12/13/2025 11:21
12/13/2025 13:24
12/13/2025 13:24
12/13/2025 13:27
12/13/2025 13:32</t>
  </si>
  <si>
    <t>12/13/2025 09:55
12/13/2025 13:21
12/13/2025 12:16
12/13/2025 14:09
12/13/2025 13:35
12/13/2025 13:49
12/13/2025 13:42</t>
  </si>
  <si>
    <t>Broadband acquisition Dip: (D Vs D-7: 654 vs 1742: 1088 is 62%), Broadband SR creation Success Dip (D vs D-7: 182 vs 2015: 1833 is 90%), HB_ATOM: 282 orders were impacted (Unbarring:- 48, Barring:- 86, Modify:- 148), AW pendency for SR(Fault/Repair) closure: 1500, POQ pendency count: 870, Selfcare_B2C Success Dip: (D vs D-7: 78581 vs 777793: 699212 is 89%), Black Acquisition Dip: (D vs D-7: 930 vs 2280: 1350 is 59%).</t>
  </si>
  <si>
    <t>INC17011479</t>
  </si>
  <si>
    <t>Users were unable to view broadband Plan details in Thanks App intermittently.</t>
  </si>
  <si>
    <t>In this issue, Thanks app was observing intermittent failures from HB_CRM side on the Get Current Plan API, due to which the plan details view was impacted. To resolve the issue, CRM team performed a refresh of the same API, after which the failures stopped and plan details started fetching successfully.</t>
  </si>
  <si>
    <t>INC17010662
INC17010601, INC17010861
INC17010865</t>
  </si>
  <si>
    <t>Symptom:
1) Web service
N1 - EAI_Resource- AIHBQuery*
Failure rate increase 3.51k requests/min impacted
Alert Start Time: 14/12/2025 05:42 Hrs
Event No: INC17010662
2) broadband service thanks ---- Plan Widget Failure Percent ----||---- Threshold &gt; 10 ----
Alert Start Time: 14/12/2025 06:13 Hrs
Event No: INC17010601, INC17010861
3) safe custody thanks ---- Full Page Error Percent ----||---- Threshold &gt; 10
Alert Start Time: 14/12/2025 06:28 Hrs
Event No: INC17010865</t>
  </si>
  <si>
    <t>12/14/2025 5:42
12/14/2025 6:13
12/14/2025 6:28</t>
  </si>
  <si>
    <t>12/14/2025 6:23
12/14/2025 6:21
12/14/2025 6:43</t>
  </si>
  <si>
    <t>Broadband plan view was impacted intermittently.</t>
  </si>
  <si>
    <t>INC17039592</t>
  </si>
  <si>
    <t>Prepaid activation were getting delayed Pan india.</t>
  </si>
  <si>
    <t>In this issue, PACS success pendency suddenly increased across Pan India, due to which prepaid activations were getting delayed. Further investigation on the bridge revealed that due to a UIDAI issue in the morning, orders were initiated in bulk later, which caused the sudden spike in pendency. Subsequently, the pendency automatically started dropping, and PACS success processing resumed normally.</t>
  </si>
  <si>
    <t>Alert104672208
Alert104672279</t>
  </si>
  <si>
    <t>Symptom:
1)PREPAID_EKYC_MILESTONE pacs_success having high count
Host Name : ECAF_PREPAID_EKYC_MILESTONE_ORACLE
Current Value : 3628.0
Alert Start Time:2025.12.16 13:10 Hrs
Event No: Alert104672208
2)impacted service Web request service
[aadhaar-logging-service-canary] - aadhaar-logging-service-canary-
Web service[*-media-service-*] - HealthCheckController
Unexpected Low Load for [*-media-service-*] - HealthCheckController
Alert Start Time:2025.12.16 13:12 Hrs
Event No: Alert104672279,Alert104672284</t>
  </si>
  <si>
    <t xml:space="preserve">2025-12-16 13:10:06 
2025-12-16 13:12:17  </t>
  </si>
  <si>
    <t>2025-12-16 13:15:06
2025-12-16 13:16:17</t>
  </si>
  <si>
    <t>PACS_Success Pendency 3726</t>
  </si>
  <si>
    <t>INC17040402</t>
  </si>
  <si>
    <t>DTH reports generation was impacted.</t>
  </si>
  <si>
    <t>In this issue, It was identified that the DARTS team was unable to fetch DTH reports from the Vector application. As a result, the job was failing and DTH report generation was impacted, leading to a breach of the report delivery SLA. UID/Unix team checked and confirmed that the user ID “darts_usr” did not exist at the Vector OS level. To mitigate this issue UID team to created the same user on the Vector application server. After that application team configured passwordless connectivity from the DART server to the Vector application server. Following this, the team was able to fetch the DTH reports from the Vector application, and the issue was resolved. These reports will take approximately 7–8 hours to generate, and same has been communicated to the business from DARTS end.</t>
  </si>
  <si>
    <t>17 DTH reports impacted</t>
  </si>
  <si>
    <t>INC17039635</t>
  </si>
  <si>
    <t>Prepaid success dip: 4630 (D vs D-7: 76023 vs 71393) is No dip
Postpaid success dip: 134(D vs D-7: 1423 vs 1289) is No dip.
Simswap success dip: 6609(D vs D-7: 6935 vs 13544).</t>
  </si>
  <si>
    <t>INC17040731</t>
  </si>
  <si>
    <t>DTH/Black leads were not landing on Echo dialer.</t>
  </si>
  <si>
    <t>In this issue, Common Cart team identified that lead flow for DTH/Black were impacted. Further investigation revealed that lead flow typically completes within 2 secs; however, it was taking approx. 10 secs at the time of issue due to which DTH/Black leads were not landing on Echo dialer. To mitigate the issue, Common Cart team restarted the Rules Engine API for the targeting module, which resolved the problem.</t>
  </si>
  <si>
    <t>INC0646413</t>
  </si>
  <si>
    <t xml:space="preserve">Upi transactions were intermittently impacted due to the error: HikariPool-1 - Connection is not available, request timed out after 5000ms </t>
  </si>
  <si>
    <t>In this issue, the application team reported that UPI transactions were intermittently impacted due to the error: HikariPool-1 - Connection is not available, request timed out after 5000ms. The issue resolved automatically, and the application resumed normal operations.</t>
  </si>
  <si>
    <t>For NFB-PAYMENTS-UPI Hits Comparison:- Failure Hits: 32,212. Total Hits: 397681 Success Hits: 3,65,469 Success Percentage: 91.90%</t>
  </si>
  <si>
    <t>INC17052734</t>
  </si>
  <si>
    <t>Users were unable to login Goal application.</t>
  </si>
  <si>
    <t>In this issue, it was identified that GOAL application version was upgraded PAN India. Initially, it was suspected that users who had not upgraded to the latest version were facing login issues. However, later It was confirmed that users on the latest version were also not receiving OTPs during login. To mitigate the issue, application team performed SND gateway restart to restore the OTP service, post which login functionality was restored and the issue stands resolved.</t>
  </si>
  <si>
    <t>95 user were impacted</t>
  </si>
  <si>
    <t>INC17052718</t>
  </si>
  <si>
    <t>Business reports were impacted for eCOM.</t>
  </si>
  <si>
    <t>In this issue, it was identified that eCOM business reports were impacted due to some issue at reporting DB (10.5.75.231). During further investigation it was identified that storage team had applied capping on the DB which led to an impact. To mitigate the issue storage team removed the capping. Post which DB performance improved, reports started delivering and issue got resolved.</t>
  </si>
  <si>
    <t>INC17050672</t>
  </si>
  <si>
    <t>Symptom:
1) High memory utilization (&gt;90% for 15m)
Host Name : 10.241.89.154
Alert Start Time: 17/12/2025 09:17 Hrs
Event No: INC17050672</t>
  </si>
  <si>
    <t xml:space="preserve"> 25 reports impacted.</t>
  </si>
  <si>
    <t>INC17054168</t>
  </si>
  <si>
    <t>CC advisors were unable to unbundle Black orders.</t>
  </si>
  <si>
    <t xml:space="preserve"> In this issue, initially it was identified that Service Portal was facing 5xx error for "CxBundlingController" api from Selfcare_B2C end due to which card content was not loading for CC advisors and they were unable to unbundle black orders. Further Investigation revealed that there was a change(CHG0211515) at One_EPC end due to which issue occurred for customers with inactive plans. To resolve the same, change has been rolled back post which failures reduced and issue got resolved.</t>
  </si>
  <si>
    <t>INC17048201
INC17050474
INC17051375</t>
  </si>
  <si>
    <t>Symptom:
1)Web service
[channels-plan] - CxBundlingController
Failure rate increase
31.4 requests/min impacted
by a failure rate increase to 89 %
Service method: runSimulationV2
Alert Start Time: 17/12/2025 02:14 Hrs
Event No: INC17048201
2) sp_guardian_card_failure_percent||High Failure in last 30M ** Total Count : 302  Failure Count : 138  Failure % : 41.8 **
URL : /guardian/api/v1/user/custom/manage/reviewBundle/v1
Alert Start Time: 17/12/2025 08:41 Hrs(Fluctuating)
Event No: INC17050474
3)5XXFailurein10Minutes| cx_Plan | /bundling/v2/simulation||5XX | /bundling/v2/simulation | Failure Perc : 59.296 % || Failure count : 59.296
API : /bundling/v2/simulation
Alert Start Time: 17/12/2025 10:36 Hrs
Event No: INC17051375</t>
  </si>
  <si>
    <t>12/17/2025 2:14
12/17/2025 8:41
12/17/2025 10:36</t>
  </si>
  <si>
    <t>12/17/2025 2:28
12/17/2025 8:51
12/17/2025 10:46</t>
  </si>
  <si>
    <t xml:space="preserve"> Success hits dip: (D vs D-5: 1538 vs 4607= 3069) is 66%</t>
  </si>
  <si>
    <t>CHG0211515</t>
  </si>
  <si>
    <t>NFB-PAYMENTS-UPI reported intermittent UPI transaction impact due to a third-party (NPCI) error: "Connection timeout - failed to connect to NPCI"</t>
  </si>
  <si>
    <t>In this issue, the NFB-PAYMENTS-UPI team reported intermittent impact on UPI transactions due to the error: "Connection timeout-failed to connect to NPCI." The NPCI WAF team joined the investigation and informed that they were performing an activity during the affected time interval, which caused the error. The issue was resolved after the completion of the activity from NPCI's end. The system has been placed under monitoring for the next 24 hours</t>
  </si>
  <si>
    <t>For NFB-PAYMENTS-UPI Hits Comparison:-(02:17 hrs - 03:03 Hrs) Failure Hits: 32,212. Total Hits: 397681;Success Hits: 3,65,469 Success Percentage: 91.90% For NFB-PAYMENTS-UPI Hits Comparison:-(05:31 hrs - 05:43 Hrs) Failure Hits: 3405 Total Hits: 29974 Success Hits: 26569 Success Percentage: 88.64%</t>
  </si>
  <si>
    <t>INC17054314</t>
  </si>
  <si>
    <t>Prepaid MNP acquisition was impacted intermittently.</t>
  </si>
  <si>
    <t>In this issue, users reported facing "Invalid Sim No, must be Numeric" error while punching MNP order. Further, eCAF and Mitra teams identified error at One_NMS end. Meanwhile, to mitigate the same, traffic at N2 was stopped, post which issue stands mitigated.</t>
  </si>
  <si>
    <t>INC17049813
Alert104705250, INC17050420</t>
  </si>
  <si>
    <t>Symptom:
1) Domain:AADHAR Process:ValidateandAllocateSIM_V1_3.validateandAllocateSIM percent is greater than 5 in 20 min
Host Name : ESB_Failure_Percent_Process_wise
Alert Start Time: 17/12/2025 06:42 Hrs
Event No: INC17049813
2) ESB KONG API 502 FAILURE PERCENTAGE GREATER THAN 40%
APINAME : /services/resource/gatherresourceinformation/validateandallocate/sim/v1_3
Alert Start Time: 17/12/2025 08:21 Hrs (Fluctuating)
Event No: Alert104705250, INC17050420</t>
  </si>
  <si>
    <t>12/17/2025 6:42
12/17/2025 8:21</t>
  </si>
  <si>
    <t>12/17/2025 11:12
12/17/2025 8:21</t>
  </si>
  <si>
    <t>MNP Acq. Success Dip (D vs D-7): 2633 (26178 vs 28811) is 9%.</t>
  </si>
  <si>
    <t>INC17056620</t>
  </si>
  <si>
    <t xml:space="preserve"> In this issue, GIS VMDS got locked, due to which their pods restarted automatically and orders started piling up in the queue. To fix this issue, GIS team has manually unlocked the database. Once the DB was unlocked, the pending orders started getting processed smoothly and the overall service recovered. After this action, no further errors were observed and the issue is resolved.</t>
  </si>
  <si>
    <t>INC17056224,INC17056223</t>
  </si>
  <si>
    <t>Symptom:
1)NovaTel_Works alerts for Broad Band Journey
  Current Value : 189.0
Alert Time:2025-12-17 16:41 Hrs
Event NO:INC17056224,INC17056223</t>
  </si>
  <si>
    <t>Tag change (FTTH + MOP) - 408 orders were stuck.</t>
  </si>
  <si>
    <t>INC17059955</t>
  </si>
  <si>
    <t>CC Advisors were unable to raise SR in Service Portal for all the LOBs.</t>
  </si>
  <si>
    <t>INC17057687,INC17057691</t>
  </si>
  <si>
    <t>1)Status Code[504] Count Greater than [500] in Last 10 Minutes
Host Name : 5XX_StatusCode_Gloo_API_CS
Current Value : 602.0
AUTHORITY : casemgmt.india.novatel.internal
Alert time:2025-12-17 18:51 Hrs
Event NO:INC17057687,INC17057691</t>
  </si>
  <si>
    <t>SR Creation Success Dip: (D vs D-4: 411 vs 1169: 758 is 64%).</t>
  </si>
  <si>
    <t>Broadband Payment Posting Journey, Black Payment Posting Journey, Postpaid Payment Posting Journey</t>
  </si>
  <si>
    <t>INC17062344</t>
  </si>
  <si>
    <t>Payment Posting, Broadband and Mobility orders were impacted.</t>
  </si>
  <si>
    <t>In this issue, error is observed while processing the payment posting &amp; postpaid activation orders were impacted. During troubleshooting, DCAP team observed a token related error: "FXAPI_jmw-mob_access_log, Response_code: 401", which is used by BSL to connect to JMW. Due to which this issue got triggered. However, the issue was resolved automatically without any technical intervention.</t>
  </si>
  <si>
    <t xml:space="preserve">INC17061229,INC17061230,INC17061233
INC17061362,INC17061363,INC17061364
</t>
  </si>
  <si>
    <t>Symptom:
1)Multiple FX6_response-code_FAILURE_COUNT for/fx_rest/rest/CustomerUdts/request 
Log_Type:FXAPI_jmw-mob_access_log, Response_code:401, 
Alert time-2025-12-18 01:58 Hrs.
Event No-INC17061229,INC17061230,INC17061233
2)Multiple Dcap OCP 4 High Failures 
Host Name : DCAP OCP 4 MetricWise Failed Hits ALERT
Host Name : DCAP-OCP-4-SourceWise_FailedHitsAlert
Source : jk10_fail
Source : home_fail
Source : wireless_fail
Source : wireline_fail
Alert time-2025-12-18 02:14 Hrs.
Event No-INC17061362,INC17061363,INC17061364</t>
  </si>
  <si>
    <t>12/18/2025 01:58
12/18/2025 02:14</t>
  </si>
  <si>
    <t>12/18/2025 03:38
12/18/2025 03:44</t>
  </si>
  <si>
    <t>Payment Posting Failure:
DTH: 341, Home:1, JK10: 78, Postpaid: 1509, Broadband: 1035</t>
  </si>
  <si>
    <t>INC17065001</t>
  </si>
  <si>
    <t>In this issue, DARTS team reported an inability to execute the ROP process, resulting in an impact on business KPIs due to the unavailability of data from the FXDRADM DB. Subsequent investigation by the Storage, Database, and Linux teams revealed that 4 ASM disks were added to the Production server on 17-Dec (RITM14293521); however, these changes were not synchronized with the DR environment, causing the issue. To resolve this, Storage team performed a data sync from Noida DC to BLR DC, bringing the DR DB online, followed by DB team enabling the disabled listener, post which services resumed normally.</t>
  </si>
  <si>
    <t xml:space="preserve">Gross Add, AIO, Tableau and critical business KPIs are impacted. </t>
  </si>
  <si>
    <t>RITM14293521</t>
  </si>
  <si>
    <t>Black Acquisition Journey, Broadband New Customer Acquisition Journey, DTH New Customer Acquisition Journey, Postpaid New Customer Acquisition Journey, Prepaid Customer Retail Acquisition Journey</t>
  </si>
  <si>
    <t>INC17065488</t>
  </si>
  <si>
    <t>CROs were able to Submit intent on NovaWorks but same was not reflecting on Task List.</t>
  </si>
  <si>
    <t>In this issue, CROs reported they were able to Submit the intents for walk-in customers but same were not visible on NovaWorks Task list. Further, NovaWorks team confirmed they deployed some code changes to fix an identified bug in the system which triggered this issue. To resolve this, NovaWorks Dev team took corrective action, post which issue stands resolved.</t>
  </si>
  <si>
    <t>Approx. 300 Intents impacted</t>
  </si>
  <si>
    <t>#Awaited</t>
  </si>
  <si>
    <t>Leo_FX</t>
  </si>
  <si>
    <t>INC17078808</t>
  </si>
  <si>
    <t xml:space="preserve"> Payment posting for VAN accounts is impacted for B2B customers.</t>
  </si>
  <si>
    <t>In this issue, It was identified that VAN (virtual account number) payment postings were failing for B2B users due to which all business VAN transactions were getting failed. Further, it was identified that one of the APS pods at cell stack on which VAN services were running got stuck. To resolve APS team took Pod restart and repushed the failed cases following which issue got resolved.</t>
  </si>
  <si>
    <t>84 business transactions</t>
  </si>
  <si>
    <t>In this issue, Common Cart team identified that lead flow for DTH/Black were impacted. To mitigate the issue, Common Cart team restarted the Rules Engine API for the targeting module, which resolved the problem</t>
  </si>
  <si>
    <t>INC17073151</t>
  </si>
  <si>
    <t>ONDR and CDR Jobs were impacted for DL Circle.</t>
  </si>
  <si>
    <t>In this issue, Delhi Circle Server went into hung state. Due to which ONDR, CDR loading, and campaign processing were impacted, and jobs stopped coming to the DARTS team. UNIX team was aligned for support, Further Unix team reboot the server and post reboot the server, the services came back up, And the issue got resolved.</t>
  </si>
  <si>
    <t>INC17076033</t>
  </si>
  <si>
    <t>Direct:
1) ping response on IP 10.5.232.34 is down error message "ping timeout"_10.5.232.34
Alert Start Time: 19/12/2025 08:01 Hrs
Event No: INC17076033</t>
  </si>
  <si>
    <t>ONDR , CDR Loading, Campaign Processing.</t>
  </si>
  <si>
    <t>INC17077918</t>
  </si>
  <si>
    <t>Prepaid acquisition was impacted for NESA circle.</t>
  </si>
  <si>
    <t>In this issue, Mitra and eCAF was getting "OSB Service callout action received an error Response"error from ESB end for validateAndAllocateSIM due to which prepaid acquisition was impacted for NESA circle. Further, it was identified that these errors were due to one activity at DSA end (NSG) in which new system was made live for NESA circle. Onc</t>
  </si>
  <si>
    <t>INC17075623
INC17075901</t>
  </si>
  <si>
    <t>Symptom:
1)Domain:AADHAR Process:ValidateandAllocateSIM_V1_3.validateandAllocateSIM percent is greater than 5 in 20 min
Host Name : ESB_Failure_Percent_Process_wise
Alert time:2025-12-19 07:12 Hrs
Event NO:INC17075623
2)INTEGRATION_VERY_CRITICAL_APIS_HIGH_FAULT_ALERTS
PROCESSNAME : ValidateandAllocateSIM_V1_3.validateandAllocateSIM
Alert time:2025-12-19 07:45 Hrs
Event NO:INC17075901</t>
  </si>
  <si>
    <t>12/19/2025 7:12
12/19/2025 7:45</t>
  </si>
  <si>
    <t>12/19/2025 9:22
12/19/2025 8:05</t>
  </si>
  <si>
    <t xml:space="preserve">Prepaid Success Dip (D vs D-7): 19(50 vs 69) is 28%. </t>
  </si>
  <si>
    <t>EVOL-98201</t>
  </si>
  <si>
    <t>INC17080742</t>
  </si>
  <si>
    <t>In this issue, FEs encountered “downstream is down” error affecting IPTV installations. Further, IPTV, DTH_OE and NovaWorks teams concluded that error stems from i360 end. Moreover, i360 team confirmed that DB faced slow running queries increasing CPU utilization at their end and post utilization normalized, services resumed normally.</t>
  </si>
  <si>
    <t>P4
P4
P3
P1</t>
  </si>
  <si>
    <t>Alert104791574, INC17078065
INC17077876
INC17078412/ INC17078502
INC17078318, INC17078348</t>
  </si>
  <si>
    <t>Direct:
1) Hostname:10.223.161.41 severity
DB ims: Too many slow queries
Alert Start Time: 19/12/2025 11:33 Hrs
Event NO: Alert104791574, INC17078065
2) Hostname:10.223.161.41 severity
The CPU utilization is too high. The system might be slow to respond
Alert Start Time: 19/12/2025 11:35 Hrs
Event NO: INC17077876
3) Hostname:10.223.161.41/ 42 severity
Name : PostgreSQL: Service has been restarted
Alert Start Time: 19/12/2025 12:18 Hrs
Event NO: INC17078412/ INC17078502
Event NO: 
Symptom:
1) DTH_OE-DTH New Customer Acquisition-RS_inventory.novatel.example: 443_OverallAvgResponseTime&amp;gt;2000ms_sev-1
*inventory.novatel.example:443*
Alert Start Time: 19/12/2025 12:10 Hrs
Event NO: INC17078318, INC17078348</t>
  </si>
  <si>
    <t>12/19/2025 11:33
12/19/2025 11:35
12/19/2025 12:18
12/19/2025 12:10</t>
  </si>
  <si>
    <t>12/19/2025 11:38
12/19/2025 12:15
12/19/2025 12:28
12/19/2025 12:29</t>
  </si>
  <si>
    <t>SDU MDU validation: 286 orders</t>
  </si>
  <si>
    <t>INC17080153</t>
  </si>
  <si>
    <t xml:space="preserve">Slowness was observed in old and new bulk postpaid orders processing. </t>
  </si>
  <si>
    <t>In this issue, BTFLY_CRM was observing slowness from One_NMS in bulk order processing for Postpaid. Upon investigation, it was identified that due to blocking sessions on OneNMS DB. To resolve this, DB team killed the old update queries which was causing blocking sessions, after which the services started functioning properly.</t>
  </si>
  <si>
    <t>TG Alert
Alert104795217
Alert104795432</t>
  </si>
  <si>
    <t>Direct:
1) Oracle DB Instance- NMSCDB1
Disaster^Oracle- Blocked Sessions High on NMSCDB1
Alert Start Time: 19/12/2025 13:51 Hrs
Event No: TG Alert
2) Kubernetes workload crm-rbac
Out-of-memory kills have been observed for pods of this workload.
Alert Start Time: 19/12/2025 13:49 Hrs
Event No: Alert104795217
3) Host 10.223.163.135, 10.241.162.101, 10.241.162.103, 10.241.162.105, 10.5.53.37 - N1PLPDAONENMSDB01.india.novatel.internal
CPU saturation 99.78 % CPU usage
Alert Start Time: 19/12/2025 13:59 Hrs
Event No: Alert104795432</t>
  </si>
  <si>
    <t>12/19/2025 13:51
12/19/2025 13:49
12/19/2025 13:59</t>
  </si>
  <si>
    <t>12/19/2025 14:10
12/19/2025 13:54
12/19/2025 14:05</t>
  </si>
  <si>
    <t>In this issue, GIS VMDS DB got locked, due to which orders started piling up in the queue. To fix this issue, GIS team has manually unlocked the database. Once the DB was unlocked, the pending orders started getting processed smoothly and the issue got resolved</t>
  </si>
  <si>
    <t>INC17080653,INC17080652
INC17080850</t>
  </si>
  <si>
    <t>Symptom:
1)Host Name : NovaTel_Works alerts for Broad Band Journey
Current Value : 213.0
COMPONENT : ordercound_mop_ftth_tag_change
Alert time:2025-12-19 15:46 Hrs
Event NO:INC17080653,INC17080652
2)16_17 Difference in AW and Nokia count in last 1 hr
Host Name : AW Nokia mismatch count
Current Value : 541.0 
Alert time:2025-12-19 16:04 Hrs
Event NO:INC17080850</t>
  </si>
  <si>
    <t>2025-12-19 16:04:10
2025-12-19 15:46:08</t>
  </si>
  <si>
    <t>2025-12-19 16:24:08
2025-12-19 16:11:13</t>
  </si>
  <si>
    <t>Tag change (FTTH + MOP) - 463 orders were stuck.</t>
  </si>
  <si>
    <t>INC0634512</t>
  </si>
  <si>
    <t>NFB-Rekyc team reported that Rekyc account creation are not happening.</t>
  </si>
  <si>
    <t>In this issue, It is identified was that NFB-Rekyc team reported that Rekyc are not happening. The NFB-SBA Development team confirmed that a recent SBA change involving "Tez Scodes | DMS Scodes | Passbook Massify | CASA" was deployed under CHG0010607. However, a partial rollback was performed because the properties of customer-reader for ReKYC and customer-reader MS were reverted on servers 10.241.247.74/75. Following these actions, an improvement was observed, and the issue was resolved.</t>
  </si>
  <si>
    <t>For NFB-Rekyc Success impacted count (08:00 hrs - 10:25 hrs) - (D-D-1) = 1-45-44(99% increase in Success impacted Cout)</t>
  </si>
  <si>
    <t>INC0642937</t>
  </si>
  <si>
    <t>SBA conversion is getting low in NFB-SBA application.</t>
  </si>
  <si>
    <t>In this issue, traffic requests to the API endpoint (/secured/pan/v3/verifyPanDetails) were being distributed across both PDC (10.241.252.98) and FDR (10.56.159.143). As a result, traffic routed to FDR was not being processed, leading to a decrease in SBA conversions. During troubleshooting, the team found that "pan.int.novabank.com" was not resolving on backend nodes (10.241.253.21/22/23) and throwing 502 error. As a workaround, the NFB-SBA team updated Kong to use "pegkong.int.novabank.com" instead of "pan.int.novabank.com". Following these actions, the issue has been resolved and the system is functioning normally.</t>
  </si>
  <si>
    <t>SBA Conversion Dip -(D Vs D-7 : 60.4% Vs 64.8%) Approx. 4 % dip.</t>
  </si>
  <si>
    <t>INC17105619</t>
  </si>
  <si>
    <t xml:space="preserve">Table loading of Hellotunes activation and deactivation was impacted in Darts. </t>
  </si>
  <si>
    <t xml:space="preserve"> In this issue, DARTS was observing errors while fetching data from the S3 bucket of Wynk which was impacting the loading of hellotune activation and deactivation files. Initially, the issue was suspected to be certificate-related; however, further investigation confirmed that the problem was due to a file formatting issue at the source end. The Source team corrected the formatting at their end, after which the table loading resumed successfully. The issue is now resolved and services are functioning normally.  </t>
  </si>
  <si>
    <t>Table loading of Hellotunes activation and deactivation was impacted in Darts.</t>
  </si>
  <si>
    <t>INC17114393</t>
  </si>
  <si>
    <t>M2M new registration orders were impacted.</t>
  </si>
  <si>
    <t xml:space="preserve"> In this issue, it was identified that multiple concurrent sessions on CMF_Join table were leading to high CPU utilization due to query concurrency, which caused slow processing of new M2M registration orders (TPM ~30 orders/min). To mitigate this issue, Amdocs DBA team removed the existing query baseline and performed new plan profiling by applying a full table scan. Post this action, multiple session contention issue was fixed, order processing improved (TPM ~200 orders/min), pendency started clearing, and issue got resolved.</t>
  </si>
  <si>
    <t>P3
P3
P3
P3
P3</t>
  </si>
  <si>
    <t>INC17112961,INC17112960
INC17113034
INC17113069
INC17113155
INC17113164</t>
  </si>
  <si>
    <t>Direct : 
1)Multiple10.13.63.120 severity: Average Trigger: High CPU utilization 
Alert time:2025-12-22 11:47:15
Event NO:INC17112961,INC17112960
Symptom:
1)1 impacted service
Database service
Oracle - PDK6CU36
Failure rate increase
123 requests/min impacted
by a failure rate increase to 18 %
Service method: Insert into ord_order
Alert time : 2025-12-22 11:51
Event No : INC17113034
2)Messaging service
[m2mupdatebillableproductmobilitybulk] - UpdateBillableProductListener
Response time degradation
17 requests/min impacted
The current response time (25.7 s) within the slowest 10% exceeds the auto-detected baseline (5.74 s) by 347 %
Service method: All methods affected
Alert time : 2025-12-22 11:53
Event No : INC17113069
3)Atom_order_pendency_3000||M2M Registration
Business Group : BTFLY_ATOM
Current Value : 6778.0
Operational Data  : 6778
Alert time:2025-12-22 12:00
Event NO:INC17113155
4)Atom_task_level_pendency||FX6
Current Value : 10276.0
Alert time:2025-12-22 12:00
Event NO:INC17113164</t>
  </si>
  <si>
    <t>2025-12-22 11:47:15      
2025-12-22 11:51:10
2025-12-22 11:53:00
2025-12-22 12:00:11      
2025-12-22 12:00:56</t>
  </si>
  <si>
    <t>2025-12-22 13:22:20
Open
Open
2025-12-22 12:29:42
2025-12-22 12:29:43</t>
  </si>
  <si>
    <t>18000 Orders.</t>
  </si>
  <si>
    <t>Broadband Customer Experience Journey, Broadband Dunning Order Journey, Broadband Activation Journey, Broadband Installation/ FR Journey</t>
  </si>
  <si>
    <t>INC17117479</t>
  </si>
  <si>
    <t>Broadband Activation/ Installation Orders were impacted.</t>
  </si>
  <si>
    <t xml:space="preserve">In this issue, Field Engineers were not receiving task 2 for broadband orders due to which broadband Activation/ Installation Orders were impacted. Upon Investigation, it was identified that the errors were originating from Optimus end. Further, Optimus team identified that the issue had occurred due to an ongoing migration activity (CHG0212325) at Optimus end during which the historical data sync up which was expected to be completed in 24 hours got complete within 11 hours @15:00 Hrs. After this the updation got auto-executed as per the process which stops live traffic due to which the pendency started piling up. As soon as this updation got completed, the orders started clearing and issue got resolved. </t>
  </si>
  <si>
    <t xml:space="preserve">Primary root cause Summary: 
Issue Description
•	In this issue, Field Engineers were not getting task2 as there was an issue for status update at optimus end for all orders which impacted multiple Broadband journeys.
•	However, all provisioning activities got completed within timelines, issue observed in delay in status update within downstreams applications. Issue was limited to FWA installations only, there was no impact on FTTH journey.
Investigation Findings
•	Upon investigation, the HB_ATOM team found that orders were stuck at the Optimus task stage. The order flow is as follows: 
•	NovaTel_Works → HB_ATOM → ESB → Optimus
•	The issue occurred because Optimus was not sending responses back to the upstream systems. Field Engineers could not update the tasks completion in NovaTel_works As a result, pending requests kept increasing at the HB_ATOM end. 
Root Cause
•	Optimus was undergoing a pre-planned full base migration (CHG0212325)
•	Migration involved:
o	Data unload
o	Data wipe
o	Reload of updated data with new KPIs
•	During the update query phase as per the standard process:, real-time traffic was automatically put on hold
•	The update query ran at ~3:00 PM (peak business hours) instead of off-hours, causing the outage
•	Impact was limited to Installation and activation orders because the stopped real-time data job was specific to Telemedia APIs
•	The migration was pre-planned and tested in the pre-production environment before implementation and it took 20 hrs to complete 
•	Based on historical experience, the activity was planned for 24 hours 0n 22nd Dec, starting at 4:00 AM; Due to better-than-expected database performance, the migration completed early
Why It Was Not Prevented
•	Migration was planned assuming completion during non-business hours
•	Early completion was not fully assessed for business impact
•	Communication to upstream teams lacked:
o	Explicit mention of peak-hour downtime
o	Confirmation or acknowledgment from impacted teams
•	With better coordination, the update query could have been delayed
Recovery Decision
The Optimus team decided not to roll back the migration, as rollback would have caused:
•	Significant data mismatches
•	A complex and time-consuming cleanup process
•	Optimus completed the migration and cleared the pending orders post-activity
•	
Observations: 
•	The Optimus team monitored the migration closely and sent an email notification to upstream teams (ESB and HB_ATOM) about possible order holds due to early completion. But, due to lack of  commination and no clear mention of downtime during peak business hours, No acknowledgment was received from the impacted team HB_ATOM and ESB. 
Preventive Actions:
•	Explore options with development and architecture teams to introduce automation and controlled human intervention to prevent live traffic impact during business hours. Open—Rajiv and Sunil 
•	Ensure clear advance communication of potential live traffic impact, Mandatory confirmation from all affected teams before proceeding- Open Rajiv and Sunil </t>
  </si>
  <si>
    <t>PRB0044603</t>
  </si>
  <si>
    <t>INC17115337
INC17115417 
INC17115348
INC17115363</t>
  </si>
  <si>
    <t>1)Multiple hb_atom_taskwise_optimus_Inprogress||hb_atom_taskwise_optimus_Inprogress
TRGT_SYS : OPTIMUS
Alert time:2025-12-22 15:00 Hrs
Event NO:INC17115337,INC17115417 
2)Multiple Pendency alert for component MDU_Task_1_closed
COMPONENT : MDU_Task_1_closed
Alert time:2025-12-22 15:01 Hrs
Event NO:INC17115348,INC17115363</t>
  </si>
  <si>
    <t>22-12-2025 15:00   
22-12-2025 15:05
22-12-2025 15:01
22-12-2025 15:01</t>
  </si>
  <si>
    <t xml:space="preserve">22-12-2025 15:41  
22-12-2025 15:44   
22-12-2025 15:51   
22-12-2025 15:21   </t>
  </si>
  <si>
    <t>FWA 509 orders stuck at task 2,
HB_ATOM- Delay in Order status updation at optimus.
HB_ATOM- 6496 Orders [Account Creation- 28, Address Information Change- 45, Billing information change- 62, COBP- 273, Change Order- 499, Involuntary remove-OGB- 735, Invol. resume- 1026, New registration- 4305, PreToPost- 30, Safe custody- 93]</t>
  </si>
  <si>
    <t>CHG0212325</t>
  </si>
  <si>
    <t>Mitra, LAPU_GT</t>
  </si>
  <si>
    <t>INC17130214</t>
  </si>
  <si>
    <t>Retail recharges were impacted.</t>
  </si>
  <si>
    <t xml:space="preserve">In this issue, multiple alerts were observed for Mitra Phase 1, 2 and LAPU East Hub which triggered temporary dip in retail recharge success rate. However, error rates and failures stabilized automatically without any manual intervention. As checked from Network, DBA, Storage and Unix team, no anomalies were found and issue got auto resolved. </t>
  </si>
  <si>
    <t>P1
P3
P3
P1
P1</t>
  </si>
  <si>
    <t>INC17117441
INC17117442
Alert104905086
Alert104905085 
Alert104905082
Alert104905083
INC17117542
TG alert</t>
  </si>
  <si>
    <t>1)Mitra2_Phase_2-Prepaid Retail Recharge Journey ResponseTime 700ms_Sev-1
Mitra2-Phase1- Prepaid Retail Recharge Journey-Overall Avg ResponseTime 700ms_Sev-1
Alert time:2025-12-22 17:54 Hrs
Event NO:INC17117441,INC17117442
2)Multiple Trigger for i-in-ericssonucip_15 on 10.222.204.149 hub5 node 1||Trigger for i-in-ericssonucip_15 on 10.222.204.149 hub5 node 1
Alert time:2025-12-22 18:01 Hrs
Event NO:Alert104905086,Alert104905085 
3)Multiple GT_No_response_found_For_Lapu_upgrade_bus  Hub_3Hub_5 N1
SERVER : 10.222.204.143,10.222.204.150,10.222.204.145
Alert time:2025-12-22 18:01 Hrs
Event NO:Alert104905082,Alert104905083,Alert104905084
4)Digital_Payments-Prepaid Retail Recharge Journey-Overall Response Time greater than 700ms_Sev-1* 
Alert time:2025-12-22 18:01 Hrs
Event NO:INC17117542
5)Lapu GT_Hub5: Lapu GT_Hub5: 10.241.162.11: 1540*. *LAPU-Prepaid Retail Recharge Journey-Hub_5 High Number of Inactive/Locking
Alert time:2025-12-22 18:05 Hrs
Event NO:TG alert</t>
  </si>
  <si>
    <t>2025-12-22 17:54
2025-12-22 17:54
2025-12-22 18:02:00
2025-12-22 18:02:00
2025-12-22 18:01:56
2025-12-22 18:01:59
2025-12-22 18:02:35
TG alert</t>
  </si>
  <si>
    <t>2025-12-22 18:05:06
2025-12-22 18:05:06
2025-12-22 18:06:16
2025-12-22 18:06:16
2025-12-22 18:06:16
2025-12-22 18:06:59
2025-12-22 18:32:35
TG alert</t>
  </si>
  <si>
    <t>Dip in Retail Recharges: (D vs D-5: 32327 vs 41274) is 21%.</t>
  </si>
  <si>
    <t>INC17119188</t>
  </si>
  <si>
    <t>Partners were facing errors in offer/plans validation services .</t>
  </si>
  <si>
    <t xml:space="preserve">In this issue, security tool image was not getting pulled as prism-platform-proxy-v1-5c64fc6687 went into crashback loop due to which Partners were getting timeout for validation services of Plan/offers for Prepaid customers. For this, initially container refresh was taken and then side cart was disabled by GLOO team, following this action errors reduced and issue got resolved. </t>
  </si>
  <si>
    <t>TG alert
INC17118575
INC17118788</t>
  </si>
  <si>
    <t>1)No of pods running per deployment is less than 2||No of pods running per deployment is less than 2
Host Name : N1CS1OCP-DCLUS-01 - GLOO pod wise alert
deployment : prism-platform-proxy-v1
Alert time:2025-12-22 18:57 Hrs
Event NO:TG alert  
Symthom : 
1)Following prism-platform-proxy-v1-5c64fc6687-lpd2m Container restart noname-security-sensor||Following prism-platform-proxy-v1-5c64fc6687-lpd2m Container restart noname-security-sensor
Host Name : N2CS1OCP-DCLUS-01-- Namespacewise
Alert time:2025-12-22 19:51 Hrs
Event NO:INC17118575
2)MT | FAILURE FOR PRICE POINT||19, buy
SERVICETYPE : buy
Alert time:2025-12-22 20:15 Hrs
Event NO:INC17118788</t>
  </si>
  <si>
    <t>TG alert
2025-12-22 19:56
2025-12-22 20:15</t>
  </si>
  <si>
    <t>TG Alert
2025-12-22 20:26
2025-12-22 20:45</t>
  </si>
  <si>
    <t>50% failure reported by partner for real time offers validation.</t>
  </si>
  <si>
    <t>DTH Activation Journey, DTH Change Order Journey</t>
  </si>
  <si>
    <t xml:space="preserve">INC17119459 </t>
  </si>
  <si>
    <t>Black with DTH activation/change orders were impacted.</t>
  </si>
  <si>
    <t>In this issue, Black with DTH change/activation orders were getting stuck on CU33 with the error ERR_CREATE_FX_PRODUCTS. Further investigation revealed that a configuration change was performed at OE end as part of their regular BAU at 20:00 hrs, where AIR/DTH/PAN22761 ID was implemented based on business requirements. Team expected the change to reflect after midnight post cache clearance, but it started reflecting earlier than planned, causing the orders to get stuck. To resolve this issue, OE team removed the implemented ID and repushed the impacted orders, after which the stuck orders were processed successfully and the issue was resolved.</t>
  </si>
  <si>
    <t xml:space="preserve">     INC17118644	
INC17118905</t>
  </si>
  <si>
    <t>1)Pendency observed on milestone VECTOR_UPDATE_ERROR (749.0)||Pendency observed on milestone VECTOR_UPDATE_ERROR (749.0)noname-security-sensor
Current Value : 355.0
Alert time:2025-12-22 20:03 Hrs
Event NO:INC17118575
2)Domain:DTH Process:CreateOrder_V5.createOrder percent is greater than 5 in 20 min||Domain:DTH Process:CreateOrder_V5.createOrder percent is greater than 5 in 20 min
PROCESS : CreateOrder_V5.createOrder
Alert time:2025-12-22 20:23 Hrs
Event NO:INC17117441</t>
  </si>
  <si>
    <t>12/22/2025  8:03:00 PM
2025-12-22 20:23</t>
  </si>
  <si>
    <t>12/22/2025  8:11:00 PM
2025-12-22 21:03</t>
  </si>
  <si>
    <t>691 Change Order and 140 Activation were stuck.</t>
  </si>
  <si>
    <t>Black Customer Experience Journey (Call Center), Broadband Customer Experience Journey (Call Center), DTH Customer Experience Journey (Call Center), Postpaid Customer Experience Journey (Call Center), Prepaid Customer Experience Journey (Call Center), IPTV Customer Experience Journey (Call Center)</t>
  </si>
  <si>
    <t>INC17115503</t>
  </si>
  <si>
    <t>CC Advisors were unable to fetch current plan details intermittently across all LOBs and unable to unbundle Black Orders in Service Portal.</t>
  </si>
  <si>
    <t>In this issue, it was identified that Service Portal was experiencing latency due to misbehaving PODs, which resulted in intermittent issues for CC advisors while fetching current plan details. During this window, Black unbundling was also intermittently impacted. Service Portal Dev team performed a canary PODs restart to fix latency issue. Post this action, both issues got resolved.</t>
  </si>
  <si>
    <t>Dip in Service Portal Success Hits: (D vs D-5: 436 vs 1147) is 61%.</t>
  </si>
  <si>
    <t>INC17144591</t>
  </si>
  <si>
    <t>FWA Activation/ Installation Orders were impacted.</t>
  </si>
  <si>
    <t xml:space="preserve">In this issue, Field Engineers were unable to submit captured image on site due to which FWA activation/installation orders are impacted. Upon investigation, it was identified that it is due a config change (ARW-233624) deployed at NovaWorks end. For this, the change was rolled back by NovaWorks end, post which the issue got resolved. </t>
  </si>
  <si>
    <t>approximately 160 orders</t>
  </si>
  <si>
    <t>ARW-233624</t>
  </si>
  <si>
    <t>Nova IQ SMS Journey, Nova IQ Voice Journey</t>
  </si>
  <si>
    <t>Nova IQ_SMS, Nova IQ_Voice</t>
  </si>
  <si>
    <t>INC17127129</t>
  </si>
  <si>
    <t xml:space="preserve">NovaTel_IQ Voice and SMS were impacted   </t>
  </si>
  <si>
    <t>In this issue, Nova IQ team faced a connectivity issue on N1, due to which both Voice and SMS services were impacted. Further investigation revealed that an MPLS failover activity(CHG0211684) at the network end caused the connectivity disruption. As an immediate corrective action, the Network team rolled back the MPLS activity. Additionally, as a mitigation step, Nova IQ team shifted their traffic to N2, post which the traffic flow started normally. Further, the servers which were not accessible to the Nova IQ team on N1 were rebooted by the Unix team, after which the servers became accessible and services were restored.</t>
  </si>
  <si>
    <t>PRB0044605</t>
  </si>
  <si>
    <t>INC17120596
INC17120595
INC17120608
INC17120618</t>
  </si>
  <si>
    <t>*NOC Proactive Alert Status*    
Incident Category: SDN
Application:NovaTel_IQ Voice, NovaTel_IQ SMS, 
Impacted IP:10.1.XX.XX ,172.45.255.78,172.49.3.166
Active Alert: Yes
Direct :
1)Device Cisco 800M with 4-Port LAN ISR named HDFC-BAL-NOIDA62-DC-Pri-CKT-14369908 (IP: 172.45.255.78) has gone down
Alert time:2025-12-23 23:49 Hrs
Event NO: INC17120596
2)Device Cisco 800M with 4-Port LAN ISR named HDFC-BAL-NOIDA62-DC-Sec-CKT-14691429 (IP: 172.49.3.166) has gone down
Alert time:2025-12-22 23:49 Hrs
Event NO: INC17120595 
Symptom:
1)Multiple ping timeout alert 10.1.XX.XX 
Alert time:2025-12-22 23:51 Hrs
Event NO: INC17120608,INC17120618,INC17120686
2)Hostname:IQ SMS MDR severity
HDFC Traffic is less than 100 Delivered mssgs in last minutes
Alert time:2025-12-23 23:51 Hrs
Event NO: INC17120618</t>
  </si>
  <si>
    <t xml:space="preserve">
2025-12-22 23:49
2025-12-22 23:49
2025-12-22 23:51
2025-12-22 23:52</t>
  </si>
  <si>
    <t xml:space="preserve">
2025-12-23 00:41
2025-12-23 00:41
2025-12-23 01:27
2025-12-23 00:20</t>
  </si>
  <si>
    <t>100% down for NovaTel_IQ Voice &amp; SMS</t>
  </si>
  <si>
    <t>CHG0211684</t>
  </si>
  <si>
    <t>Nova App Experience Journey, Black Customer Experience Journey (Call Center), Broadband Customer Experience Journey (Call Center), DTH Customer Experience Journey (Call Center), IPTV Customer Experience Journey (Call Center), Postpaid Customer Experience Journey (Call Center), Prepaid Customer Experience Journey (Call Center), Nova IQ SMS Journey, Nova IQ Voice Journey, Analytics Customer Experience Journey</t>
  </si>
  <si>
    <t>Nova IQ_SMS, Nova IQ_Voice, UCM, Nova App, Service Portal, DARTS, Selfcare_B2C, SpeechX</t>
  </si>
  <si>
    <t>INC17123435</t>
  </si>
  <si>
    <t>Multiple application Hosted on Phase 2 DC were facing service distruption as they were not able to access their server.</t>
  </si>
  <si>
    <t>In this issue, multiple applications hosted on N2 were impacted as users were unable to log in to multiple servers. To restore the services, Storage team performed a bounce of the FC lif(FC Logical Interface). Post this action, Unix team observed I/O errors on the servers, due to which some application servers were not coming up. Further to mitigate the issue, Unix team initiated reboots and manually brought up all the impacted servers at their end. Post this action, all application servers became accessible and services were restored successfully for all applications.</t>
  </si>
  <si>
    <t>Analytics, Digital Experience B2C, Nova IQ</t>
  </si>
  <si>
    <t xml:space="preserve">
INC17119973
INC17119964
INC17119965
INC17119950
INC17121009
INC17121207
INC17121217
INC17121207</t>
  </si>
  <si>
    <t>*NOC Proactive Alert Status*    
Incident Category:LW
Application:NovaIQ_Voice, NovaIQ_SMS., UCM, NovaTel_App, Aerospike, Service Portal, Darts, Selfcare_B2C, SpeechX.
Impacted IP: 10.241.XX.XX,10.242.XX.XX
Active Alert: Yes
Direct :
1)Multiple Port Utilization for 
  N2_H8_CZC1443U8A_SW1.F_PORT.216., F-Port 7/24, Condition=ALL_TARGET_PORTS(LR/min&gt;5), Current value:LR,1,6, RuleName=defALL_TARGET_PORTSLR_5, Dashboard category=Port Health
N2_H9_CZC1393SGC_SW2.F_PORT.24., F-Port 3/24, Condition=ALL_TARGET_PORTS(LR/min&gt;5), Current value:LR,1,6, RuleName=defALL_TARGET_PORTSLR_5, Dashboard category=Port Health
Alert time:2025-12-22 22:37 Hrs
Event NO: INC17119973, INC17119964,INC17119965,INC17119950
Symptom :
1)Multiple Datastore has one or more hosts that have lost redundant paths to a storage device on multiple Host N4-VI2-PROD-CL18-NETAPP-DS04,N4-VI2-PROD-CL18-NETAPP-DS02,N4-VI2-PROD-CL18-NETAPP-DS03,N4-VI2-PROD-CL18-NETAPP-DS01
Alert time:2025-12-22 23:57 Hrs
Event NO:INC17121009, INC17121011, INC17121018, INC17121024, INC17121017
2)UCM_kafka_monitoring severity
Port 9092 is down on 10.241.49.27 
Alert time:2025-12-23 00:20 Hrs
Event NO: INC17121207, INC17121218
3)sp_multitenant_api_failure_percent||High Failure in last 10M ** Total Count : 285 ** Failure Count : 101 ** Failure % : 35.44
Alert time:2025-12-23 00:20 Hrs
Event NO:INC17121217,INC17121276,INC17121278
4)Multiple aerospike_namespace_stop_writes over Node10.241.89.30:3000 on cerebro_user_profile
Host Name : growth-C1_Aerospike_10.241.89.30
Current Value : 1.0
Alert time:2025-12-23 00:22 Hrs
Event NO:INC17121207</t>
  </si>
  <si>
    <t xml:space="preserve">
22-12-2025 22:37   
22-12-2025 22:37   
22-12-2025 22:37   
22-12-2025 22:36   
2025-12-23 00:11
2025-12-23 00:20
2025-12-23 00:20
2025-12-23 00:20</t>
  </si>
  <si>
    <t xml:space="preserve">23-12-2025 13:22
   open
   open
23-12-2025 13:31
2025-12-23 01:28
2025-12-23 00:35
2025-12-23 00:40
2025-12-23 00:35
</t>
  </si>
  <si>
    <t>NovaTel_IQ Voice: Dip in call back functionality.
NovaTel_IQ SMS: 
Darts: HMBD FX,BTFLY_CRM ,DTH Vector,RA,FMS,OFILL ,ONDR processes were impacted.
UCM: Data loading in Oracle DBA were impacted.
Seflcare_B2C and Thanks App success dip: 2916524(D vs D-3: 1954419 vs 4870943)is 59% dip.
Service Portal success hit: 4127(D vs D-7: 2032 vs 6159) is 67 dip.</t>
  </si>
  <si>
    <t>INC17146827</t>
  </si>
  <si>
    <t>CC advisors are unable to raise shifting SR for broadband LOB intermittently.</t>
  </si>
  <si>
    <t>In this issue, it was reported that CC advisors were unable to raise shifting SRs intermittently for the Broadband LOB. During the investigation, it was observed that everything was working fine until yesterday, when some changes were made for MDU. CE team also confirmed that the issue was related to the Triplet. However, To fix this issue, CE team worked along with the HB Siebel team to make the necessary changes in the Triplet. Post these changes issue was successfully resolved.</t>
  </si>
  <si>
    <t>INC17128445</t>
  </si>
  <si>
    <t>Symptom: 
1) SP_MT_RULE_FAILURE
RULE_NAME : MDU_Customer Profile and Device Info
Alert time: 2025-12-23 12:49 (fluctuating)
Event NO: INC17128445</t>
  </si>
  <si>
    <t xml:space="preserve">Success Dip (D vs D-7): 3527 (2387 vs 5914) is 56%. </t>
  </si>
  <si>
    <t>CC advisors were unable to raise Same Premise shifting SR for FWA orders.</t>
  </si>
  <si>
    <t>In this, issue retriggered for Broadband LOB as CC Advisors have reported difficulties in raising shifting SRs for the FWA orders. Upon investigation, it was observed that the functionality had been working as expected until new triplets were added for MDU Asset. CE team confirmed that the problem was related to the Triplet configuration, for which HB_CRM deployed configuration changes, post which sync and refresh was done at Case end, post which SR requests were not landing at Case end from Service Portal with 'TroubleTicket' API returning error '404'. However, the requests started landing successfully post CE team synced the same triplet on Service Portal frontend. As of now, SRs are being created as expected and issue stands resolved.</t>
  </si>
  <si>
    <t>Alert104968813
INC17139984
INC17140177</t>
  </si>
  <si>
    <t>Symptom: 
1)SRListingUnable to serve your requestCase_N_Interaction_Platform
Current Value : 174.0
Zabbix Alert ID  : 15142823293
Alert time : 2025-12-24 10:27
Event NO: Alert104968813
2)RulesV3Failure DFF meta details not foundDTH
Current Value : 31.0
COUNT : 21
Alert time : 2025-12-24 10:45
Event NO: INC17139984
3)CaseMgmtAPIV2Failure||Got status code [504]
Current Value : 20.0
COUNT: 8
Alert time : 2025-12-24 11:03
Event NO:INC17140177</t>
  </si>
  <si>
    <t>2025-12-24 10:27:00
2025-12-24 10:45:10
2025-12-24 11:03:10</t>
  </si>
  <si>
    <t>2025-12-24 10:30:10
2025-12-24 12:15:10
2025-12-24 12:17:10</t>
  </si>
  <si>
    <t>Dip in same Premise FWA Shifting SR creation success hits (D vs D-7): 3793(16 vs 3809) is 99.5%.</t>
  </si>
  <si>
    <t>INC17144910</t>
  </si>
  <si>
    <t>Users were not able to activate subscription in XSafe application.</t>
  </si>
  <si>
    <t>In this issue, it was identified that issue occurred following a data migration activity from FX3 to FX6 at FX end. As a result, when users attempt ID renewal, the status was not updated and leading to cloud activation failure. This prevents the XSafe application from functioning properly and blocks users from successfully activating their ID while renewing their subscription. To mitigate the issue, Accenture DBA team created an alias for the CU47 table at FX end. In addition, ESB team completed the CU47 mapping and updated the integration pointing from FX3 API to FX6 API. After these changes, ESB team restarted both HA and primary services, followed by a manual restart of the servers to ensure stability, post which issue got resolved.</t>
  </si>
  <si>
    <t>200 users were impacted.</t>
  </si>
  <si>
    <t>B2B_eCAF, EV Portal</t>
  </si>
  <si>
    <t>INC17153192</t>
  </si>
  <si>
    <t>B2B broadband acquisition order were getting delayed on EV portal.</t>
  </si>
  <si>
    <t>In this issue, EV team was observing timeout error from storage end, which prevented picture uploads during the validation of B2B broadband acquisition orders and caused delays on the EV portal. To resolve the issue Storage team implemented a policy on S3 bucket for new orders. As of now issue is mitigated as there is no live traffic. And sanity is done from EV end as well.</t>
  </si>
  <si>
    <t>50+ ECAF B2B orders got stuck</t>
  </si>
  <si>
    <t>INC17146851</t>
  </si>
  <si>
    <t>CC Advisors were unable to raise SR in Service Portal for all LOBs.</t>
  </si>
  <si>
    <t xml:space="preserve"> In this issue, CC advisors were observing the error "DFF not available" while raising SR in Service Portal. Upon investigation, it was confirmed that these errors were being observed from Case end. To resolve this, Case team took refresh of microservice (Rules framework), post which errors reduced and issue got resolved.</t>
  </si>
  <si>
    <t>INC17146181, INC17146187</t>
  </si>
  <si>
    <t>Symptom:
1) Host Name : 401_StatusCode_Gloo_API_Platform_CS
AUTHORITY : casemgmt.india.novatel.internal
Alert Start Time: 24/12/2025 20:31 Hrs
Event NO: INC17146181, INC17146187</t>
  </si>
  <si>
    <t>Success Dip in SR creation : 429 (D: 19 Vs D-7: 448) is 95%.</t>
  </si>
  <si>
    <t>INC17165309</t>
  </si>
  <si>
    <t>In this issue, Common Cart team identified that lead flow for DTH/Black were impacted. To mitigate the issue, Common Cart team restarted the Rules Engine API for the targeting module, which resolved the problem.</t>
  </si>
  <si>
    <t>Monitoring, Atlas</t>
  </si>
  <si>
    <t>INC17163669</t>
  </si>
  <si>
    <t>Application monitoring was partially impacted in NOC</t>
  </si>
  <si>
    <t>In this issue, multiple servers in N2 were impacted and got into hung state due to which application monitoring got partially impacted. Upon investigation, storage team confirmed that 10-12 LUN went offline due to resource crunch because of which issue occurred. To resolve the storage team made the LUNs online post which the servers Stabilized and issue got resolved.</t>
  </si>
  <si>
    <t>AIOps</t>
  </si>
  <si>
    <t>INC17161330
INC17162356</t>
  </si>
  <si>
    <t>Direct:
1) Product SN =1-80-000011 : ProductTrapData= wafl.vol.full:Insufficient space on volume CINDER_SVM2_VOL2@vserver:df164aad-de24-11ef-a0f1-d039eac183c3 to perform operation. 312KB was requested but only 288KB was available
Alert Start Time: 26/12/2025 09:42 Hrs
Event No: INC17161330
Symptom:
1) Multiple Zabbix agent is not available alerts
IP- 10.245.XXX.XXX
alert start Time: 26/12/2025 11:11 Hrs
Event No: INC17162356, INC17162353, INC17162478, INC17162488</t>
  </si>
  <si>
    <t>12/26/2025 09:42
12/26/2025 11:11</t>
  </si>
  <si>
    <t>Open
12/26/2025 11:31</t>
  </si>
  <si>
    <t xml:space="preserve"> Monitoring for multiple application was impacted.</t>
  </si>
  <si>
    <t>eCAF_eDSL, eCOM</t>
  </si>
  <si>
    <t>INC17165480</t>
  </si>
  <si>
    <t>Broadband Activation orders were stuck at PDF_GENERATION for Delhi Circle.</t>
  </si>
  <si>
    <t xml:space="preserve">In this issue, eCOM team was observing errors on NMS RESERVE API for Delhi circle. Upon investigation, it was identified that an inventory crunch was observed for Delhi circle leading to orders getting stuck at PDF_Generation. For this, inventory was uploaded by MS team, post which orders started clearing and issue got resolved. </t>
  </si>
  <si>
    <t>309 orders</t>
  </si>
  <si>
    <t>eCAF_eDSL , eCOM</t>
  </si>
  <si>
    <t>Broadband activation orders were stuck at NMS_Search for Delhi Circle.</t>
  </si>
  <si>
    <t xml:space="preserve">The issue reoccurred where Broadband activation orders were getting stuck. NMS team identified that, the inventory which was uploaded earlier by MS (Ericsson) team for Delhi Circle, was found corrupted. However, as per COM team, orders were getting cleared in retrials. To resolve this, inventory was re-uploaded by MS team, post which orders started clearing and issue got resolved. </t>
  </si>
  <si>
    <t>109 Orders</t>
  </si>
  <si>
    <t>APB_Load Cash, APB_eCOM</t>
  </si>
  <si>
    <t>INC0652831</t>
  </si>
  <si>
    <t>High Response time was observed for Apb-Load cash and Apb-Ecom due to which transaction were impacted with the error code (ORA-28000: The account is locked.)</t>
  </si>
  <si>
    <t>In this issue,(NFB-Load Cash and NFB-Ecom) experienced high response times, which impacted transactions with the Error Code (ORA-28000: The account is locked). During troubleshooting, it was identified that the database user LOADCASH had been intentionally locked by the NFB-DBA team, based on an approved request from the IT Governance team Under UAR Process based on service request (RITM0044324) Once the DBA team unlocked the LOADCASH DB user, system performance began to improve, and the issue was resolved.</t>
  </si>
  <si>
    <t>or NFB-Load cash (api=/v1/load-cash/payment/initiate):- Success transactions dropped by 161 transactions (100%) from 161 (D-1) to 0 (D).
For NFB-ECOM (api=LoadCashInitiate):- Success transactions dropped by 175 transactions (100%) from 175 (D-1) to 0 (D).</t>
  </si>
  <si>
    <t>Black Activation Journey, Black Payment Posting Journey, Broadband Activation Journey, Broadband Payment Posting Journey, DTH Activation Journey, Postpaid Activation Journey, Postpaid Payment Posting Journey</t>
  </si>
  <si>
    <t>DCAP, BSL, BTFLY_ATOM, HB_ATOM, DTH_OE</t>
  </si>
  <si>
    <t>INC17184677</t>
  </si>
  <si>
    <t>Delay in Billing account creation for Broadband, Postpaid and DTH LOBs.</t>
  </si>
  <si>
    <t>In this issue, a worldwide Java bug regarding Date format entry led to impact on new order Activation for multiple LOBs as these order accounts were not created at Billing end. To resolve this BSL team deployed some config level changes at their end, post which the date format bug stands mitigated and the issue stands resolved.</t>
  </si>
  <si>
    <t>INC17182888
INC17184152 
INC17184419</t>
  </si>
  <si>
    <t>Symptom:
1)Hostname:hb_atom_taskwise_ATOM_tsk_Inprogress
Severity : P3
Current Value : 205.0
Alert time -  2025.12.28 07:35 Hrs
Event no - INC17182888
2)High ADVANCE_PAYMENT_FAILURE
Host Name : DCAP_NCA_JOURNEY_FAILURE_ALERT
Current Value : 109.0
Alert time - 2025.12.28 11:24 Hrs
Event no - INC17184152 
3)Atom_task_level_pendency
Host Name :BTFLY_ATOM_Atom_task_level_pendency
Current Value : 3792
Alert time - 2025.12.28 12:00 Hrs
Event no - INC17184419</t>
  </si>
  <si>
    <t>2025-12-28 07:35
2025-12-28 11:24
2025-12-28 12:00</t>
  </si>
  <si>
    <t>Open
2025-12-28 12:44
2025-12-28 13:00</t>
  </si>
  <si>
    <t>DTH orders: 1500 (Approx) Postpaid orders: 1500 (Approx.) Broadband Orders: 700 (Approx.)</t>
  </si>
  <si>
    <t>INC17186478</t>
  </si>
  <si>
    <t>Recharges (DTH,Prepaid) and payments for all lob’s via Nova App are delayed.</t>
  </si>
  <si>
    <t>In this issue, DPS team observed a service lag on kafka, Payment QS service leading to delays in recharges and payments via NovaTel app. To resolve this, DPS team took a refresh of Payment QS service along with the OCP pods for both N1 and N2, after which the issue was resolved for all cases.</t>
  </si>
  <si>
    <t>INC17184814
INC17184914</t>
  </si>
  <si>
    <t>Symptom:
1)Host Name : DPS_Payment_Options_Service 
Severity : P3
Current Value : 676
Alert time - 2025.12.28 12:49 Hrs
Event no - INC17184814
2)Surge in Prepaid Posting Delay
Host Name : DPS_Anomaly
Alert time - 2025.12.28 13:00 Hrs
Event no - INC17184914</t>
  </si>
  <si>
    <t>2025.12.28 12:49
2025.12.28 13:00</t>
  </si>
  <si>
    <t>2025-12-28 13:39
2025-12-28 13:09</t>
  </si>
  <si>
    <t>INC17211346</t>
  </si>
  <si>
    <t>M2M new activation orders were stuck at BTFLY_ATOM for CU36.</t>
  </si>
  <si>
    <t>In this issue, BTFLY_ATOM team reported that they were facing timeout error that was causing new M2M registration orders to process slowly for CU36. Further, It was identified that a similar issue had occurred previously and Amdocs DBA team resolved it by performing new plan profiling that enforced a full table scan. However, that execution plan resulted in an increased system load average. Therefore, to mitigate the current issue, Amdocs DBA team reverted the query to the old profile plan.</t>
  </si>
  <si>
    <t>TG Alert
INC17210831, Alert105178412. , Alert105178601
INC17210904
INC17210878
INC17210984</t>
  </si>
  <si>
    <t>Direct :
1)Oracle DB Instance- Disaster^Oracle- Blocked Sessions High on PDK6CU36_1 
Alert time - 2025.12.30 18:55Hrs
Event No - TG Alert
Symptom : 
1)High CPU utilization | Host Name : 10.13.63.119 | Current Value : 100 % | name : CU36
Alert time - 2025.12.30 18:57Hrs
Event NO - INC17210831, Alert105178412. , Alert105178601
2)Load average is too high | 10.13.63.119 | Current Value : 581.85
Alert time - 2025-12-30 19:06Hrs
Event No - INC17210904
3)Multiple Service impacted -
Messaging service
[m2mservicecreationmobilitybulk] - MobilityServiceCreationMessageListener
Web request service
[jmw-b*b] - org.springframework.web.context.WebApplicationContext (/fx_rest)
Web request service
/Common/PROD_RD24_FX_10.14.50.225_443 on port 443
Alert time - 2025.12.30 19:01Hrs
Event No - INC17210878
4)BTFLY_ATOM_Atom_order_pendency | M2M Registration | Current Value : 3617.0
Alert time - 2025.12.30 19:16Hrs
Event No- INC17210984</t>
  </si>
  <si>
    <t>12/30/2025 18:55
12/30/2025 18:57
12/30/2025 19:01
12/30/2025 19:06
12/30/2025 19:16</t>
  </si>
  <si>
    <t>12/30/2025 21:08
12/30/2025 21:07
12/30/2025 open
12/30/2025 open
12/30/2025 19:37</t>
  </si>
  <si>
    <t>4300 orders were stuck.</t>
  </si>
  <si>
    <t xml:space="preserve">INC17217708 </t>
  </si>
  <si>
    <t>In this issue, DARTS team faced SFTP connection error while connecting 10.5.28.12 from 10.5.9.81, leading to an impact on FTA report processing. However, connection established automatically without any technical action taken by any team. As of now, issue stands resolved.</t>
  </si>
  <si>
    <t xml:space="preserve">PAN India FTA Reports impacted. </t>
  </si>
  <si>
    <t>INC17220266</t>
  </si>
  <si>
    <t>SMS delivery reporting was impacted.</t>
  </si>
  <si>
    <t>In this issue, Nova IQ_SMS team was experiencing high latency on N1 DB(10.224.46.74,10.224.46.75) due to which SMS delivery reporting was impacted for multiple customers. Initially to mitigate, NovaTel_IQ team Stopped and released the traffic slowly but no improvement observed. However, the issue resolved without any technical intervention.</t>
  </si>
  <si>
    <t>100% SMS delivery reporting Impacted.</t>
  </si>
  <si>
    <t>Broadband Customer Experience Journey (Call Center), Postpaid Customer Experience Journey (Call Center)</t>
  </si>
  <si>
    <t>INC17220144</t>
  </si>
  <si>
    <t xml:space="preserve"> CC Advisors were unable to view open and closed SR details in Service Portal.</t>
  </si>
  <si>
    <t>In this issue, it was identified that the Selfcare_B2C team was experiencing high response times (RT) on the Listing API(https://casemgmt.india.NovaTel.itm/v3/troubleticket) from the Case end, resulting in SR details not being visible to CC advisors on the Service Portal. Further investigation revealed that the error occurred due to a pods connection issue. To resolve this, the Case team performed a service refresh on the impacted API, after which the errors subsided and the issue was resolved.</t>
  </si>
  <si>
    <t>INC17217889
INC17218047
INC17218303</t>
  </si>
  <si>
    <t>Symptom:
1) Hostname: SRListing severity
ERROR_MESSAGE : Unable to serve your request. Please try later
Alert Start Time: 31/12/2025 11:42 Hrs
Event No: INC17217889
2) Status Code[503] Count Greater than [500] in Last 10 Minutes||
Host Name : 5XX_StatusCode_Gloo_API_CS
AUTHORITY : casemgmt.india.novatel.internal
Alert Start Time: 31/12/2025 11:51 Hrs
Event No: INC17218047
3) DT Multiple Alers
Web service
[channels-tracking] - CXTrackingController
[sp-dumbledore] - AlertsRecommendationsController
[sp-mt-dt-postpaid] - s2sUserScenarioController
/Common/PROD_Gloo_API_Platform_10.5.220.223_443 on port 443
[myNovaTelapp-reminder] - NbaController
Alert Start Time: 31/12/2025 12:14 Hrs
Event No: INC17218303</t>
  </si>
  <si>
    <t>2025-12-31 11:42
2025-12-31 11:51
2025-12-31 12:14</t>
  </si>
  <si>
    <t>2025-12-31 14:12
2025-12-31 12:21
2025-12-31 14:42</t>
  </si>
  <si>
    <t>Service Portal Success Hits Dip- (D Vs D-5: 1655 Vs 1632= 32) is no Dip
Selfcare_B2C Success hits Dip- (D Vs D-7: 620475 vs 1136248=515773 ) is 45% dip</t>
  </si>
  <si>
    <t>INC17222427</t>
  </si>
  <si>
    <t>Retail recharges were impacted for LAPU_GT (East) Hub5.</t>
  </si>
  <si>
    <t>In this issue, it was identified that both DB nodes for LAPU_GT (Hub 5) became temporarily inaccessible, resulting in an impact on retail recharges. While teams were troubleshooting, issue got auto-resolved without any manual intervention. Post resolution, DBA team proactively identified and terminated inactive queries on the database. Issue stands resolved and services are operating as expected.</t>
  </si>
  <si>
    <t>Primary Root Cause: 
Leg 01 – Specification 
Q1. Why was Prepaid Retail Recharge Journey impacted for LAPU Hub-5 (East Hub)? 
A1. Because both database servers (10.241.162.11 and 10.241.162.12) supporting the system became temporarily inaccessible from the application. During this period, application was unable to establish stable database connections, resulting in connection timeouts and delayed request responses. Consequently, recharge requests could not be processed within standard timelines, leading to failed transactions. This loss of database accessibility disrupted the end-to-end prepaid retail recharge flow and directly caused service disruption for LAPU Hub-5 platform. 
Q2. Why did both database servers become temporarily inaccessible? 
A2. Because of persistent GC buffer wait conditions which significantly degraded overall database responsiveness. This condition led to prolonged database request processing, delayed handling of new login sessions and eventually caused database login failures. As a result, even though the database instances were technically up, they were unable to accept and process new connections in a timely manner, making them effectively inaccessible to the application layer. 
Q3. Why did GC buffer wait conditions occur? 
A3. Because of sustained high memory utilization on both database servers, with memory consumption consistently remaining above 90%. This resulted in OS-level memory pressure, high CPU saturation and increased swap usage, which in turn increased memory access latency and slowed inter-node buffer transfers in the production environment, leading to elevated GC buffer wait events. 
Q4. Why was memory utilization consistently high (above 90%) and swap usage increased? 
A4. Memory utilization remained consistently high (above 90%) after 19th December 2025 because of increased active and inactive database sessions, sustained OS-level memory pressure and root volume group (VG) filesystem contention. These factors collectively led to excessive memory consumption and increased swap usage, which degraded normal database operations. Additionally, root filesystem contention partially impacted diagnostic tooling (Oracle TFA and OSWatcher), preventing complete log generation during incident window. 
Q5. Why did abnormal memory behavior and filesystem contention start after 19th December 2025? 
A5. Because of an Oracle PSU patch (19.29 RU) was applied on 19th December 2025 to both LAPU Hub-5 (East Hub) database servers. Although the same patch was deployed across other LAPU hubs without similar impact, only Hub-5 exhibited sustained memory saturation, indicating a hub-specific interaction rather than a generic patch defect. This interaction is suspected to involve one or more of the following factors:
o	OS-level configuration differences 
o	Firmware and NIC driver versions 
o	Database parameters 
Despite joint analysis with Oracle and Red Hat support teams, the exact trigger responsible for the abnormal post-patch memory behavior could not be conclusively identified.
Leg 02 – Detection 
Q1. Why was the issue not detected and addressed at an early stage despite sustained high memory utilization? 
A1. Because monitoring alerts for CPU and memory utilization were configured based on sudden thresholds breaches rather than trend-based conditions and auto-closed when temporary stabilization occurred. Although alerts cleared, memory utilization remained consistently high over a prolonged period. This masked sustained resource pressure, prevented manual review and delayed proactive investigation and corrective action. 
Q2. Why was detailed diagnosis difficult during the incident window? 
A2. Because Oracle diagnostic tools (TFA and OSWatcher) were impacted during peak system stress. High memory utilization and swap usage led to root volume group (VG) filesystem contention, which limited the ability of these tools to reliably write and collect logs. As a result, log data was incomplete during the incident window, delaying detailed analysis. 
Q3. Why was OS-level memory consumption data not available for analysis? 
A3. Because OS vendor’s monitoring solution captures average resource utilization at 10-minute intervals and retains only30 days of historical data, without maintaining process-level memory utilization metrics. As a result, granular identification of the exact memory-consuming process post-incident was not possible. 
Q4. Why was post-patch validation not effective in identifying abnormal behavior early? 
A4. Because validation did not include mandatory memory utilization trend analysis and proactive reboot for LAPU databases. As a result, abnormal memory behavior introduced after the patch remained undetected and unaddressed until it escalated into a service-impacting condition.
Leg 03 – Systemic Failure 
Q1. Why did similar issues occur multiple times in Hub-5 during December? 
A1. Because underlying systemic conditions—such as sustained high memory utilization, session buildup and system instability were not fully remediated after earlier incidents. Corrective actions taken were primarily restorative in nature (service restarts and interface resets) and focused on immediate service recovery rather than addressing root-level causes, including post-patch behavior, memory management and configuration validation. As a result, the degradation persisted and resurfaced multiple times. 
Q2. Why do these gaps exist in the current operating model? 
A2. These gaps exist due to insufficient governance rigor within the existing LAPU hypercare and post-patch operating model. While hypercare activities were in place, certain controls were not consistently enforced or validated, including mandatory post-patch reboots, sustained resource utilization monitoring, process-level OS analysis and hub-specific configuration and firmware checks. Additionally, memory utilization alerts were generated at the application layer but were not effectively correlated, tracked or acted upon as part of hypercare report validation. As a result, early warning signals of prolonged memory utilization were missed, delaying proactive detection and intervention.
Preventive Measures: 
•	Ensure alerts triggered at the application layer are reviewed and validated promptly. - Abhishek (LAPU) - (Open) 
•	Relocate Oracle TFA and OSWatcher logs to a dedicated filesystem as recommended by Oracle to avoid root VG contention during high system stress. – Gaurav Bansal / Lalatendu (Open) 
•	Assess the implementation of DT and AppDynamics agents for OS-level monitoring to achieve detailed visibility. – Iftikar (Open) 
•	Enforce mandatory OS/database reboot after PSU or patching activities to surface post-patch abnormal behavior early. - Gaurav Bansal (Open) 
•	Create a standard LAPU hypercare checklist to ensure that all early warning indicators are assessed and every IP address associated with the LAPU Hub database is identified. - Haris (Open) 
•	Ensure NIC firmware and system firmware versions are validated and kept up-to-date as part of routine governance. - Amit Bajpai (Open)</t>
  </si>
  <si>
    <t>PRB0044606</t>
  </si>
  <si>
    <t>p1
p3
p1
p1
p3</t>
  </si>
  <si>
    <t>INC17221842,INC17221843
INC17221846 , INC17221845,INC17221847INC17221849
INC17221838
INC17221882
INC17221863,INC17221861,INC17221867,INC17221865</t>
  </si>
  <si>
    <t>Direct
1)LAPU-Prepaid Retail Recharge Journey-Hub_5 High Number of Active Connections 100_Sev-1 10.241.162.11/12
Alert time : 2025-12-31 18:12 Hrs
Event NO : INC17221842,INC17221843
Symptom : 
1)Multiple High Failures in last 10minutes | Host Name : autofillNon200WebLayer
Alert time - 2025.12.31 18:13Hrs
Event NO -INC17221846 , INC17221845,INC17221847INC17221849
2)LAPU-Prepaid Retail Recharge Journey-EAST_LAPU_GT-Overall_Response_Time 1000ms_Sev-1
Alert time:2025-12-31 18:12:45 Hrs
Event NO: INC17221838
3)Digital_Payments-Prepaid Retail Recharge Journey-Overall Response Time greater than 700ms_Sev-1
Alert time - 2025-12-31 18:15 Hrs
Event No - INC17221882
4)Multiple Host Name : NO_DATA_GT_FIN | Current Value : 0.0
Alert time : 2025.12.31 18:15 Hrs
Event No: INC17221863,INC17221861,INC17221867,INC17221865</t>
  </si>
  <si>
    <t>12/31/2025 18:12 
12/31/2025 18:13 
12/31/2025 18:12 
12/31/2025 18:15
12/31/2025 18:15</t>
  </si>
  <si>
    <t>12/31/2025 18:25
12/31/2025 18:43
12/31/2025 18:24
12/31/2025 18:28
12/31/2025 20:15</t>
  </si>
  <si>
    <t>Impact for Hub 3 : (D vs D-7: 40826 vs 34890) is No Dip.
Impact for Hub 4 : (D vs D-7: 59204 vs 46436) is No Dip.
Impact for Hub 5 : (D vs D-7: 27129 vs 66751) is 59%.
Impact for Hub 6 : (D vs D-7: 38642 vs 33400) is No Dip.
Overall Success Dip: (D vs D-7: 165801 vs 181477) is 8%.</t>
  </si>
  <si>
    <t>APB_CKYC, APB_Payment_UPI</t>
  </si>
  <si>
    <t>INC0655472</t>
  </si>
  <si>
    <t xml:space="preserve">Account creation via CKYC through NFB-My Nova App is intermittently failing due to initial payment transaction errors. </t>
  </si>
  <si>
    <t>In this issue, The NFB-CKYC team observed intermittent 400 Bad Request errors on POST requests to the Razorpay Recurring API with the response "BAD_REQUEST_ERROR". During joint troubleshooting with NFB-UPI, Payments Hub, SBA, and Development teams, it was found that VAR utilization on 10.241.244.167 (Redis and Redis-Sentinel) exceeded 90%. After clearing these resources, conversion rates improved. Following the action, further improvement was observed, and the issue was resolved</t>
  </si>
  <si>
    <t>For NFB-CKYC Account Creation Comparison Time: 09:05 Hrs to 11:23 Hrs (D vs (D-7)=291-1119-828(74% drop in account creation)) (Source of reference-Kibana) For NFB-PAYMENTS-UPI: VPA validation was intermittently impacted causing customer experience to impact</t>
  </si>
  <si>
    <t>INC17227988</t>
  </si>
  <si>
    <t>INC17227860</t>
  </si>
  <si>
    <t>Symptom:
1)Status Code[503] Count Greater than [500] in Last 10 Minutes
Host Name : 5XX_StatusCode_Gloo_API_CS
AUTHORITY : casemgmt.india.novatel.internal
Alert time-2026-01-01  10:11 Hrs.
Event No-INC17227860,INC17227876</t>
  </si>
  <si>
    <t>SR Creation Success Dip: 540(D vs D-7: 78 vs 618) is 87% is Dip.</t>
  </si>
  <si>
    <t xml:space="preserve"> INC17242625</t>
  </si>
  <si>
    <t xml:space="preserve"> IPTV installation were impacted.</t>
  </si>
  <si>
    <t>In this issue, a sudden disruption was observed in IPTV installation. During investigation, it was identified that when field engineers scanned the QR code during installation, a call was made to SMS services where high load errors were observed. Further investigation revealed that the IPTV team had added an additional MongoDB node around 09:30 hrs, after which the errors started occurring. To restore the services, the IPTV team removed the extra node and took a refresh of SMS services. Post this action, the errors stopped and the issue was resolved successfully.</t>
  </si>
  <si>
    <t>INC17238036
INC17238221
Alert105259648
INC17238300
INC17238223</t>
  </si>
  <si>
    <t>Direct:
1)Service sms-service %xx count over 1m - 2.8689170541736284
Alert Start Time: 2026-01-02 09:33Hrs
Event No: INC17238036,INC17238179,INC17238106, INC17238300
Symptom:
1)Multiple Xstream Service package-layout-service had high p99latency over 5m - 9807.077521152527ms
Alert Start Time: 2026-01-02 09:35 Hrs
Event No: INC17238221,INC17238219
2)IPTV Journey Impacted||1, IPTV
SMSIPTV_API_ReponseTimes_HIGH
Current Value : 10.01
Alert Start Time: 2026-01-02 09:31Hrs
Event No:Alert105259648,Alert105259546
3)Multiple IPTV p99 sms-service
Sev: 1
Alert Start Time: 2026-01-02 09:41Hrs
Event No:INC17238300,INC17238256
4)Downstream Error||Count &gt; 0.5 for DTH
NovaTel_Works alerts for Broad Band Journey
INSTANCE: 10.248.40.65:9070
Alert Start Time: 2026-01-02 09:55Hrs
Event No: INC17238223</t>
  </si>
  <si>
    <t>1/02/2025 09:33
1/02/2025 09:34
1/02/2025 09:36
1/02/2025 09:41
1/02/2025 09:56</t>
  </si>
  <si>
    <t>1/02/2025 10:18
1/02/2025 10:09
1/02/2025 09:38
1/02/2025 10:16
1/02/2025 10:38</t>
  </si>
  <si>
    <t>236 installation orders impacted.</t>
  </si>
  <si>
    <t>INC17256563</t>
  </si>
  <si>
    <t>Postpaid Acquisition Dip: D VS D-7: 210 Vs 237= 20 is 8% dip
Prepaid Acquisition Dip: D VS D-7: 28895 vs 23675= 5220 is no dip
simswap Acquisition Dip: D VS D-7: 2109 vs 3846= 1737 is 45% Dip</t>
  </si>
  <si>
    <t>Device Nucleus, NovaWorks</t>
  </si>
  <si>
    <t>INC17253391</t>
  </si>
  <si>
    <t>Broadband installation (FTTH) was getting delayed due to error at ACS end.</t>
  </si>
  <si>
    <t>In this issue, ACS team confirmed that they were observing high CPE session on their application nodes due to which broadband installation got delayed. Multiple actions was done to mitigate the issue but no improvement observed. Further it was identified by FT RnD team that, firmware upgrade was done at CPE by operations team which lead to the issue. To resolve this, ACS team killed the download policy and profile and restarted their machines post which improvement observed.</t>
  </si>
  <si>
    <t xml:space="preserve">Primary root cause:
Specification Leg-01
Q1: Why there was an instance of service degradation in Broadband Installation/FR Journey ?
Ans: Service degradation occurred during Broadband provisioning because Field Engineers (FEs) encountered repeated errors while performing CPE configuration at customer premises through the NovaTel_Works application. These errors disrupted the Broadband Installation and (FR) journey.
Q2: Why FE’s were getting error at NovaTel_Works?
Ans: During investigation,  response time increased from downstream ACS application that further led to high failures observed in check configuration API for CPE Configuration. 
Q3: Why did the ACS experience high response time??
Ans: Multiple failures were observed in the ACSWebServiceService – setCPEParams web service running on the JBoss standalone FTACS environment. These failures resulted in repeated 500 Internal Server Errors, increasing both JBoss session duration and overall ACS session load.
Q4: Why did JBoss session time increase?
Ans: JBoss session time increased due to resource contention caused by:
•	A surge of concurrent ACS sessions
•	Delayed processing of CPE requests
•	Accumulation of pending CPE records, as ACS could not process incoming sessions at the required rate
This led to queuing of provisioning tasks and further degradation.
Q5: Why ACS session were piled up?
Ans: ACS team identified OPS Team performed the device profile change and firmware upgrade activityin night; which increased the CPE requests. However, this activity is standard practice,
•	ZYXEL_AOT5221ZY_R_2.24
•	Sercomm_AOT4221SR_R4.6
•	Nokia_AP_AAP321NK_R6.0
Q6: Why did the firmware upgrade activity cause such a large impact?
Ans: The root cause was the execution of bulk firmware upgrades and device profile changes tied to the 1BOOT event–based, During this process, CPE devices powered off and automatically updated their versions, causing a massive post-upgrade CPE reconnection surge. This resulted in:
•	Unpredictable and simultaneous CPE reboots
•	A sudden spike in ACS setCPEParams requests
•	Exhaustion of ACS and JBoss resources
Detection Leg- 02 
Q1: Why this issue was detected proactively before it turned out to be an outage?
Ans: The issue was not detected proactively because there is no possibility of direct alerts for Firmware upgrade at FTE (OEM), load simulations, or phased rollout controls were not in place; as a result, the surge from the bulk firmware upgrade only became visible after ACS and JBoss resources were overwhelmed.”
Q2: Why did this firmware upgrade cause an issue even though its a standard activity ?
Ans: Historically, firmware upgrades were executed using more managed scenarios like group update and device profile (with adequate condition);these approaches provide better control, sequencing, and monitoring., Although the plan was to continue with the recommended one, a human error resulted in the firmware upgrade being executed using 1BOOT, triggering the outage. Additionally, using the 1BOOT event for firmware upgrades is not recommended due to its unpredictable CPE and network scenario. 
Q3: Why the MTTR was higher for this incident?
Ans: Because, once the ACS team identified the firmware upgrade as the trigger:
•	Device profile changes were rolled back
•	ACS sessions were refreshed sequentially
•	
•	Given the presence of millions of CPEs, sequential processing of ACS sessions took time to release increased the MTTR 
Systemic leg-03
 Q1: Why system allowed the outage to happen?
Ans: The outage occurred due to systemic and process gaps, including:
•	Absence of enforced safeguards such as rate limiting, throttling, or automated load protection on ACS
•	No system-level enforcement of capacity checks, phased execution, or approval workflows for bulk firmware upgrades
•	Not recommendable practice of 1BOOT–based triggers for mass firmware activities
As a result, the ACS and JBoss services became resource-exhausted under peak load, leading to widespread request failures 
 Preventive Actions: 
•	Avoid performing simultaneous bulk firmware upgrades on multiple high-volume device profiles -Open Ajay Kataria
•	Check ACS capacity utilization before importing or editing large-scale profiles. Open Ajay Kataria
•	Implement phased or throttled upgrade execution to reduce risk. Open Ajay Kataria
•	Closely monitor CPE session counts, Track CPE success and failure ratios Monitor trends in pending upgrade tasks during bulk changes. Open Ajay Kataria
</t>
  </si>
  <si>
    <t>PRB0044607</t>
  </si>
  <si>
    <t>INC17250134
INC17250504
INC17250515</t>
  </si>
  <si>
    <t>Symptom:
Web request service
1)N1 - Default Web Site:80,443,8282 (/CSR) - IIS app pool csr
The current response time (6.19 s) exceeds the auto-detected baseline (150 ms) by 4,039 %
Alert time-2026-01-03 10:21 Hrs.
Event No-INC17250134
2)Web request serviceN1 - default-host - JBoss standalone FTACS Response time degradation 309k requests/min impacted The current response time (1.53 s) within the slowest 10% exceeds the auto-detected baseline (211 ms) by 624 %
Alert time-2026-01-03 11:01 Hrs.
Event No-INC17250504
3)Web service N1 - ACSWebServiceService - JBoss standalone FTACS Response time degradation 264 requests/min impacted The current response time (867 ms) exceeds the auto-detected baseline (202 ms) by 330 %
Alert time-2026-01-03 11:02 Hrs.
Event No-INC17250515</t>
  </si>
  <si>
    <t>1/3/2026 10:21
1/3/2026 11:01
1/3/2026 11:02</t>
  </si>
  <si>
    <t>1/3/2026 10:34
1/3/2026 14:36
Open</t>
  </si>
  <si>
    <t>1k orders impacted</t>
  </si>
  <si>
    <t>Prepaid, Postpaid and Simswap Acquisitions were impacted.</t>
  </si>
  <si>
    <t>The Issue was Resurfaced again wherein, eKYC via Face Authentication in eCAF, was intermittently impacted due to which acquisition journey for Prepaid, Postpaid, and SIM Swap was also affected. Further the issue was raised to UIDAI and corrective action has been taken from their end, post which issue stands resolved.</t>
  </si>
  <si>
    <t xml:space="preserve"> Prepaid Success Dip: No Dip (D vs D-7: 147280 vs 124717: -22563). No dip
SimSwap Success Dip: (D vs D-7: 17228 vs 31652: 14424 is 45.57%).
Postpaid Success Dip: No Dip (D vs D-7: 8000 vs 6810: -1190). No dip</t>
  </si>
  <si>
    <t>eCAF, eCAF_Sim Swap, Mitra</t>
  </si>
  <si>
    <t>INC17255771</t>
  </si>
  <si>
    <t>Prepaid MNP and SimSwap acquisition was impacted intermittently.</t>
  </si>
  <si>
    <t>In this issue, users reported that they were facing “No data found for IMSI” error while punching MNP orders. The issue was identified as originating from One_NMS end. To mitigate the issue, DBA team terminated a full table scan query on which multiple sessions were running on (10.241.162.101/102). Further investigation revealed high CPU utilization; therefore, DBA team implemented an optimal execution plan to improve query performance and reduce CPU usage, post which issue got resolved.</t>
  </si>
  <si>
    <t>Tg Alert
INC17254763
Alert105308329,Alert105308389</t>
  </si>
  <si>
    <t>Direct:
1) impacted infrastructure component
Oracle DB Instance
NMSCDB2
NMSCDB1
Average^Oracle- Active Connections Error on NMSCDB2
Average^Oracle- Active Connections Error on NMSCDB1
Alert time:2026-01-03 18:16 Hrs
Event NO:Tg Alert
Symptom:
1)Hostname:autofillNon200WebLayer_1 
Trigger: /mitra/wrr-app/v2/reversal/mitra/submit 
Alert time:2026-01-03 18:10 Hrs
Event NO:INC17254763
2)1 impacted infrastructure component
Host
10.241.162.102, 10.241.162.104, 10.241.162.105, 10.242.163.135, 10.5.53.38 - N2PLPDAONENMSDB02
CPU saturation
99.91 % CPU usage
Alert time:2026-01-03 18:36 Hrs
Event NO:Alert105308329,Alert105308389</t>
  </si>
  <si>
    <t>2026-01-03 18:16
2026-01-03 18:10
2026-01-03 18:36</t>
  </si>
  <si>
    <t>2026-01-03 18:30
2026-01-03 18:25:09
Open</t>
  </si>
  <si>
    <t>Prepaid acquisition dip: No dip (D vs D-7: 16203 vs 14145: 2058).
SimSwap acquisition dip: (D vs D-7: 1847 vs 3485: 1638 is 47%).</t>
  </si>
  <si>
    <t>Prepaid MNP and SimSwap acquisition were impacted.</t>
  </si>
  <si>
    <t xml:space="preserve">In this issue, it was reported that users were facing “No data found for IMSI” error while punching MNP and simswap orders. The issue was identified as originating from One_NMS end and further revealed that One_NMS db connections and CPU utilization were high. During the course of troubleshooting, the issue got auto restored. It was then identified that a particular query was causing the issues, for which best plan was already set. Application Team will work with dev and DB team to further optimise the query and also review the awr reports. </t>
  </si>
  <si>
    <t>Tg Alert
INC17273638,INC17273617
INC17273622</t>
  </si>
  <si>
    <t>Direct:
1)Oracle DB Instance 
Average^Oracle- Active Connections Error on NMSCDB2
Average^Oracle- Active Connections Error on NMSCDB1
Alert time:2026-01-05 14:19 Hrs
Event NO:Tg Alert
Symptom:
2)Domain:AADHAR Process:ValidateandAllocateSIM_V1_3.validateandAllocateSIM percent is greater than 5 in 20 min
Host Name : ESB_Failure_Percent_Process_wise
Current Value : 6.3
Alert time:2026-01-05 14:12 Hrs
Event NO:INC17273638,INC17273617
3)Hostname:ONENMS OCP-N2 POD MONITORING 
severity: Average 
Trigger: Pod CPU utilization is High 
Alert time:2026-01-05 14:12 Hrs
Event NO:INC17273622</t>
  </si>
  <si>
    <t>1/5/2026 14:20
1/5/2026 14:13
1/5/2026 14:12</t>
  </si>
  <si>
    <t>1/5/2026 14:29
1/5/2026 14:53
1/5/2026 14:22</t>
  </si>
  <si>
    <t>Prepaid Acquisition Dip: (D Vs D-7: 3614 vs 4486= 872) is 24% dip
SimSwap Acquisition Dip: (D Vs D-7: 520 vs 1571= 1051) is 67% dip</t>
  </si>
  <si>
    <t xml:space="preserve">INC17278044 </t>
  </si>
  <si>
    <t>In this issue, it was identified that an issue in the Tejas_NMS DB caused Broadband installation orders to get stuck at Nokia_OSS. To mitigate this issue Tejas_NMS team has taken restart of RAS servers post which pendency started clearing in repush and issue stands resolved.</t>
  </si>
  <si>
    <t>55 Orders</t>
  </si>
  <si>
    <t>INC17280961</t>
  </si>
  <si>
    <t>DARTS server 10.224.46.116 is not accessible due to which Fulfillment (Reconciliation) job can be impacted (No live business Impact).</t>
  </si>
  <si>
    <t>In this issue, it was reported that the DARTS server (10.224.46.116) was not accessible due to which Fulfillment (Reconciliation) job can be impacted. However, Mediation_IL and DARTS teams have confirmed that reconciliation process is not impacted, as the required data was available with the DARTS team to perform reconciliation. As a workaround, the Mediation_IL team created the required tables (sas_re_request_message and sas_re_task_parameter) on the local database and shared it with the DARTS team, post which the issue stands resolved, and the reconciliation jobs started running as expected.</t>
  </si>
  <si>
    <t>No live business impact as the data was already available with DARTS to perform Reconciliation.</t>
  </si>
  <si>
    <t>The issue resurfaced, Nokia_OSS was observing invalid response from Tejas OLT due to which Broadband orders were piled up at Nokia_OSS end and installation was impacted. Further Nokia team have shifted the traffic to Manesar but no improvement was observed so it was redirected back to CHN. To mitigate this issue NMS_Tejas team has taken restart of RAS server(10.109.155.168), post which pendency started clearing in repush and issue stands resolved.</t>
  </si>
  <si>
    <t>INC17284172 ,INC17283951
INC17283965,INC17283977</t>
  </si>
  <si>
    <t>Symptom:
1)Multiple:Average of Queue monitoring length in last 1 Hr
 NOKIA_queue_monitoring_length Elastic
 Current Value : 103.67
 Alert Start Time: 2026-01-02 11:15Hrs
 Event No:INC17284172 ,INC17283951
2)Multiple:Task 2 not received for FTTH broadband orders
 NovaTel_Works alerts for Broad Band Journey
 Current Value : 164.0
 Alert Start Time: 2026-01-02 11:16Hrs
 Event No:INC17283965,INC17283977</t>
  </si>
  <si>
    <t>1/6/2026 11:30
1/6/2026 11:16</t>
  </si>
  <si>
    <t>1/6/2026 12:14
1/6/2026 12:27</t>
  </si>
  <si>
    <t>250 Orders</t>
  </si>
  <si>
    <t>INC17287650</t>
  </si>
  <si>
    <t>Prepaid activation were getting delayed Pan India.</t>
  </si>
  <si>
    <t>In this issue, it was identified that due to Volte_ENUM connectivity issue, PACS success pendency increased across Pan India, resulting in delays in prepaid activations. During troubleshooting, Volte_ENUM connectivity was restored automatically, post which PACS pendency cleared through auto re-push and issue stands resolved. Further Mediation_IL team is coordinating with Volte_ENUM team and will share the root cause analysis via email.</t>
  </si>
  <si>
    <t>INC17287115,INC17287116
INC17287190,INC17287189
INC17287237</t>
  </si>
  <si>
    <t>Direct:
1)Multiple Telnet Connectivity Issue
Source Host Name : 10.96.2.118,10.5.207.196,10.92.202.80,10.5.132.72/73
Destination ip-10.3.213.146
Alert time- 2026.01.06 15:46 Hrs.
Event no-INC17287115,INC17287116
Symptom:
1)Multiple Ecaf_prepaid_milestone_pacs_success having high count|
Host Name : ECAF_PREPAID_MILESTONE_ORACLE
Current Value : 1604.0
Alert time-2026.01.06  15:55 Hrs.
Event no-INC17287190,INC17287189
3)Messaging service[ecaf-orionmobileapi-service-canary] - EndpointMessageListener
Failure rate increase
Alert time- 2026.01.06 15:55 Hrs.
Event no-INC17287237</t>
  </si>
  <si>
    <t>2026-01-06 15:55:25
2026-01-06 15:55:10
2026-01-06 15:46:30</t>
  </si>
  <si>
    <t>2026-01-06 16:30:00
2026-01-06 16:15:10
2026-01-06 16:26:25</t>
  </si>
  <si>
    <t>PACS_Success Pendency - 2041</t>
  </si>
  <si>
    <t>DTH Customer Experience Journey (Call Center)</t>
  </si>
  <si>
    <t>DTH_CRM</t>
  </si>
  <si>
    <t>INC17301410</t>
  </si>
  <si>
    <t>CC advisors were unable to login to DTH CRM Portal intermittently.</t>
  </si>
  <si>
    <t xml:space="preserve"> In this issue, My access DTH URL was inaccessible to the end users due to which CC advisors were unable to login DTH_CRM Portal intermittently . However, issue got resolved without any technical intervention.</t>
  </si>
  <si>
    <t>3 Users</t>
  </si>
  <si>
    <t>INC17219777</t>
  </si>
  <si>
    <t>In this issue, GIS VMDS DB got locked, due to which Broadband orders got up in queue. To fix this issue, GIS team manually unlocked the database. Once it was unlocked, pending orders started getting processed smoothly and issue got resolved.</t>
  </si>
  <si>
    <t>INC17299754,INC17299760
INC17299814
INC17299889,INC17299880</t>
  </si>
  <si>
    <t>Symptom:
1)Average of Queue monitoring length in last 1 Hr
 GIS_queue_monitoring_length Elastic
 IP :10.222.237.12/11
 Current Value : 183.0
 Alert Start Time: 2026-01-02 16:00Hrs
 Event No:INC17299754,INC17299760
2)16_17 Difference in AW and Nokia count in last 1AW
 Count: 1525 | Nokia Count : 1389 | Difference: 136 | Threshold: 100
 AW Nokia mismatch count
 Current Value : 136.0
 Alert Start Time: 2026-01-02 16:04Hrs
 Event No:INC17299814
3)Orders stuck at Tag change State - FTTH broadband orders
 NovaTel_Works alerts for Broad Band Journey
 Current Value : 243.0
 Alert Start Time: 2026-01-02 16:11Hrs
 Event No:INC17299889,INC17299880</t>
  </si>
  <si>
    <t xml:space="preserve">1/7/2026 16:00:10
1/7/2026 16:04:10
1/7/2026 16:11:10
</t>
  </si>
  <si>
    <t>1/7/2026 16:34:26
1/7/2026 20:47:04
1/7/2026 16:41:10</t>
  </si>
  <si>
    <t>Tag change (FTTH + MOP) - 279 orders were stuck.</t>
  </si>
  <si>
    <t xml:space="preserve">INC17301297 </t>
  </si>
  <si>
    <t xml:space="preserve">Broadband activation was impacted as Static IPs was not getting assigned. </t>
  </si>
  <si>
    <t xml:space="preserve">In this issue, it was identified that Nokia_OSS was receiving timeouts from NSG_NOC (BRAS) end, due to which static IPs were not being assigned, impacting broadband activations. NSG team suspected it to be due to a bulk. To mitigated this issue, NSG_NOC (BRAS) cleared the piled-up queue at their end. Post this, new orders started processing successfully. For old stuck cases, Nokia_OSS has initiated sequential repush of the orders and issue stands resolved.  </t>
  </si>
  <si>
    <t>80+ orders</t>
  </si>
  <si>
    <t>INC17315726</t>
  </si>
  <si>
    <t>Blocking &amp; Unblocking of commercial domain was impacted.</t>
  </si>
  <si>
    <t xml:space="preserve">In this issue, it was identified that the CDETL user account for the DNS (CGNAT) application was intermittently getting locked out, due to which SPAM traffic (DNS log files) was not coming at DARTS end. However, User account was observed to auto-unlock without any manual intervention, following which file flow resumed as expected and issue stands resolved. Further, CGNAT Dev team is coordinating with UCC team and checking, from where faulty hits are coming due to which user is getting intermittently locked, to implement a permanent fix. </t>
  </si>
  <si>
    <t>Block &amp; Unblocking was impacted in DARTS.</t>
  </si>
  <si>
    <t>INC17309427</t>
  </si>
  <si>
    <t xml:space="preserve"> In this issue, users were facing the “No data found IMSI” error while punching MNP orders. Further investigation identified that the issue was originating from the ONE_NMS end. It was found that blocking sessions were present on the ONE_NMS database, which was causing the error. DBA team killed the blocking sessions, after which the issue was resolved and MNP order processing was restored successfully.</t>
  </si>
  <si>
    <t>TG alert
INC17307605
INC17307752
INC17307764</t>
  </si>
  <si>
    <t>Direct:
1)Oracle DB Instance NMSCDB2
 Disaster^Oracle- Blocked Sessions High on NMSCDB2
Alert Start Time: 2026-01-08 05:52Hrs
Event No: TG alert
Symptom:
1)Domain:AADHAR Process:ValidateandAllocateSIM_V1_3.validateandAllocateSIM percent is greater than 5 in 20 min
PROCESS : ValidateandAllocateSIM_V1_3.validateandAllocateSIM
Alert Start Time: 2026-01-08 08:32Hrs
Event No:INC17307752
2)INTEGRATION_VERY_CRITICAL_APIS_HIGH_FAULT_ALERTS
 Current Value : 56.124314442413166
 Alert Start Time: 2026-01-08 08:55Hrs
 Event No:INC17307752
3)Web request service N2 - localhost(servicesresource gather resource information validateandallocate/sim/v1_3 WebLogic Aadhar_HA
Web request service
[ecaf-simswap-service-canary] - simswap-new-app (/simswap-new-app)
  Web request service ecaf- CAF Phase2- 10.241.152.37:9443
  Alert Start Time: 2026-01-08 08:55Hrs
 Event No:INC17307764 TG alert</t>
  </si>
  <si>
    <t>1/8/2026 05:52
1/8/2026 08:55
1/8/2026 08:32
1/8/2026 08:55</t>
  </si>
  <si>
    <t>1/8/2026 13:20
1/8/2026 09:20
1/8/2026 09:20
Open</t>
  </si>
  <si>
    <t xml:space="preserve"> Prepaid acquisition dip: 1286(D vs D-7: 3089 vs 4375) is 29% dip.
SimSwap acquisition dip: 137(D vs D-7: 4 vs 141) is 97% dip.</t>
  </si>
  <si>
    <t>Postpaid Customer Experience Journey, Postpaid Customer Experience Journey (Call Center), Postpaid Dunning Order Journey, Postpaid Activation Journey, Postpaid Payment Posting Journey, Broadband Customer Experience Journey, Broadband Customer Experience Journey (Call Center), Broadband Activation Journey, Broadband Payment Posting Journey, Broadband Dunning Order Journey, Black Customer Experience Journey (Call Center), Black Payment Posting Journey, Black Activation Journey, IPTV Customer Experience Journey (Call Center)</t>
  </si>
  <si>
    <t>Service Portal, Case &amp; Interaction, HB_ATOM, BTFLY_ATOM, DCAP, IPTV, DTH_OE, HB_CRM, Arcos, Optimus, Ecom</t>
  </si>
  <si>
    <t>INC17314743</t>
  </si>
  <si>
    <t xml:space="preserve"> Payment Posting orders at DCAP were delayed post Network fluctuation observed in 62DC.</t>
  </si>
  <si>
    <t>In this issue, a network device in row 1B in 62 DC got rebooted due to which multiple applications got impacted. Further all the Applications were restored post device auto-rebooted within 5-10 mins but Payment posting for multiple LOBs was still Impacted as issue was seen in FX application. Further to resolve FX team took multiple actions but no improvement was observed. To mitigate FX team took multiple attempts of restart of Security server and ADM, post which improvement was observed and the pendency was got cleared.</t>
  </si>
  <si>
    <t>Primary Root Cause: 
Leg 01 – Specification
Q1. Why were service disruptions observed for multiple applications? 
A1. Because an auto-reboot occurred on a Super Spine network switch located in Row-1B, 62 DC on 08 January 2026 at12:35 IST. The Super Spine switch is a critical component of the network backbone and handles traffic for multiple applications including DCAP, Service Portal, Case &amp; Interaction, IPTV, DTH_OE, HB_CRM, Arcos, Optimus, eCOM, HB_ATOM, and BTFLY_ATOM, resulting in simultaneous impact across multiple payment posting and customer experience journeys. 
Q2. Why did the Super Spine switch auto-reboot? 
A2. The Super Spine switch rebooted unexpectedly due to a malfunction in the switch power supply units, which caused hardware-level instability and triggered an automatic reboot. OEM (Arista)analysis of device logs and hardware diagnostics confirmed power supply hardware failure. Service restoration was completed by 08 January 2026 at 12:46IST, resulting in approximately 11 minutes of network downtime. Although network resiliency mechanisms such as redundant uplinks and failover paths were triggered as designed, they did not function effectively under full production load, leading to partial application failures. 
Q3. Why did network redundancy not fully prevent application service impact? 
A3. Because during failover, traffic was diverted to a secondary spine device operating at 100 Gbps, which was significantly lower than the required production traffic capacity. This bandwidth limitation resulted in traffic congestion, packet drops and intermittent connectivity issues, causing partial service degradation across multiple applications. While redundancy avoided a complete outage, but limited capacity led to poor performance. Post network recovery, most applications recovered automatically; however, the FX applications continued to experience service degradation, specifically impacting payment posting (DCAP), change order processing (HB_ATOM, BTFLY_ATOM) and account creation calls for new activation orders (IPTV). Although, there was no issue in accepting payments as the “Get API” call was functioning correctly, but the posting of payment in FX was impacted. These transactions remained held on the DCAP application layer, which in turn impacted on the Dunning journey. 
Q4. Why did FX application services remain degraded even after network restoration? 
A4. Because all update-type API calls failed, primarily impacting payment posting, change orders and account creation for new activations. Following network restoration, a sudden surge in traffic overwhelmed the FX Security Server, resulting in high concurrency and severe database contention. Multiple Security Server pods attempted concurrent updates on the “arb_or.sec_fx_user” table, leading to prolonged row-level locks. As a result, database query execution time increased drastically from approximately 0.006milliseconds to over 600 seconds, causing request backlog and sustained service degradation. Additionally, Horizontal Pod Autoscaling(HPA) did not trigger effectively, further delaying recovery. 
Q5. Why did pod auto-scaling not trigger to handle the increased load? 
A5. Because of insufficient JVM heap allocation within the Security Server container image, which prevented application from reaching the memory thresholds required to activate Horizontal Pod Autoscaling(HPA). As a result, scale-out was delayed, prolonging service recovery. Additionally, basic troubleshooting utilities (ps, top, netstat) along with GC logging and automatic heap dump generation, were not enabled on the JMW and Security Server pod images, which further delayed investigation and root cause analysis.
Leg 02 – Detection 
Q1. Why was the network issue not detected proactively before service impact? 
A1. Because the power supply degradation within the Super Spine switch did not generate any early warning or predictive alerts prior to failure. The power supply units failed suddenly at the hardware level and existing monitoring primarily focused on device availability rather than early health indicators such as power instability or hardware degradation trends. As a result, the device reboot was detected only after it became unavailable, by which time service impact had already occurred. 
Q2. Why was the high concurrency and database blocking in FX Security Server not detected earlier? 
A2. Because system monitoring primarily captured API availability and basic error rates but did not track critical internal performance indicators, including database row-level locking on arbor.sec_fx_usertable, query execution time spikes (increasing from &lt;0 ms to &gt;600 sec), high concurrency and thread pool saturation within Security Server pods and slow response from Admin DB. As a result, FX system appeared partially available, even though update-type transactions were failing or getting queued, delaying timely detection of the service degradation. 
Q3. Why did application restarts fail to resolve the issue promptly? 
A3. Because initial restarts of Security Server and JMW pods temporarily restored connectivity for 1–2 minutes but failed again due to persisting DB locks and contention, peak traffic causing high concurrency, lack of real-time visibility into thread saturation and DB connection pool exhaustion. Without monitoring for these internal performance indicators, the underlying cause of repeated failures were not immediately identified. 
Q4. Why was delayed auto-scaling behavior not detected during the incident? 
A4. The Horizontal Pod Autoscaling (HPA) did not trigger because JVM heap usage did not exceed the configured thresholds (80% of 1 GB). Additional detection gaps included limited observability into JVM memory utilization, auto heap dump and GC logs were not enabled, delaying identification of resource exhaustion.
Leg 03 – Systemic Failure 
Q1. Why did a brief network device reboot result in prolonged FX service degradation and high MTTR? 
A1. Because the FX Security Server and JMW architecture is tightly coupled, relying on synchronous authentication and database update operations, it is highly sensitive to temporary network connectivity disruptions during peak traffic. The unplanned network reboot triggered a surge of retry requests and concurrent update transactions, resulting in application thread pool saturation and sustained database row-level locking on arbor.sec_fx_user. This, in turn, led to degraded Admin DB responsiveness and prolonged transaction backlogs. The lack of built-in traffic throttling, graceful degradation mechanisms, robust database timeout handling and proactive auto-scaling prevented the system from self-recovering. Consequently, the issue persisted across multiple application restarts and required manual scaling and direct operational intervention to fully restore service. 
Preventive Measures: 
•	Replace both power supply units of the Super Spine switch and upgrade the secondary network device capacity from 100 Gbps to 400 Gbps to support future production traffic. – Amit (Status: Closed)
•	During peak-hour incidents requiring application restarts, ensure the Security Server is started first, followed by a controlled and gradual traffic restoration to prevent cascading failures. – Yet to be certified by Amdocs Project Team (Status: Open)
•	Enable liveness and readiness probes for the Security Server to improve health monitoring and automatic recovery. This activity is already tracked under the JMW Resiliency Tracker. – Bala / Yatin (Status: Open - Under SIT testing; ETA to be shared)
•	Update JVM heap configuration for the Security Server, as autoscaling was not triggered due to heap usage not reaching the defined threshold (800 MB, i.e., 80% of 1 GB). Increase heap size to 700–800 MB to ensure effective autoscaling. – Bala / Yatin (Status: In progress; ETA: 24-Jan-2026)
•	Enable automatic heap dump generation and GC logging parameters to aid in faster root cause analysis during memory or performance degradation scenarios. – Bala / Yatin (Status: In progress; ETA: 24-Jan-2026) 
•	Long-Term Action: Define and implement database-level timeout configurations for JMW and Security Server to avoid thread blocking and prolonged degradation. This requires code-level changes followed by regression testing and is being tracked under the JMW Stability Tracker. - Bala / Yatin (Status: Open)</t>
  </si>
  <si>
    <t>PRB0044612</t>
  </si>
  <si>
    <t>Postpaid, Broadband, Digital Experience B2C, Case N Interaction, Xstream, Analytics, Digital Acquisition, DTH, DC Infra</t>
  </si>
  <si>
    <t>P1
P2
P3</t>
  </si>
  <si>
    <t>INC17310006, INC17310015,INC17310019
INC17310429,INC1731009, INC17310147, INC17310197, INC17310088, INC17310354,INC17310400,
INC17310365,INC17310496,INC17310509</t>
  </si>
  <si>
    <t>Direct:
1)Multiple Node Down 10.225.23.xx
Alert time- 2026.01.08 12:54 Hrs.
Event no-INC17310006, INC17310015,INC17310019
Symptom:
1)Multiple Application Performance Alert 
Alert time- 2026.01.06 12:39 Hrs.
Event no-INC17310429,INC1731009, INC17310147, INC17310197, INC17310088, INC17310354,INC17310400,
2)Multiple FX6_response-code_FAILURE_COUNT
API: /fx_rest/oauth/token 
     /fx_rest/rest/Components/find 
     /fx_rest/rest/CustomerUdts/request
     /fx_rest/oauth/token
Alert time- 2026.01.08 12:50 Hrs.
Event no-INC17310365,INC17310496,INC17310509</t>
  </si>
  <si>
    <t>1/8/2026 12:35
1/8/2026 12:38
1/8/2026 12:47</t>
  </si>
  <si>
    <t>1/8/2026 12:45
1/8/2026 12:52
1/8/2026 14:08</t>
  </si>
  <si>
    <t>DCAP: Payment Posting:- Postpaid -28.11K,  
Broadband -21.50K, 
JK10 -7.70K, 
Homes- 3.14K
Service Portal: Service Portal Success Dip : (D vs D-7: 166 vs 1638) is 89%.
HB_CRM: HB CRM was inaccessible 
HB_ATOM: 53,066 Orders 
(Barring- 413,  Unbarring- 302, New- 10880, M2M New registration- 31127, M2M Unbarring- 1051,  Change- 9293)
BTFLY_ATOM: 919 orders
(Barring- 93,  Unbarring- 14, New- 414, Change-398)
IPTV: Activation: 3981, Change- 6581
Optimus: 50k failure hit (out of 8.6million hit)</t>
  </si>
  <si>
    <t>INC17315072</t>
  </si>
  <si>
    <t>Broadband installation and activation orders were delayed.</t>
  </si>
  <si>
    <t xml:space="preserve">In this issue, it was reported that there was some dealy with the installation and activation orders of Broadband. Upon further investigation it was observed that there was a spike in connections on Postgres - skeletor_service DB. However the issue stands successfully resolved without any technical intervention. </t>
  </si>
  <si>
    <t>Alert105529239
INC17310512
Alert105526905</t>
  </si>
  <si>
    <t>Direct:
1)Database service Postgres - skeletor_service
 Failed database connects 0 requests/min impacted
 Alert Start Time:2026-01-08 13:08:20
 Event No:Alert105529239
Symptom:
1)Downstream Error||Count &gt; 0.5 for DTH
 Host Name : NovaTel_Works alerts for Broad Band Journey
 Current Value : 0.8
 Alert Start Time: 2026-01-08 12:58Hrs
 Event No:INC17310512
2)Pendency alert for component MDU_Task_2 || Threshold: 50||Task 2 not received
 Host Name-NovaTel_Works alerts for Broad Band Journey
 Current Value : 93.0
 Alert Start Time: 2026-01-08 12:26Hrs
 Event No:Alert105526905</t>
  </si>
  <si>
    <t>1/8/2026 13:08
1/8/2026 12:58
1/8/2026 12:26</t>
  </si>
  <si>
    <t>1/8/2026 13:09
1/8/2026 13:12
1/8/2026 12:31</t>
  </si>
  <si>
    <t>134 Failure hits</t>
  </si>
  <si>
    <t xml:space="preserve">INC17314999 </t>
  </si>
  <si>
    <t>CDR reports generation was impacted for PAN India.</t>
  </si>
  <si>
    <t>In this issue, it was identified that jobs responsible for fetching CDR data were failing on data node (10.5.9.143), which impacted CDR report generation. As a corrective measure, DARTS team restarted the affected jobs on the impacted node, post which all jobs started executing successfully and report generation was restored. Issue stands resolved now. As a preventive measure, DARTS team has isolated node (10.5.9.143) and plans to perform a complete server reboot during lean hours to ensure overall system stability.</t>
  </si>
  <si>
    <t>CDR report generation impacted.</t>
  </si>
  <si>
    <t>Number Management System (NMS), eCAF_eDSL, Ecom, HB_Billing</t>
  </si>
  <si>
    <t>INC17325942</t>
  </si>
  <si>
    <t>Broadband orders activation is impacted as orders are getting stuck at NMS_Reserve_Failed.</t>
  </si>
  <si>
    <t>In this issue, it was reported that FX3.0 HB Tux machine(10.14.113.16) was not reachable due to which activation of Broadband orders were getting stuck at NMS_Reserve_Failed. However, to fix this issue ESB team performed failover (Routing Change) of this respective Tux Machine from B2B TUX to available B2C TUX, post which improvement were observed and pendency started clearing and the issue stands resolved.</t>
  </si>
  <si>
    <t>INC17324183
INC17324238</t>
  </si>
  <si>
    <t>1)ECAF_BROADBAND_COM_MILESTONE_ORACLE
Current Value : 705.0
STATUS : NMS_RESERVE_FAILED
Alert Start Time: 01/09/2026 11:20 Hrs
Event NO:INC17324183
2)ecom_broadband_order_coordinator_service_audit_logs
Current Value : 16.26
API : NMS_RESERVE_API
Alert Start Time: 01/09/2026 11:24 Hrs
Event NO:INC17324238</t>
  </si>
  <si>
    <t>2026-01-09 11:20
2026-01-09 11:24</t>
  </si>
  <si>
    <t>2026-01-09 11:32
2026-01-09 11:39</t>
  </si>
  <si>
    <t>NMS_RESERVE_FAILED: 2447 orders</t>
  </si>
  <si>
    <t>Nova App Experience Journey, Black Customer Experience Journey (Call Center), Broadband Customer Experience Journey (Call Center), DTH Customer Experience Journey (Call Center), Postpaid Customer Experience Journey (Call Center), Prepaid Customer Experience Journey (Call Center)</t>
  </si>
  <si>
    <t>Selfcare_B2C, Service Portal, Financial Services, Nova App, Careshark, ECHO</t>
  </si>
  <si>
    <t>INC17326404</t>
  </si>
  <si>
    <t>Multiple Digital experience applications hampered in Phase1 DC.</t>
  </si>
  <si>
    <t>In this issue, multiple Digital Experience application pods running on OCP pods went into a crash loop state, which impacted their services. As an immediate mitigation, application team proactively shifted traffic to Phase2 DC to ensure service continuity. Further investigation revealed issues with certain worker nodes in the cluster. To resolve the problem, OCP team collaborated with Red Hat to perform cleanup and all nodes were rebooted, which restored full platform stability and resolved the issue.</t>
  </si>
  <si>
    <t>On Friday, 9th January 2026, ThanksAPP OCP cluster N1OCP-PCLUS-03 experienced a major outage in which multiple pods entered a persistent CrashLoopBackOff state, resulting in significant service disruption. Detailed investigation identified residual Twistlock (Prisma Defender) files on the worker nodes as the primary cause of the issue. These files appear to be remnants from a previous removal and directly impacted container runtime stability.
The Prisma Defender was removed in accordance with the vendor-provided procedure using Helm uninstall, and all related admission webhooks had already been removed from the clusters in the past. Despite these actions, critical residual artifacts remained on the nodes.
Following analysis by Red Hat, it was explicitly recommended to engage the Prisma (Twistlock) vendor to perform and validate a complete and supported cleanup of the tool. The presence of these residual files, even after documented cleanup, has been confirmed as a severe risk, leading to cluster instability. Prisma is engaged for same.</t>
  </si>
  <si>
    <t>P3
P3
P3
P3
P2</t>
  </si>
  <si>
    <t>INC17323450
INC17323459
INC17323460
INC17323461
INC17323530
INC17323778
INC17323790
INC17323778
INC17323790
INC17323788
INC17324006
INC17324154
INC17324178</t>
  </si>
  <si>
    <t>1)Multiple Pods Not Running | myNovaTelapp-template-service (OCP DC1)
myNovaTelapp-template-service-1: CrashLoopBackOff
myNovaTelapp-compute-engine-7: CrashLoopBackOff
myNovaTelapp-devices-canary-0: CrashLoopBackOff
myNovaTelapp-coalition-service-canary-0: CrashLoopBackOff
Alert Start Time: 2026-01-08 11:00 Hrs
Event No:INC17323450,INC17323459,INC17323460,INC17323461,INC17323530
2) Multiple  pods goes in not ready state
Host Name:N1OCP-PCLUS-03-THANKSAPP
Alert Start Time: 2026-01-02 11:09 Hrs
Event No:INC17323778,INC17323790,INC17323778,INC17323790,INC17323788
3)Multiple High 503 error on 10.222.232.xx
Current Value : 52.0
Alert Start Time: 2026-01-08 11:14Hrs
Event No:INC17324006,INC17324154,INC17324178</t>
  </si>
  <si>
    <t>2026-01-09 11:00
2026-01-09 11:00
2026-01-09 11:00
2026-01-09 11:00
2026-01-09 11:03
2026-01-09 11:00
2026-01-09 11:00
2026-01-09 11:10
2026-01-09 11:09
2026-01-09 11:10
2026-01-09 11:14
2026-01-09 11:19</t>
  </si>
  <si>
    <t>2026-01-09 12:05
2026-01-09 11:20
2026-01-09 12:25
2026-01-09 12:05
2026-01-09 11:53
2026-01-09 12:06
2026-01-09 12:05
open
open
2026-01-09 12:09
2026-01-09 11:31
2026-01-09 11:36</t>
  </si>
  <si>
    <t>No impact seen as application services moved to Phase2 DC.
Echo Dialer: Multiple campaigns were impacted in Echo dialer.</t>
  </si>
  <si>
    <t>INC17329427</t>
  </si>
  <si>
    <t>Dip was observed in overall call connectivity in NovaTel_IQ Voice.</t>
  </si>
  <si>
    <t xml:space="preserve">In this issue, Rapido, Zomato and Just Dial observed call connectivity dip as customers were not able to create new mapping for calls. Upon troubleshoot it was identified that the issue occurred due to connectivity issue between AWS to Mycloud layer of NovaTel_IQ Voice, which got resolved without any technical intervention. As of now services are stable and issue stands resolved. </t>
  </si>
  <si>
    <t>INC17309685
INC17328086</t>
  </si>
  <si>
    <t>Symptom:
1)IQ Voice CDR severity: High Trigger: Anomaly_Rate_Justdial  ISSUE STARTED description: Call volume of Justdial is lower by 25 percentage compared to yesterday
Alert Start Time: 2026.01.09 16:00 Hrs
Event NO:INC17309685
2)IQ Voice CDR severity: High Trigger: Connectivity_rate_ZOMATO  Connectivity rate of Zomato is lesser than 50%
Alert Start Time: 2026.01.09 16:16 Hrs
Event NO:INC17328086</t>
  </si>
  <si>
    <t>2026-01-09 16:00
2026-01-09 16:16</t>
  </si>
  <si>
    <t>2026-01-09 16:28
2026-01-09 18:48</t>
  </si>
  <si>
    <t>Rapido Overall Answered Rate Dip: (D vs D-7: 48k vs 47k)  No dip%.
JustDial Overall Answered Rate Dip: 4.55k (D vs D-7: 6.45k vs 11k) is 41%
Zomato- traffic was removed.</t>
  </si>
  <si>
    <t>INC17330866</t>
  </si>
  <si>
    <t>Prepaid Online recharges were impacted for LAPU_MT (Hub1).</t>
  </si>
  <si>
    <t>In this issue, it was identified that N1 DB (10.241.162.13) for LAPU_MT Hub1 went down due to quorum connectivity issue, which intermittently impacted online recharges for HUB1 during two brief intervals (18:42–18:46 Hrs and 18:51–18:55 Hrs). However, due to the Active/Active setup, traffic was automatically shifted to N2 DB and services continued to run successfully. As a precautionary measure, Network team disabled the LB for N1 to ensure all requests were routed to N2. Further investigation revealed a hardware-related issue wherein quorum was not getting mounted on N1 due to a faulty cable. To fix this, Unix team along with DCO team replaced the faulty cable, after which quorum connectivity was successfully re-established. Traffic flow is normalized across both N1 and N2 DB nodes and Issue stands resolved.</t>
  </si>
  <si>
    <t>Primary root cause:
Specification Leg: 
Q1: Why there was a service degradation experienced in Prepaid Online recharge journey?
Ans: Because there were high numbers of recharges were consistently failing/timeout in LAPU_MT platform for Hub1 leading impact towards above mentions journey.
Q2: Why there was a high number of recharges getting timeout/falling in LAPU_MT platform?
Ans: Because there was a connectivity issue observed between applications and databases during two brief intervals (18:42–18:46 hrs and 18:51–18:55 hrs) for both the datacentres N1&amp; N2. Initially issue was on N1 DB 10.241.162.13 which got evicted form oracle cluster and services moved to N2 DB 10.241.162.14 however not sustain there.
Q3: Why was issue observed with N1 DB node and got evicted from oracle cluster?
Ans: Because, A faulty network cable caused intermittent loss of quorum disk connectivity on N1 DB, resulted in cluster heartbeat failure. Team also updated that network interface flapping leading to aggregator ID changes (1-2) Port mismatch in bond configuration (bond 2 not aligned with standard mapping) and further to mitigate the same faulty cable was replaced by Unix/DCO teams to restoring quorum connectivity for N1 DB.
Q4: Why could N2 DB 10.241.162.14 instance not survive?
Ans: Because, once the Oracle RAC evicted N1 database to protect data integrity, connections moved to N2 database where node-initiated instance recovery, during which new connections were blocked which is expected behaviour during recovery. However, recovery took little, longer time as expected. 
Q5 Why N2 DB 10.241.162.14 node took longer time in instance recovery?
Ans: Further discussion with OS and DBA team updated that, high CPU utilisation, and kernel-level I/O wait during recovery, slowed N2’s instance recovery. Team also updated that a brief spike in disk service and read times was detected by OS watcher but not captured in OS or storage logs due to short monitoring intervals.
Detection Leg: 
Q1: Why were the brief kernel panic and I/O spikes not captured in OS or storage logs for N2 Database?
Ans: Because spikes lasted only 1–2 minutes, shorter than the monitoring intervals. The OS watcher detected the spike, but standard OS and storage logs were too coarse-grained, preventing full capture and root cause analysis.
Q2: Why didn’t the network monitoring detect the quorum connectivity issues on N1 earlier?
Ans: The intermittent loss of quorum connectivity was caused by network interface flapping and a faulty cable, which created brief, transient failures. These short, self-fluctuating events were not captured by existing network monitoring or alert thresholds.
Systemic Leg: 
Q1: What systemic factors allowed to trigger a service disruption?
Ans:  Although the quorum architecture is resilient, Intermittent network issues (faulty cable, interface flapping,) temporarily broke quorum connectivity for N1. Along with, Monitoring gaps (coarse OS/storage intervals, no short-spike detection) delayed detection.
Observations/Improvement Plans: 
•	Enhance monitoring to capture short-duration spikes and integrate with ServiceNow for incident creation (Feasibility needs to explore).
•	EOL/EOS hardware and software to be replaced and server reboot to be done for more than 180 days. Patch panel port and switch port were change for port flapping. 
Preventive Actions: 
•	Replace the system board to address suspected hardware issues. Open Amit
•	Network service needs to stop and run network manager services on all the LAPU DB nodes. Open Amit</t>
  </si>
  <si>
    <t>PRB0044614</t>
  </si>
  <si>
    <t>INC17330047
TG Alert
Alert105625393 ,INC17330177 
TG Alert</t>
  </si>
  <si>
    <t>1)Ping Check Trigger for 10.106.60.55 h1n2
Node-Value : connector
Current Value : 32.0
Alert Start Time: 01/09/2026 06:42 Hrs
Event NO:INC17330047
2)Multiple High Partner Response for lapumt_partnerwise_avg_elapsedtime_MT_V1
Current Value : 5.87
HUB : Hub_1
Alert Start Time: 01/09/2026 06:45 Hrs
Event NO:TG Alert
3)Multiple Appd alert for LAPU MT_HUB 1
a)LAPU-Prepaid Online Recharge Journey-Hub_1_New High Number of Active Connections_Sev-1 10.241.162.13/14
b)LAPU-Online Recharge Journey-MT_Hub1_Lapu-Overall Response time 1000ms_Sev-1
Alert Start Time: 01/09/2026 06:46 Hrs
Event NO:Alert105625393 ,INC17330177 
4)DB Performance ORA error for lapuMTORAerror2_MT_V1 
Current Value : 12915.0
Alert Start Time: 01/09/2026 06:48 Hrs
Event NO:TG Alert</t>
  </si>
  <si>
    <t>2026-01-09 18:42
2026-01-09 18:45
2026-01-09 18:46
2026-01-09 18:48</t>
  </si>
  <si>
    <t>2026-01-09 18:57
open
2026-01-09 18:53
2026-01-09 18:53</t>
  </si>
  <si>
    <t>Success Dip for Hub1 : (D vs D-7: 43505 vs 93839) is 53% Dip.</t>
  </si>
  <si>
    <t>One EPC</t>
  </si>
  <si>
    <t xml:space="preserve">INC17335818 </t>
  </si>
  <si>
    <t>One_EPC experienced performance degradation due to packet loss.</t>
  </si>
  <si>
    <t>In this issue, EPC team reported significant service performance degradation due to approximately 50–60% packet loss on server 10.242.132.221. Subsequently, VMware team rebooted the server; however, no improvement was observed. During further investigation, VMware team identified a network uplink error on 10.242.6.96 (n4-vi-esx286), which appears to have triggered the issue. No anomalies were detected at the network layer, suggesting a potential error at the DCO level. As a corrective measure, VMware team placed the affected host cluster in maintenance mode and migrated the VMs to a healthy host, after which the issue was successfully mitigated.</t>
  </si>
  <si>
    <t>P2
TG Alert</t>
  </si>
  <si>
    <t>Alert105645559
TG Alert</t>
  </si>
  <si>
    <t>Symptom:
1)Node Down-Ping Response in last 5 min
Host: 10.242.132.221
Alert time-2026-01-10  02:00 Hrs.(fluctuating)
Event no-Alert105645559
2)impacted infrastructure component Aerospike_App_Name
aerospike_epc
Average^Aerospike Node 10.242.132.221:9145 is Down
Alert time-2026-01-10 02:01 Hrs.(fluctuating)
Event no-TG alert</t>
  </si>
  <si>
    <t>1/10/2026 02:00
1/10/2026 02:01</t>
  </si>
  <si>
    <t>1/10/2026 02:02
1/10/2026 02:08</t>
  </si>
  <si>
    <t>Upto 71% packet loss.</t>
  </si>
  <si>
    <t>INC17339697</t>
  </si>
  <si>
    <t>In this issue, CPE sessions were high at ACS end, causing broadband installation delays. The ACS team took a service refresh, post which the issue got resolved.</t>
  </si>
  <si>
    <t>INC17338496
INC17338503
INC17338781
Alert105659603, Alert105659624</t>
  </si>
  <si>
    <t>Symptom:
1) Web request service
N1 - default-host - JBoss standalone FTACS
Response time degradation 342k requests/min impacted
Alert start time: 10/01/2026 11:57
Event No: INC17338496
2) Web service
N1 - ACSWebServiceService - JBoss standalone FTACS
Response time degradation 1.25k requests/min impacted
Alert start time: 10/01/2026 11:58
Event No: INC17338503
3) Host Name : DN_SYSTEM_FAILURE_ALERT_NOC
API : Check Configuration
Alert start time: 10/01/2026 12:23
Event No: INC17338781
4) Host Name : Channel-Backend-Alerts-cx-network for central elastic || {HOST.IP}
API : /router/v2/info
API : /router/credentials
Alert start time: 10/01/2026 12:25
Event No: INC17338792, INC17338809</t>
  </si>
  <si>
    <t>1/10/2026 11:57
1/10/2026 11:58
1/10/2026 12:23
1/10/2026 12:25</t>
  </si>
  <si>
    <t>1/10/2026 12:59
Open
1/10/2026 12:52
1/10/2026 13:05</t>
  </si>
  <si>
    <t>96 orders impacted</t>
  </si>
  <si>
    <t>INC17340867</t>
  </si>
  <si>
    <t>Online and Retail recharges were impacted for Delhi and UPWest.</t>
  </si>
  <si>
    <t xml:space="preserve"> In this issue, LAPU team encountered errors originating from IN, on AIR node (10.3.21.56), which impacted both online and retail recharges. To mitigate the issue, the problematic AIR node was isolated by LAPU team. Following this action, the issue was resolved, and services were restored to normal.</t>
  </si>
  <si>
    <t>INC17340619 , INC17340620 , INC17340622 , INC17340621
TG Alert 
INC17340627 , INC17340626</t>
  </si>
  <si>
    <t>Direct:
1)Multiple High count for 1002 response code in last 5 min||i-in-ericssonucip_1 - 10.222.xx.xx , 10.241.xx.xx
Alert time - 2026.01.10 15:24 Hrs
Event NO - INC17340619 , INC17340620 , INC17340622 , INC17340621
Symptom:
1)Lapu MT Transaction Failure||for Circle DEL where count is greater than 25 in last 5 min | REASON : Connection Offline | CIRCLENAME : DEL | Current Value : 55.0
Alert time - 2026.01.10 15:22 Hrs
Event N0 - TG Alert 
2)Multiple CIRCLE Mitra_connection_offline_trends | CIRCLE : WB ,UPW,BH
Alert time - 2026.01.10 15:25 Hrs
Event N0 - INC17340627 , INC17340626</t>
  </si>
  <si>
    <t>1/10/2026 15:24
1/10/2026 15:22
1/10/2026 15:25</t>
  </si>
  <si>
    <t>1/10/2026 15:44
1/10/2026 15:40
1/10/2026 15:45</t>
  </si>
  <si>
    <t>LAPU_MT: 900 recharges 
LAPU_GT: 435 recharges</t>
  </si>
  <si>
    <t>INC17346268</t>
  </si>
  <si>
    <t>Service Portal faced error in 5G Network related Scenarios.</t>
  </si>
  <si>
    <t>In this issue, Service Portal team observed API failures exceeding 90% on API (10.3.128.140:10035), resulting in disruptions to 5G network-related Scenarios within the application. Upon investigation, the root cause was identified as an expired SOD(7649627) policy on the NSG end which they renewed temporarily, post which issue stands mitigated.</t>
  </si>
  <si>
    <t xml:space="preserve">
INC17345029
INC17345057</t>
  </si>
  <si>
    <t>Direct:
1)sp_multitenant_api_failure
Current Value : 1722.0
URL : http://10.3.128.140:10035
Alert time-2026-01-11  00:06 Hrs.
Event No-INC17345029
Symptom:
1)SP_MT_RULE_FAILURE
Current Value : 68.95
RULE_NAME : LBS 5G Network Feasibility
Alert time-2026-01-11  00:09 Hrs.
Event No-INC17345057</t>
  </si>
  <si>
    <t>1/11/2026 00:07
1/11/2026 00:09</t>
  </si>
  <si>
    <t>1/11/2026 00:37
1/11/2026 00:36</t>
  </si>
  <si>
    <t>Success Hits Dip (D vs D-7): 2929(666 vs 3595) is 81%.</t>
  </si>
  <si>
    <t>IPTV Installation/FR Journey, IPTV Customer Experience Journey (Call Center), Xstream App Customer Experience Journey</t>
  </si>
  <si>
    <t>IPTV, Xstream, NovaWorks</t>
  </si>
  <si>
    <t>INC17353629</t>
  </si>
  <si>
    <t>IPTV activation/Installation , Xstream app along with Live feed for users running on old build was impacted.</t>
  </si>
  <si>
    <t>In this issue,  IPTV application was observing POD down issue. Initially, IPTV Dev team took pod restart and migrated services from NetApp storage to EFS storage, post which pods came up. However, issues persisted from the GCP end. Further identified, there was a connectivity issue with LBs. To mitigate GCP  team created a new LB and moved the services on the same post which improvement was observed and issue was mitigated and orders started processing.</t>
  </si>
  <si>
    <t xml:space="preserve"> Primary root cause:
Specification Leg-01
Q1: Why there was an instance of service degradation in IPTV multiple journeys?
Ans: Because, there was issue encountered with IPTV Activation/Installation, Live feed for the Customer who are on build prior to 1.0.0216 and XStream users unable to login new user or logout user and play the Live Stream/OTT. These issues collectively impacted the IPTV Installation/First Run journey, the IPTV Customer Experience (Call Center), and the XStream app customer experience.
Additionally, WCF backend service, which handles subscription and payment for Xstream and IPTV, was also affected.
Q2: Why there was an issue with IPTV and Xstream application ?
Ans: Because IPTV/Xstream application team observed POD down alerts for multiple services which impacted the application functionality. 
Q3: Why were IPTV application pods getting down?
Ans: Because IPTV application team identified NetApp storage issue on GCP side due to which NetApp volumes went in error state  (there was 25 min outage at GCP side in lieu of NetApp failed upgrade) and PODs down across all services of IPTV/Xstream. However, post NetApp issue was resolved; Istio gateway Load balancer network routing issue aroused.
Q4: Why Istio gateway load balancer had issues?
Ans: Because, post Netapp issue resolved Istio gateway load balancer choked due to excess flow of error events. Hence, IPTV team shifted the affected service traffic to Palo Alto LB post which services recovered.
Q5: Why Live feed was unavailable for customers on app old Build app version?
Ans: Because, New Build app versions users had a fallback mechanism allowing channels to function even if backend API connectivity failed, to ensure users could still access live feed during outage also.
Detection Leg:
Q1: Why did team didn’t proactively identify the issue?
Ans: IPTV team already had GCP alerts in place and got the timely information from GCP about the NetApp storage failure. However, since Netapp storage devices are GCP managed services; hence uptime alerts for NetApp didn’t configure at IPTV for early warning. However, team is checking the feasibility for NetApp (iops ,latency) Istio matrix (ingress gateway ) Istio and LB level graph handy for monitoring .
Q2:Why the MTTR was higher on this incident?
Ans: Netapp Storage GCP outage was recovered within 25 min of issue. However, Istio ingress/gateway choked under high event traffic took time to shift traffic following with Pods restart increased the MTTR.
Systemic Leg:
Q1: Why did system allow this outage to happen?
Ans: Since due to GCP Managed services, Netapp storage alerts are not configured at IPTV. Additionally, there is no DR for GCP services. Further, IPTV DR setup discussions are in process in NovaTel Cloud Environment to make system fully Resilient.
Preventive Measures: 
•	NetApp to EFS migration in Xstream and IPTV – Open 2nd Feb Inderpal
•	DR for critical services to be setup : Open (ETA to be provided by end of Jan’26) Inderpal/ Hitesh Bhatia
•	Infrastructure segregation of event services – Open 27th Jan Inderpal/ Hitesh Bhatia
•	Improving observability layer for IPTV by integrating with Dynatrace – Open 28th Feb Inderpal
•	SOPs to be updated for faster recovery and traffic movement between load balancers;  Open 28thJan Inderpal</t>
  </si>
  <si>
    <t>PRB0044613</t>
  </si>
  <si>
    <t>P1
P3
P3
P3</t>
  </si>
  <si>
    <t>INC17340703,INC17340699,INC17340703
INC17350798,INC17350900,INC17350872
Tg alert
Tg alert</t>
  </si>
  <si>
    <t>Symptom:
1)Multiple atv-sms-service-prd-logstash ELASTIC Error while getting box details: 34 times
a)Multiple CRITICAL - Failed to get box details
Threshold Value: 34.0
b)Multiple CRITICAL - Check Xstreme login 
Threshold Value: 48.0
Alert time: 2026-01-11 13:30 Hrs
Event NO:INC17340703,INC17340699,INC17340703
2)Multiple [FIRING] 5xx sms-service Sev 2 on 
 Service sms-service %xx count over 5m 
Alert time:2026-01-11 13:57 Hrs
Event NO:INC17350798,INC17350900,INC17350872
3)Multiple [FIRING] Endpoint Alerting Internal on http://events.internal.NovaTel.tv/v1/health/status
Alert time: 2026-01-11 14:11 Hrs
Event NO:Tg alert
4)Multiple [FIRING] p99 iptv-playback-service Sev 3 on 
Alert time: 2026-01-11 14:13 Hrs
Event NO:Tg alert</t>
  </si>
  <si>
    <t>1/11/2026 13:30
1/11/2026 13:57
1/11/2026 14:17
1/11/2026 14:13</t>
  </si>
  <si>
    <t>1/11/2026 13:35
1/11/2026 14:27
1/11/2026 14:27
1/11/2026 15:38</t>
  </si>
  <si>
    <t xml:space="preserve"> IPTV activation success DIP: (D vs D-7: 2227 vs 10 ) is 99% Dip</t>
  </si>
  <si>
    <t>ACS,NovaWorks,Device Nucleus</t>
  </si>
  <si>
    <t>INC17362365</t>
  </si>
  <si>
    <t>Broadband installation orders was impacted for UPE, NCR and UPW.</t>
  </si>
  <si>
    <t>In this issue, it was reported that ACS was receiving failures in Broadband Healthcheck API. During troubleshooting, it was observed that LDAP application (Physical) server was in hung state due to which this issue got triggered. However, To fix this issue NSG (LDAP) team restarted replication port (8989) and resumed the replication successfully. post which the services were restored and the issue stands resolved.</t>
  </si>
  <si>
    <t>Primary Root Cause: 
Leg 01 – Specification
Q1. Why was Broadband Installation / FR journey impacted? 
A1. Because during new broadband installations, field engineers encountered failures at CPE configuration check, which is a mandatory step in the broadband installation workflow. Detailed analysis indicated that the ACS Broadband Health Check API and DSL status validation call on HNV tool was returning failure responses. As a result, the installation workflow could not progress beyond the configuration stage. The impact was partial and localized, limited to the North and East Hubs, affecting only new broadband installation orders and restricted to NovaWorks and Device Nucleus applications. 
 Q2. Why did ACS and HNV calls returned negative response for newly created users? 
A2. Because during the installations process both calls run in-parallel, ACS health check API call&amp; “HNV Call” to validate DSL service readiness. However, upstream sessions were getting stuck while retrieving user profiles from the LDAP (NSG) servers. During the incident window, newly created user profiles were not available on the LDAP servers, which resulted in authentication failures for upstream API calls. LDAP Role: LDAP functions as the centralized directory service and the single source of reliability for user identities, credentials and authorization data consumed by HNV and other systems flows. 
Q3. Why were newly created user profiles not visible across LDAP servers in the environment? 
A3. Because newly created user records were successfully provisioned on the primary LDAP server (DCNorthLdap2); however, due to a replication issue, these records were not synchronized with the peer LDAP servers. Since both flows were depend to access LDAP servers other than the provisioning node, they were unable to locate the new user profiles, resulting in authentication failures and subsequently broadband installation failures. 
Q4. Why did LDAP replication did not occur successfully across peer servers? 
A4. Because LDAP replication depends on an internal synchronization mechanism that operates over port 8989. During the incident, this replication synchronization port became unresponsive, causing the replication threads to hang. Although, the core LDAP service on DCNorthLdap2 (port 1389)remained functioning and continued to accept write requests, the replication process itself was stopped. As a result, newly created user data was not transmitted to peer LDAP servers, leading to failures in read operations by upstream systems. 
Note: NSG team engaged OEM to perform a detailed root cause analysis of the replication hang.
LDAP (NSG) environment and configuration setup: 
o	Each hub has four LDAP servers.
o	LDAP servers are interconnected for replication over port 8989.
o	All write operations (user provisioning) are performed on DCNorthLdap2 via port 1389.
Leg 02 – Detection 
Q1. Why was the issue not detected proactively by monitoring systems? 
A1. Because existing monitoring focused primarily on the availability of the LDAP service (port 1389) and overall server health indicators such as CPU, memory and process status. Since the LDAP service remained operational during the incident, no service-down or critical alerts were triggered. Additionally, there was no dedicated monitoring or alerting for LDAP replication health, specifically for the replication synchronization port (8989). During the incident, the LDAP replication mechanism entered a hung/unresponsive state rather than a complete service outage. This did not cause LDAP service crashes or port 1389 unavailability, so the monitoring system continued to report normal system health, masking the underlying replication failure and delaying detection of the issue. 
Leg 03 – Systemic Failure 
Q1. What systemic failure allowed this issue to occur? 
A1. Because the LDAP provisioning and replication design relied on a single-point dependency, where all new user creation and write operations were handled exclusively by a single LDAP server (DCNorthLdap2). Although each hub had multiple LDAP servers capable of serving read requests, write operations were not distributed and there was no automatic failover mechanism in case the primary server failed or encountered issues. 
Because of this design: 
o	The environment was highly dependent on a single node, creating a single point of failure. 
o	Any issue affecting DCNorthLdap2, such as a replication hang or synchronization failure, directly impacted all downstream systems relying on LDAP data.
o	There was no failover or load balancing, so provisioning requests could not be automatically redirected to other servers. 
o	Other LDAP servers could not compensate for the failure, as they did not accept write operations and were updated only through replication from DCNorthLdap2. 
Preventive Measures: 
•	Deploy an active-active load balancer across all LDAP servers to distribute traffic evenly and enhance the IT provisioning system to automatically switch to available LDAP servers if the primary becomes unreachable, eliminating the current single-point dependency and improving system resiliency. – Anand / Pardeep Singla 
•	Implement monitoring for the LDAP replication synchronization port (8989) and add LDAP-related alarms and service health checks to detect replication issues early and trigger timely alerts. - Adil</t>
  </si>
  <si>
    <t>PRB0044615</t>
  </si>
  <si>
    <t>INC17359508</t>
  </si>
  <si>
    <t>*NOC Proactive Alert Status*    
Incident Category: LW
Application:  ACS
Impacted IP: NA
Active Alert: Yes
Symptom:
1)Host Name : DN_SYSTEM_FAILURE_ALERT_NOC
API : Check Configuration
Current Value : 56.61
Alert Start Time : 2026.01.12 10:23 hrs(fluctuating)
Event NO : INC17359508</t>
  </si>
  <si>
    <t>1.7k New Install ( FTTh 1.4k, FWa 300)</t>
  </si>
  <si>
    <t>INC17367839</t>
  </si>
  <si>
    <t>Prepaid Acquisition Dip- D Vs D-7: 23519 Vs 56572 = 33053  is 58% dip
SimSwap Acquisition dip- D Vs D-7: 8535 Vs 17823 = 9288 is 52% dip
Postpaid Acquisition dip- D Vs D-7: 1410 Vs 2488 = 1078 is 43%</t>
  </si>
  <si>
    <t>INC17376073</t>
  </si>
  <si>
    <t>In this issue, it was reported that FRC SMS were getting spooled, which prevented customers from receiving FRC SMS after successful MNP porting. During the investigation, it was found that a common service responsible for SMS, called Buzz Service, was not attached to Solace due to a value mismatch on both N1 and N2 nodes. This mismatch triggered the issue. However to fix this issue, ECAF team configured the correct values and restarted the Buzz Service and Pods, post which spooled messages were cleared, and the issue stands resolved.</t>
  </si>
  <si>
    <t>INC17374184,INC17374272</t>
  </si>
  <si>
    <t>Symptom:
1)Multiple: Memory Utilization over orion-fse-sms-service-7b4947b84-x7mc2 &gt; 80%
ECAF n2ocp-pclus-02 Namespace Wise || 127.0.0.1
Current Value : 89.2 %
Alert Start Time:2026-01-13 10:26
Event No:INC17374184,INC17374272</t>
  </si>
  <si>
    <t>1.5 Lakhs Spooled Messages.</t>
  </si>
  <si>
    <t>INC17394790</t>
  </si>
  <si>
    <t>Call back SMS were impacted for multiple customers in Nova IQ_SMS</t>
  </si>
  <si>
    <t>In this issue, Nova IQ _SMS was observing lag on Aerospike cluster on N1, due to which Call back SMS got impacted for multiple customers (HDFC, ICICI, etc). However, to mitigate the impact, Nova IQ_SMS shifted the complete application traffic of SMS from N1 (62DC) to N2 (Phase2) for all the customers. As of now, issue stands resolved. Further relevant teams are working towards bringing up the impacted node on N1</t>
  </si>
  <si>
    <t>Alert105767254,Alert105767259,Alert105767349</t>
  </si>
  <si>
    <t>Multiple IQ SMS MDR NEW 
Trigger Name : Delivery_Count_hdfc_per_minute 
ISSUE STARTED description: HDFC Traffic is less than 100 Delivered mssgs in last minutes.
Alert time: 2026-01-13 13:53 Hrs
Event NO:Alert105767254,Alert105767259,Alert105767349</t>
  </si>
  <si>
    <t>Overall callback SMS functionality impacted for HDFC &amp; ICICI.</t>
  </si>
  <si>
    <t>INC17384883</t>
  </si>
  <si>
    <t>CC advisors were unable to fetch customer details in Service Portal for all LOBs.</t>
  </si>
  <si>
    <t>In this issue, CC advisors were unable to fetch customer details in Service Portal across all LOBs. Further investigation revealed that an interface between Super Spine switch and Service Leaf was down, due to which multiple alerts triggered but as per Network team, there was no traffic on this interface, and there should not be any impact on Service Portal due to this. Moreover, the issue got auto-resolved without any technical intervention from any team.</t>
  </si>
  <si>
    <t>INC17381407,Alert105779157</t>
  </si>
  <si>
    <t>Direct:
1)BGP Peer is Down for Central DC
Device Name: BAL-NDA62-1B-NW7-7050-SUPER-SPINE-1.novaworld.in,Device IP:10.225.23.1,
Device Name: BAL-NDA62-1B-NW8-7289-SERVICE-LEAF-2.novaworld.in,Device IP:10.225.23.42
Alert time-2026-01-13 22:27 Hrs.(fluctuating)
Event no-INC17381407,Alert105779157</t>
  </si>
  <si>
    <t>Service Portal Success Hits: No Dip (D vs D-7: 1995725 vs 1420283: -575442).</t>
  </si>
  <si>
    <t>APB_My Nova App, APB_Payment_UPI, APB_IBS, APB_Retailer App, APB_Tez Portal, APB_Merchant, APB_Ranger, APB_IMS</t>
  </si>
  <si>
    <t>Traffic dip observes in Multiple applications.</t>
  </si>
  <si>
    <t>A significant dip in traffic was observed across multiple applications and domains. The Network Team confirmed that a Change (CHG0011444)was being implemented to upgrade PDC Anti-DDoS devices to the latest OS release. Following the implementation of this change, the issue began to occur. The Network Team subsequently performed rollback of the change, after which traffic started improving and the issue was resolved. Currently, all applications are under close monitoring to ensure continued stability.</t>
  </si>
  <si>
    <t>For NFB-My Nova App (Traffic Dip): D vs D-7 (D-15,81,878 vs D-7 39,28,000) (59.73% decrease in Traffic) For NFB-Payments-UPI (Transaction Dip) D vs D-7 (D-4,477 vs D-7 12,033) (62.8% Dip in Transaction) For NFB-IBS(Traffic Dip): D vs D-7 (D-16,942 vs D-7-36,380) (53.4% Dip in Traffic) For NFB-Tez Portal- {D vs (D-7)= 27,056-54,036=-26,980 (50% drop in traffic)} (Source of reference Kibana) For NFB-Merchant App, NFB-Ranger App/Promoter App, NFB-Retailer App(Mitra Login) -Traffic comparison -{D vs (D-7)= 108,018-154,001=45,983(29.85% drop in traffic)} (Source of reference Kibana) For NFB-IMS- {D vs (D-7)= 1,147-1,791=644 (35.95% drop in traffic)} (Source of reference Kibana) For NFB-Trasitcards - As it got impacted due to dip in SBA account creation.</t>
  </si>
  <si>
    <t>CHG0011444</t>
  </si>
  <si>
    <t>INC17386953</t>
  </si>
  <si>
    <t xml:space="preserve"> In this issue, eKYC was impacted due to an issue at UIDAI end, because of which Postpaid, Prepaid, and SIM Swap journeys were affected. Further investigation confirmed the issue was from UIDAI side and the same was raised to their team. Subsequently, UIDAI team performed the required technical actions at their end, post which eKYC services were restored and application teams confirmed normal functionality.</t>
  </si>
  <si>
    <t>Prepaid success Dip: 315(D vs D-7: 1531 vs 1846) is 17% dip.
SimSwap success Dip: 18(D vs D-7: 60 vs 78) is 23% dip.
Postpaid success Dip: 2(D vs D-7: 9 vs 11) is 18% dip.</t>
  </si>
  <si>
    <t>Black Customer Experience Journey (Call Center), Postpaid Customer Experience Journey (Call Center), Prepaid Customer Experience Journey (Call Center), DTH Customer Experience Journey (Call Center), Postpaid Activation Journey, Broadband Activation Journey, IOT Customer Experience Journey, IOT Activation Journey</t>
  </si>
  <si>
    <t>ECHO, Service Portal, BTFLY_EPC, Ecom, M2M</t>
  </si>
  <si>
    <t>INC17393968</t>
  </si>
  <si>
    <t>Multiple applications faced slowness issue in 62 DC</t>
  </si>
  <si>
    <t>In this issue, it was observed that One (IP 10.13.22.50) of the Dark Fiber Interface was highly utilised between Prod to Prod N1 and N2 connectivity out of 6 links, due to which multiple applications including ECHO, Service Portal, BTFLY_EPC, eCOM were impacted. Further it was confirmed by the network team that the utilisation became normal automatically once the running sessions were completed, and the services were restored. 
Post restoration, ADS team confirmed that file transfer to fetch customer photos from NFS storage to ADS was being performed. During this transfer, the NFS mount point on ADS storage saturated 1 of the 6 dark fiber links, which triggered the outage.</t>
  </si>
  <si>
    <t>P3
P3
P1
P3</t>
  </si>
  <si>
    <t>INC17388943, INC17388958, INC17389569
Alert105801476
INC17389090
INC17389427</t>
  </si>
  <si>
    <t>Direct:
1) Device Name: BAL-NDA62-1B-7050-SERVICE-LEAF-1.novaworld.in
Device IP: 10.222.23.41
Interface Description:= connected to Noida phase-2 BL-1 for Production Dark Fiber-RA-3932638-CKT-13992022
Alert Start Time: 14/1/2026 13:06 Hrs (Fluctuating)
Event NO: INC17388943, INC17388958, INC17389569
Symptom:
1) mitra-gateway-service- failed protocol test [DEFAULT] at [10.241.128.51]:7005 [TCP/IP] -- Connection timed out
IP- 10.241.XXX.XXX
Alert Start Time: 14/1/2026 13:08 Hrs
Event NO: TG Alert
2) Hostname:ECHO_URLS_10.5.245.43_7003_supplier_Project severity
Alert Start Time: 14/1/2026 13:10 Hrs
Event NO: Alert105801476
3) Multiple Alert ecom-consul-n2-10.242.136.76 - failed protocol test [DEFAULT] at [10.242.136.76]:8300 [TCP/IP] -- Connection timed out
Alert Start Time: 14/1/2026 13:11 Hrs
Event NO: TG Alert
4) OE_Catalog*. *DTH_OE-DTH New Customer Acquisition BT_Catalog_OverallAvgResponseTime&amp;gt;1000ms_sev-1
Alert Start Time: 14/1/2026 13:13 Hrs
Event NO: INC17389090
5) Multiple Aerospike Alerts
Alert Start Time: 14/1/2026 13:15 Hrs
Event NO: TG alert
6) Web service
N1 - EPCTariffPlanServiceImplService - JBoss standalone jboss-eap-*-AIMS-EPC
High^HB_EPC Overall Response Time is high
Alert Start Time: 14/1/2026 13:24 Hrs
Event NO: TG alert
7) Multiple DT Alerts
a) Web request service /Common/PROD_BUTTERFLY_ESB_8015 on port 8015
b) Web request service N1 - DecompositionWebService (/decompositionwebservice) - WebLogic base_domain GUI-Cluster
Alert start Time: 14/01/2026 13:31 Hrs
Event No: INC17389427</t>
  </si>
  <si>
    <t>2026-01-14 13:06
2026-01-14 13:10
2026-01-14 13:13
2026-01-14 13:31</t>
  </si>
  <si>
    <t>2026-01-14 13:16
2026-01-14 13:14
2026-01-14 14:16
2026-01-14 13:45</t>
  </si>
  <si>
    <t>EV_Accepted (Postpaid) pendency:78, EV_Accepted (Brodband) Pendency: 256. M2M portal login was impacted: 24 orders stuck, Service Portal: Slowness Observed, ECHO Dialer: No success dip observed.</t>
  </si>
  <si>
    <t>INC17398658</t>
  </si>
  <si>
    <t>Error observed while creating FTR for Broadband LOB intermittently.</t>
  </si>
  <si>
    <t>In this issue, CC Advisors intermittently encountered the error “Unable to raise SR/FTR” while attempting to create FTRs. Service Portal team confirmed that the issue originated from ‘SRCreate’ API at the HB_CRM end. Subsequently, HB_CRM team, in collaboration with the Amdocs DBA, identified that one of the five DB nodes was experiencing high load and 100% CPU utilization, post a plan change at DB end which caused the problem. To resolve, Amdocs DB team terminated the problematic SQL query and implemented a best plan, post which services resumed normally.</t>
  </si>
  <si>
    <t>INC17397923,INC17397943
INC17398171 
INC17398423</t>
  </si>
  <si>
    <t>Direct:
1)Multiple High CPU utilization/CPU load Text_To_Speech
Hostname:10.14.70.55
Alert time-2026-01-15 05:12 Hrs.
Event no-INC17397923, INC17397943
Symptom:
1)Database service&lt;default&gt;
Response time degradation 709 requests/min impacted
Messaging service N1 - OrderCompletionJmsController - WebLogic humatom humatom-Cluster
Response time degradation 303 requests/min impacted
Web request service N1 - siebel (/siebel)- ses Response time degradation
1.44k requests/min impacted
Alert time-2026-01-15 05:43 Hrs.
Event no-INC17398171 
2)Web service N1 - EAI_Resource- AIQuery*
Response time degradation 10.4 requests/min impacted
Service method: HUMBDServices- SRCreate
Alert time-2026-01-15 06:32 Hrs.
Event no-INC17398423</t>
  </si>
  <si>
    <t xml:space="preserve">1/15/2026 05:12:15
1/15/2026 05:43:21
1/15/2026 06:32:45
</t>
  </si>
  <si>
    <t>1/15/2026 07:02:20
OPEN
1/15/2026 07:02:55</t>
  </si>
  <si>
    <t>Success Dip in Hits (D vs D-7): No Dip (736 vs 730)</t>
  </si>
  <si>
    <t>INC17403642</t>
  </si>
  <si>
    <t>Simswap acquisition was impacted</t>
  </si>
  <si>
    <t xml:space="preserve"> In this issue, SimSwap acquisition was getting impacted as FEs were encountering a “Something went wrong” error. Further investigation identified that a change was deployed on 13th at the eCAF SimSwap end, due to which failures were being observed. Today, team rolled back the change after the issue was reported, however no improvement was observed initially. Subsequently, Dev team also rolled back the same change on the canary pods, after which the issue was fixed and SimSwap acquisition was restored successfully.</t>
  </si>
  <si>
    <t>SimSwap success Dip: 6199(D vs D-7: 21312 vs 27511) is 22% dip.</t>
  </si>
  <si>
    <t>CHG0215049</t>
  </si>
  <si>
    <t>INC17402868</t>
  </si>
  <si>
    <t>Customers not able to view Live data from Nova IQ_SMS end intermittently.</t>
  </si>
  <si>
    <t>In this issue, Nova IQ_SMS team was experiencing high latency on N1 DB ( IP 10.224.46.74/75) due to which customers were not able to view their live data traffic. However to mitigate this issue, Nova IQ team stopped the traffic and released it again on all the application servers, post which services were restored and the issue stands successfully resolved automatically without any technical intervention.</t>
  </si>
  <si>
    <t xml:space="preserve">Customers unable to View Live data intermittently. </t>
  </si>
  <si>
    <t>INC17405903</t>
  </si>
  <si>
    <t>INC17405726
INC17405789</t>
  </si>
  <si>
    <t>1)Host Name : SRListing
Current Value : 181.0
ERROR_MESSAGE : Unable to serve your request. Please try later
Alert Start Time: 15/1/2026 20:41 Hrs
Event NO: INC17405726
2) 5XX_StatusCode_Gloo_API_CS
Current Value : 716.0
Alert Start Time: 15/1/2026 20:51 Hrs
Event NO: INC17405789</t>
  </si>
  <si>
    <t>2026-01-15 20:42
2026-01-15 20:51</t>
  </si>
  <si>
    <t>2026-01-15 20:57
2026-01-15 21:01</t>
  </si>
  <si>
    <t>Success Dip for SR Creation:  346 (D: 52 Vs D-6: 398) is 86%</t>
  </si>
  <si>
    <t>INC17415040</t>
  </si>
  <si>
    <t>HMBD_FX Reports processing was impacted.</t>
  </si>
  <si>
    <t>In this issue, DARTS team was not able to process HMBD_FX reports as they were facing login delays and jobs failures due to server disconnect errors from IP (10.5.76.97). Further, Unix team identified high load on server which subsided post SSD process restart at DARTS end. Moreover, to address server disconnect errors, Unix team noted that the server had been running for 448 days without a reboot and proceeded to reboot it after isolating it from the 4‑node cluster. Following the reboot, the issue has been resolved.</t>
  </si>
  <si>
    <t>HMBD_FX reporting jobs were impacted.</t>
  </si>
  <si>
    <t>INC17413914</t>
  </si>
  <si>
    <t>AIO Dashboard was impacted.</t>
  </si>
  <si>
    <t>In this issue, DARTS jobs were failing on server 10.5.232.68 due to an unavailable shared mount point, which was impacting the AIO dashboard. Unix team, along with the Veritas team, identified corruption on the shared mount point with the FSCK flag set, linked to multiple server nodes. The Unix team initiated the FSCK run at 08:15 hrs and completed it at 11:45 hrs. Post FSCK completion, application team brought up all DARTS services successfully. After this action, the issue is resolved, and DARTS application services are now working fine as expected.</t>
  </si>
  <si>
    <t>INC17411940</t>
  </si>
  <si>
    <t>Symptom:
1) System Uptime has been less than 10 Min||10.5.232.68 has been restarted uptime is less than 10m
ALERT_TYPE : INFRA
Alert Start Time: 16/01/2025 04:13 Hrs
Event NO: INC17411940</t>
  </si>
  <si>
    <t>Prepaid Customer Experience Journey, Prepaid Customer Experience Journey (Call Center)</t>
  </si>
  <si>
    <t>INC17414972</t>
  </si>
  <si>
    <t>Customers were unable to use internet/call and are getting recharge expired for MP and CG circle.</t>
  </si>
  <si>
    <t xml:space="preserve"> In this issue, existing prepaid mobility customers were impacted due to incorrect service barring even though their recharge validity was till a future date. The problem was traced to a validity correction process at the CE end, which was initiated to correct incoming validity from 2035 to the correct recharge-based validity. During this process, the expiry for numbers was incorrectly updated to a yesterday's midnight timestamp, causing supervision expiry and service barring. Further to mitigate the issue, CE team reverted the impacted numbers to their previous validity and then realigned them as per the respective recharge validity. After this corrective action, services were restored successfully and the issue was resolved.</t>
  </si>
  <si>
    <t>9412 Prepaid Numbers were impacted.</t>
  </si>
  <si>
    <t>INC17429541</t>
  </si>
  <si>
    <t>Simswap acquisition was impacted for South HUB.</t>
  </si>
  <si>
    <t>In this issue, eCAF SimSwap services were impacted due to errors received from the PACS end, which affected SimSwap order processing. As part of corrective actions, PACS team refreshed the eCAF SimSwap API at their end, after which improvement was observed and PACS-side errors stopped occurring. Post this action, SimSwap services were restored successfully and the issue was resolved.</t>
  </si>
  <si>
    <t>Alert105903801,Alert105903817
INC17428718
INC17428760</t>
  </si>
  <si>
    <t>Symptom:
1)1 impacted service
Database service Oracle - IPACCHN Failure rate increase 1.06k requests/min impactedby a failure rate increase to 18 % Service method: 2 Service methods
Alert Start Time: 17/01/2025 11:24 Hrs
Event NO: Alert105903801, Alert105903817
2)ECAF_SIMSWAP_EKYC_MILESTONE sim_swap_failed having high count
Host Name : ECAF_SIMSWAP_EKYC_MILESTONE_ORACLE
Current Value : 561.0
Alert Start Time: 17/01/2025 11:45 Hrs
Event NO: INC17428718
3)Host Name : ECAF_SIMSWAP_EKYC_MILESTONE_ORACLE
Current Value : 573.0
Alert Start Time: 17/01/2025 11:50 Hrs
Event NO:INC17428760</t>
  </si>
  <si>
    <t>2026-01-17 11:23
2026-01-17 11:45
2026-01-17 11:50</t>
  </si>
  <si>
    <t>2026-01-17 11:28
2026-01-17 12:07
2026-01-17 12:06</t>
  </si>
  <si>
    <t>646 Orders were impacted</t>
  </si>
  <si>
    <t>INC17429683</t>
  </si>
  <si>
    <t>Postpaid acquisition was impacted</t>
  </si>
  <si>
    <t xml:space="preserve">In this issue, customers were facing downstream errors during the postpaid acquisition journey due to high active connections observed on the eCOM database. Upon further investigation, the elevated connections on the eCOM DB got automatically normalized. Impacted orders were also cleared after repush. As a result, the downstream errors stopped occurring, and the postpaid acquisition service was restored successfully. </t>
  </si>
  <si>
    <t>TG Alert
INC17429092
INC17429114,INC17429116,INC17429119,INC17429126
INC17429316</t>
  </si>
  <si>
    <t>Direct:
1)  1 impacted infrastructure component
Oracle DB Instanceecomdata1
Disaster^Oracle- Blocked Sessions High on ecomdata1
Alert Start Time: 17/01/2025 12:41 Hrs
Event NO:TG Alert
Symptom:
1)ECOM OCP-N1 POD MONITORING
Pod Memory Utilization is High
Alert Start Time: 17/01/2025 12:30 Hrs
Event NO: INC17429092
2)Multiple ecom api services:
 CompositeController
 InternalOrderController
 ProductOrderController
 CartOrderController
 ShoppingCartController
Alert Start Time: 17/01/2025 12:32 Hrs
Event NO: INC17429114,INC17429116,INC17429119,INC17429126
3)1 impacted service Database service Oracle - ecomprodFailed database connects 0 requests/min impacted
The amount of 64 failed database connects exceeded the threshold of 10 in a period of 5 minutes.
Alert Start Time: 17/01/2025 12:48 Hrs
Event NO: IINC17429316</t>
  </si>
  <si>
    <t>2026-01-17 12:30
2026-01-17 12:32
2026-01-17 12:48</t>
  </si>
  <si>
    <t>2026-01-17 13:20
2026-01-17 12:46
2026-01-17 12:59</t>
  </si>
  <si>
    <t>117 Orders were stuck at eCOM end.</t>
  </si>
  <si>
    <t>Mitra, eCAF, eCAF_Sim Swap</t>
  </si>
  <si>
    <t>INC17433615</t>
  </si>
  <si>
    <t>Prepaid and Simswap Acquisition was impacted as Mitra was getting auto logged out.</t>
  </si>
  <si>
    <t xml:space="preserve">In this issue, Mitra was getting auto logged out while performing Acquisition journey. While drilling down team identified high response time from Revenue App on both N1 and N2 nodes. To resolve this, Mitra team took refresh of the Mitra MISC service. Post refresh, system performance improved and login issue was resolved. </t>
  </si>
  <si>
    <t xml:space="preserve">Primary root cause:
Specification Leg-01
Q1: Why there was a service degradation experienced in Prepaid acquisition journey?
Ans: Because FE’s were getting auto logged out from Mitra while clicking on acquisition tab in Mitra ()and APIs were failing with increased error rate that impacted Prepaid Customer Retail Acquisition Journey and Prepaid New Order Sim Swap Journey. However, via eCAF acquisitions were working fine. 
Q2: Why were FE’s getting auto logged out?
Ans: Because Mitra APIs were failing with increased error rate. 
Q3: Why were APIs failing at Mitra?
Ans: Because Mitra MISC and login services experienced high response time and request failures.
Q4: Why Revenue App response time increased?
Ans: Because, Revenue App vendor DB experienced Database sessions were piling up, slowing down request handling between 3:50 PM – 4:00 PM.
Q5: Why did DB delays impact application performance?
Ans: Because, New incoming requests were queued, increasing connection pool utilization. Since, Revenue App uses a shared DB connection pool for multiple features (Acquisition + SIM Transfer), exhausting pool capacity; leading to high response time and failures.
Q6: Why did the issue cascade across systems??
Ans: Mitra auto-activated circuit breaker at 4:00 PM due to downstream failures. Accumulated upstream requests, FE retries, and connection pools size exhaustion resulted in cascading failures impacting acquisition via Mitra. Mitra disabled compliance validation temporarily and refreshed MISC/cache, allowing users to resume acquisition. 
Detection Leg- 02 
Q1: Why was this issue not caught proactively?
Ans: Because there was no clear visibility of Revenue App Database as Revenue app was not onboarded at Monitoring tool. As a result, alert thresholds were breached only after connection pools were exhausted and the Mitra circuit breaker was triggered
Q2: Why it took long to restore the services?
Ans: Service restoration was delayed due to cascading effects caused by accumulated upstream requests during circuit-breaker activation, which led to request flooding and connection pool exhaustion once downstream systems recovered. Additional time was required to stabilise traffic by disabling compliance validation, refreshing Mitra MISC/cache services.
Systemic leg-
Q1: What systemic gaps or operational practices allowed this incident to occur?
Ans: The incident occurred due to insufficient proactive monitoring of downstream system latency and connection pool saturation, absence of defined TPS and throttling limits aligned to Revenue App capacity.
Preventive Actions:
Capacity &amp; TPS Definition: Clearly define and document Revenue App’s maximum TPS and DB connection pool capacity to prevent overload scenarios- Closed Maheshwaran 
Throttling Alignment: Configure application-level throttling in line with the defined Revenue App TPS capacity to prevent downstream saturation and ensure controlled self-recovery. Open: Sandeep, Ashutosh
Timeout Optimization: Review and reduce API timeout values to fail fast when downstream latency increases, minimizing session- Open Sandeep Tiwari
Alert onboarding:- Revenue Application onboarding at Dynatrace -Open Aman Walia/Manish Sharma
</t>
  </si>
  <si>
    <t>PRB0044617</t>
  </si>
  <si>
    <t xml:space="preserve">P3
P3
P1
P3
P3
P3
</t>
  </si>
  <si>
    <t>INC17430897, INC17431092, INC17431203
Alert105910262, INC17430971
INC17431011, INC17431047
TG Alert
INC17430962, INC17430988
INC17431125, INC17431126</t>
  </si>
  <si>
    <t>Symptom:
1) Multiple High memory utilization (&gt;90% for 15m)
IP- 10.222.165.XXX, 10.222.167.XXX, 10.5.214.XXX
Alert Start Time: 17/01/2025 15:57 Hrs
Event No: INC17430897, INC17431092, INC17431203
2) Host Name : autofillNon200WebLayer_1
REQUEST.KEYWORD : /mitra/wrr-app/v2/reversal/mitra/submit, /mitra/misc/sim-tracking/check-consent, /mitra/misc/banner-analytics/track, /mitra/misc/broadband/status/track
Alert Start Time: 17/01/2025 16:00 Hrs
Event No: Alert105910262, INC17430971
3) AppD Alerts
a) Mitra-Prepaid Retail Recharge Journey-Overall Avg ResponseTime 700ms_Sev-1
b) Mitra2_Phase_2-Prepaid Retail Recharge Journey-Overall Avg Response Time&amp;gt;700ms_Sev-1
Alert Start Time: 17/01/2025 16:08 Hrs
Event No: INC17431011, INC17431047
4) Multiple mitra-misc-service failed protocol test [TCP/IP] -- Connection timed out 
IP- 10.222.167.XXX, 10.5.207.XXX, 10.5.214.XXX
Alert Start Time: 17/01/2025 16:06 Hrs
Event No: TG Alert
5) Multiple mitraNon200Phase1 and Phase 2 alert
KEY : /mitra/misc/sim-tracking/check-consent, /mitra/login-service/login/v3, /mitra/misc/cart/fetchCartDetails
Alert Start Time: 17/01/2025 16:03 Hrs
Event No: INC17430962, INC17430988
6) Multiple Load average is too high (per CPU load over 2.0)
IP- 10.222.184.XX , 10.222.175.XX 
Alert Start Time: 17/01/2025 16:21 Hrs
Event No: INC17431125, INC17431126</t>
  </si>
  <si>
    <t>01/17/2025 15:57
01/17/2025 16:00
01/17/2025 16:08
01/17/2025 16:06
01/17/2025 16:03
01/17/2025 16:21</t>
  </si>
  <si>
    <t>01/17/2025 18:25
01/17/2025 16:05
01/17/2025 16:43
01/17/2025 Open
01/17/2025 16:44
01/17/2025 19:46</t>
  </si>
  <si>
    <t>SimSwap Success Dip: D vs D-7: 1503 vs 5312: 3809 is 71%. Prepaid Success Dip: D vs D-7: 51444 vs 56062: 4618 is 8.23%.</t>
  </si>
  <si>
    <t>INC17466484</t>
  </si>
  <si>
    <t>Prepaid activation orders were getting delayed.</t>
  </si>
  <si>
    <t xml:space="preserve">In this issue, eCAF was observing errors from ADS end due to which orders were getting stuck at eCAF. However, during the course of troubleshoot issue got resolved without any technical intervention and nothing conclusive was identified. As of now, pendency is cleared and issue stands resolved. </t>
  </si>
  <si>
    <t>TG alert 
INC17431358
INC17431398,  INC17431431</t>
  </si>
  <si>
    <t>Symptom:
1) Host Name : StatusCode_Gloo_API_Informational_CS
AUTHORITY : NovaTel-dedupe-platform.india.novatel.example
Alert Start Time: 17/01/2026 16:41hrs
Event N0: TG alert
2) 1 Impact Messaging service
[oriondedupe-service-canary] - EndpointMessageListener
Disaster^ECAF-DEDUPE ResponseTime &gt; 2000ms Severity ~2.66 s "AppD Migrated"
Alert Start Time: 17/01/2026 16:45 hrs
Event N0: INC17431358
3 Multiple Milestone_pendency_prepaid_ecaf
STATUS : dedupe_success
Alert Start Time: 17/01/2026 16:49 hrs
Event N0: INC17431398,  INC17431431</t>
  </si>
  <si>
    <t xml:space="preserve">
01/17/2025 16:41
01/17/2025 16:45
01/17/2025 16:49</t>
  </si>
  <si>
    <t>01/17/2025 16:51
01/17/2025 16:54
01/17/2025 17:16</t>
  </si>
  <si>
    <t>990 prepaid orders</t>
  </si>
  <si>
    <t>INC17456764</t>
  </si>
  <si>
    <t xml:space="preserve">HDFC Customer SMS functionality was impacted. </t>
  </si>
  <si>
    <t>In this issue, Nova IQ SMS team reported that HDFC customer removed their traffic as they were facing connectivity issues. Further, Network team confirmed that there is some router down issue t NSG end in BLR DC end for HDFC. However, connectivity resumed as the router device came online without any technical intervention confirmed, post which issue stands resolved.</t>
  </si>
  <si>
    <t>INC17435356
INC17435357
INC17435347,INC17435360</t>
  </si>
  <si>
    <t>Direct: 
1)Solarwinds_HDFC-BGL106-RTR1012.yourdomain.com_172.48.127.70_Interface Down_Vlan1
Alert time - 2026-01-18 00:34 Hrs
Event No - INC17435356
2)HDFC BGL106RTR1012.yourdomain.com_172.48.127.70_Interface Down_GigabitEthernet0/1
Alert time - 2026-01-18 00:34 Hrs
Event No - INC17435357
Symptom:
1)Hostname:IQ SMS MDR | Trigger: 7 Trigger Name : Delivery_Count_hdfc_per_minute | Trigger Value: 7 
Alert time  - 2026-01-18 00:33 Hrs
Event No -INC17435347,INC17435360</t>
  </si>
  <si>
    <t>01/18/2025 00:34
01/18/2025 00:34
01/18/2025 00:33</t>
  </si>
  <si>
    <t>01/18/2025 01:52
01/18/2025 01:50
open</t>
  </si>
  <si>
    <t>HDFC removed total traffic.</t>
  </si>
  <si>
    <t>INC17438113</t>
  </si>
  <si>
    <t>HB_Billing Reports processing was impacted.</t>
  </si>
  <si>
    <t xml:space="preserve"> In this issue, DARTS HMDB reports were impacted as CDC tables were not getting written on the HDFS path due to a permission-related issue. It was identified that generally DARTS uses AIBFFLY user permissions, but somehow last night, permissions were switched to AIRUN, which caused the write failure. Once the team reverted the permissions back to AIBFFLY, CDC tables started writing successfully on the HDFS path and the issue was resolved.</t>
  </si>
  <si>
    <t xml:space="preserve">HB_Billing Reports jobs were impacted. </t>
  </si>
  <si>
    <t>eCAF_EKYC, Mitra</t>
  </si>
  <si>
    <t>INC17440135</t>
  </si>
  <si>
    <t>Prepaid,MNP and JK10 acquisition was impacted.</t>
  </si>
  <si>
    <t>In this issue, prepaid and MNP acquisition services were impacted as FEs were facing “POS UIDAI image not uploaded” error during image verification. It was further identified that after the eCAF DR drill activity during night, some mount points were not mounted correctly and few mount points were missed, which were also not validated during sanity checks. Due to this incorrect mounting, UIDAI image upload and verification started failing. To resolve this issue, Unix team manually corrected and mounted all required mount points on all servers. Post this action, image upload and verification started working fine and services were restored successfully.</t>
  </si>
  <si>
    <t xml:space="preserve">Prepaid success dip: 2115(D vs D-7: 1999 vs 4114) is 51% dip. </t>
  </si>
  <si>
    <t>CHG0214900</t>
  </si>
  <si>
    <t>INC17440741</t>
  </si>
  <si>
    <t>CC users are facing error while creating FTR for Broadband.</t>
  </si>
  <si>
    <t>In this issue, CC Advisors reported getting 'Unable to raise SR/FTR' while raising FTRs intermittently. Further, issue was traced to 'AIQuery4' API at HB_CRM end. Therefore, HB_CRM team took refresh. Post which services resumed normally.</t>
  </si>
  <si>
    <t>INC17438527
INC17438567
INC17438615,Alert105933567
INC17438619</t>
  </si>
  <si>
    <t>Direct:
1)N1 - EAI_Resource- AIQuery*
Failure rate increase
5.02k requests/min impacted
by a failure rate increase to 72 %
Alert time-2026-01-18 08:41 Hrs.
Event no-INC17438527
Symptom:
1) Web request service [sp-guardian] - Netty on 8989 Response time degradation 88 requests/min impacted
Service method: /guardian/api/v1/user/custom/raiseFtrViaCX 
Alert Time: 2026-01-18 08:47 Hrs
Event NO:INC17438567
2)Sable URI Response Alert
Host Name : HB_CRM APIs RT
Sev-3 Current Value : 674.0
URI_PATH : /siebel/v1.0/service/HUMBDServices/SRCreate
Alert Time: 2026-01-18 08:48 Hrs
Event NO:INC17438615,Alert105933567
3)SP_MT_RULE_FAILURE
Current Value : 41.98
RULE_NAME : MDU_HUMMINGBIRD_CUSTOMER_ACCOUNT_TYPE
Alert Time: 2026-01-18 08:59 Hrs
Event NO: INC17438619</t>
  </si>
  <si>
    <t>01/18/2025 08:41
01/18/2025 08:47
01/18/2025 08:58
01/18/2025 08:59</t>
  </si>
  <si>
    <t>01/18/2025 12:19
01/18/2025 09:19
01/18/2025 09:18
01/18/2025 09:09</t>
  </si>
  <si>
    <t>Service Portal Success DIP: (D vs D-7: 12564 vs 9600) is 23% Dip</t>
  </si>
  <si>
    <t>INC17440399</t>
  </si>
  <si>
    <t xml:space="preserve">P2P acquisition was impacted intermittently via stores. </t>
  </si>
  <si>
    <t>In this issue, live images were not getting uploaded in eCAF while doing KYC, due to which P2P acquisition via store was impacted intermittently. Further identified that  pointing for 2 services(Cart and Eternal)  was routed to N2 post ecaf DR drill activity, which ideally should have been pointed to N1. To resolve the issue pointing was changed to N1 for respective services following which issue got resolved.</t>
  </si>
  <si>
    <t>INC17439226
TG Alert</t>
  </si>
  <si>
    <t>Symptom:
1) 1 impacted service Web request service
[ecaf-simswap-service] - simswap-new-app (/simswap-new-app)Failure rate increase 83.2 requests/min impactedby a failure rate increase to 60 %
Alert Start Time: 18/1/2026 10:32 Hrs
Event NO:INC17439226
2)1 impacted service Web request service
[ecaf-simswap-service] - simswap-new-app (/simswap-new-app)Disaster^ECAF-ecaf-simswap-service-Responsetime&gt;1000ms
Alert Start Time: 18/1/2026 10:41 Hrs
Event NO: TG Alert</t>
  </si>
  <si>
    <t>01/18/2025 10:32
01/18/2025 10:41</t>
  </si>
  <si>
    <t>01/18/2025 10:44
01/18/2025 10:46</t>
  </si>
  <si>
    <t>P2P success DIP: (D vs D-7: 89 vs 165) is 46%.</t>
  </si>
  <si>
    <t>INC17461303</t>
  </si>
  <si>
    <t>New retailer onboarding was impacted.</t>
  </si>
  <si>
    <t>In this issue, eCAF team has observed that new retailer onboarding was being affected due to an inability to process live images on the EV Portal. It was further identified that post eCAF DR drill, retailers were unable to submit their live images because the file generated with read‑write permissions was not compatible for upload on the N1 environment, which only supports read‑only files. To address this issue, the storage team updated the file permissions to read‑write, followed by enabling pointing for file to N2 with manual sync under process by eCAF team. As of now, issue stands resolved.</t>
  </si>
  <si>
    <t>Alert105950830 , Alert105952484</t>
  </si>
  <si>
    <t>Symptom:
1)Web request service
[ecaf-simswap-service] - simswap-new-app (/simswap-new-app)
Disaster^ECAF-ecaf-simswap-service-Responsetime&gt;1000ms
Alert Start Time: 18/1/2026 21:53 Hrs (fluctuating)
Event NO: Alert105950830 , Alert105952484</t>
  </si>
  <si>
    <t>New retailers were unable to onboard.</t>
  </si>
  <si>
    <t>INC17453578</t>
  </si>
  <si>
    <t>Mediation_EL was unable to recieve files for CDR processing.</t>
  </si>
  <si>
    <t xml:space="preserve">In this issue, Mediation_EL team reported that they were unable to receive files from IMS Telemedia (NSG) streams across multiple nodes due to a suspected connectivity issue. During troubleshooting, the Network team performed various checks and confirmed that they were unable to ping the Huawei connectivity endpoint (10.227.213.169). To resolve this issue, IMS (NSG) team switched port Eth1-13 from the IT L2 switch (10.30.45.22) to the IT L1 switch (10.30.45.21). After this port switch, connectivity was successfully established and file reception returned to normal as expected. Hence, the issue stands resolved. </t>
  </si>
  <si>
    <t>Mediation_EL is unable to recieve files for CDR processing.</t>
  </si>
  <si>
    <t>P2P Simswap aquisition orders were impacted.</t>
  </si>
  <si>
    <t>In this incident, EV Officers reported an inability to perform P2P SIM swap acquisitions due to image processing failures at the ECAF end. To resolve this, the ECAF team migrated traffic to a new server (10.224.181.158). During troubleshooting it was observed that this issue occurred due to incorrect read/write permissions, which were subsequently reconfigured alongside the NGINX web server permissions. Following these adjustments, image processing returned to normal and the issue stands resolved.</t>
  </si>
  <si>
    <t>INC17450863,INC17450866</t>
  </si>
  <si>
    <t>Symptom:
1)Multiple ECAF_SIMSWAP_MILESTONE_ORACLE
STATUS : ev_pending
Alert Start Time: 01/19/2026 11:40 Hrs
Event NO:INC17450863,INC17450866</t>
  </si>
  <si>
    <t>P2P success DIP: (D vs D: 1052 vs 1159: 107) is 9%.</t>
  </si>
  <si>
    <t>IPTV, NovaWorks, DTH_OE</t>
  </si>
  <si>
    <t>INC17452955</t>
  </si>
  <si>
    <t>In this Issue, It was identified that DTH _OE was observing HRT from i360 end which led to the impact on IPTV installation. Upon investigation, one select query was identified which was taking time to process as query was hitting DB in high quantity. To mitigate this, DBA team took switchover of the impacted DB node(10.223.161.41) to healthy DB node(10.223.161.42) as query was not getting killed. Post which RT was normalized and issue stands resolved.</t>
  </si>
  <si>
    <t>Primary root cause:
Incident Analysis
•	IPTV installation issue occurred twice in last 2 days (20th and 21st Jan) , affecting the IPTV Installation/FR journey.
•	The issue occurred during IPTV activation when FEs initiated activation via NovaTel_Works, and downstream systems responded slowness, causing delays in IPTV and Broadband asset allotment.
•	Upstream systems reported high response time from i360.
•	To mitigate this, DBA team took switchover of the impacted DB node(10.223.161.41) to healthy DB node(10.223.161.42) as query was not getting killed. Post which RT was normalized However, in second occurrence DBA team killed the LRQ queries. Post which RT was normalized and issue stands resolved.
•	 
Root Cause Analysis: Performance Degradation (i360 DB Clusters)
•	DB team observed consistently high CPU utilization on the i360 PostgreSQL database servers 10.223.161.41 and 10.223.161.42 and were experiencing severe performance degradation due to resource exhaustion.
•	CPU Saturation: CPU 20-core allocation was insufficient for the workload. Current usage was reaching close to saturation on the existing 20 CPU cores causing significant processing delays and high query latency.
•	Disk I/O Bottleneck: DB team observed significantly high disk utilization; during peak traffic.  There is heavy disk I/O saturation on devices dev8-80 and dev253-4,High-volume sequential read operations (~450 MB/s) have saturated the disks (99% utilization). 
•	Request Backlog: Consistently high request size (~95–108 KB) and elevated queue depth (aqu-sz ~4.5) indicate that the disks were fully occupied handling read intensive workloads. This sustained saturation on dev8-80/dev253-4 is likely contributing to performance bottlenecks.
•	All these factors increased the response time on i360. 
Observation:-
o	Similar type of high response time issue was occurred in Sept, Oct 2025 wherein DB instance slowdown due to slow queries. Team addressed that by:-
o	
o	Creating a dedicated read port at the database level
o	Query optimization
Preventive Actions
•	Vertical Scaling: Increase CPU core from 20 to 48 cores to handle the high volume of concurrent, long-running queries.(Currently 24 cores has been increased , rest is in progress ) Open – Rishav Sah/ Gurudatt
•	Index Optimization. I360 team will review the indexes to drop/optimize the database indexes------Open Rishav Sah
•	Tables Partition:- i360 team and DB team will do partition of tables for large datasets to make DB work efficiently -Open Rishav/ Mayank</t>
  </si>
  <si>
    <t>PRB0044620</t>
  </si>
  <si>
    <t>Xstream, Digital Acquisition, DTH</t>
  </si>
  <si>
    <t>P4
P4
P3
p3
P3</t>
  </si>
  <si>
    <t>INC17451024
INC17451039
INC17451220, INC17451221
INC17451361
INC17451391</t>
  </si>
  <si>
    <t>Direct:
1)Hostname:10.223.161.41 severity
DB ims: Too many slow queries
Alert Start Time: 19/01/2026 11:53 Hrs
Event NO: INC17451024
Symptom:
1) Hostname:10.223.161.41 severity
The CPU utilization is too high. The system might be slow to respond
Alert Start Time: 19/12/2025 11:55 Hrs
Event NO: INC17451039
2) App D Alerts- DTH_OE-DTH New Customer Acquisition-RS_inventory.novatel.example: 443_OverallErrorRate&amp;gt;15%_Sev-1
inventory.novatel.example:443
Alert Start Time: 19/12/2025 12:10 Hrs
Event No: INC17451220, INC17451221
3) Web service
a) [dth-task-manager-service] - SRController
b) /Common/PROD_10.14.120.82_80 on port 80
Alert Start Time: 19/12/2025 12:22 Hrs
Event No: INC17451361
4) Host Name : NovaTel_Works alerts for Broad Band Journey
INSTANCE : 10.248.40.65:9070
Alert Start Time: 19/12/2025 12:25 Hrs
Event No: INC17451391</t>
  </si>
  <si>
    <t>2026-01-19 11:53
2026-01-19 11:55
2026-01-19 12:45
2026-01-19 12:22
2026-01-19 12:26</t>
  </si>
  <si>
    <t>2026-01-19 12:48
2026-01-19 12:50
2026-01-19 12:54
2026-01-19 Open
2026-01-19 12:56</t>
  </si>
  <si>
    <t>NovaWorks-728 failure hits 
IPTV installation pendency- 226 order</t>
  </si>
  <si>
    <t>NovaTel_IQ, Skyvault</t>
  </si>
  <si>
    <t>INC17463130</t>
  </si>
  <si>
    <t xml:space="preserve">SMS were impacted for 3 customers. </t>
  </si>
  <si>
    <t>In this issue, Intra services firewall for BLR site went into hung state due to which connectivity disrupted between DMZ BLR to Prod zone which led an impact on SMS for 0.1 % traffic of 3 customers were impacted. To mitigate the issue, firewall team took failover of the impacted firewall, post which issue got resolved.</t>
  </si>
  <si>
    <t>Nova IQ, ABGB</t>
  </si>
  <si>
    <t>P3
p3
P3
P1</t>
  </si>
  <si>
    <t xml:space="preserve">INC17461638, INC17461642
INC17461644, INC17461640
INC17461638, INC17461639, INC17461640, INC17461643
INC17461712, INC17461753
</t>
  </si>
  <si>
    <t>Direct
1) Node DOWN at Tuesday, January 20, 2026 9:16 AM for Node = BAL-SHDC-ARDR2-DNS1-DELL-R740.novaworld.in, Node IP = 10.96.9.XXX
Alert Start Time: 20/01/2026 09:16 Hrs
Event No: INC17461638, INC17461642
2) Node DOWN at Tuesday, January 20, 2026 9:17 AM for Node = BAL-SHDC-FPR4145-Intra-Services, Node IP = 10.96.45.XX
Alert Start Time: 20/01/2026 09:17 Hrs
Event No: INC17461644, INC17461640
3) Multiple Node Down alert For Network
IP- 10.96.XX.XXX
Alert Start Time: 20/01/2026 09:17 Hrs
Event NO: INC17461638, INC17461639, INC17461640, INC17461643
4) Multiple Ping alerts for multiple application
IP- 10.92.210.XXX, 10.92.209.XX, 10.92.208.XX, 10.96.132.XXX, 10.92.100.XXX, 10.96.38.XX, 10.94.140.XX, 10.92.210.XXX
Alert Start Time: 20/01/2026 09:22 Hrs
Event NO: INC17461712, INC17461753</t>
  </si>
  <si>
    <t>2026-01-20 09:17
2026-01-20 09:17
2026-01-20 09:17
2026-01-20 09:22</t>
  </si>
  <si>
    <t>2026-01-20 10:17
2026-01-20 10:17
2026-01-20 10:17
2026-01-20 09:43</t>
  </si>
  <si>
    <t>0.1% traffic for 3 customers were impacted</t>
  </si>
  <si>
    <t>Service Portal, Careshark, ECHO, DTH_CRM, DTH_OE, HB_CRM, EV Portal, CCT (Cisco)</t>
  </si>
  <si>
    <t>INC17465288</t>
  </si>
  <si>
    <t>Multiple Engineering Call Centre Applications were intermittently inaccessible.</t>
  </si>
  <si>
    <t>In this incident, it was reported that multiple engineering applications were intermittently impacted. During the investigation, it was identified that a scheduled firewall upgrade activity (Change No: CHG0215032) had been carried out last night. As, ADSSO traffic was distributed 50-50 between the Pune and Noida sites. Due to a policy misconfiguration on the Pune firewall for 10.8 subnet, the traffic routed to Pune was failing, while the traffic routed through the Noida firewall continued to function normally.The Firewall team subsequently implemented the correct policy on Pune firewall, after which the application services were restored to normal and the issue was fully resolved.</t>
  </si>
  <si>
    <t>Primary root cause:
Specification Leg-01
Q1: Why there was a service degradations experienced in multiple Call Center Customer Experience Journey’s?
Ans: Multiple call center applications (Service Portal, Careshark, ECHO, DTH_CRM, DTH_OE, HB_CRM, EV Portal, (CCT) Cisco) were sporadically unavailable and displaying the error "this site can't be reached." Additionally, a sporadic login problem was noted.
Q2: Why was the problem seen in several applications at once?
Ans: CC advisors were using these applications over OSCC proxy and south instance of OSCC proxy was not able to serve the traffic. Since issue was intermittent in nature, team suspecting that some advisor were using south instance proxy IP instead of FQDN they observed the failure.
Q3: Why South instances of OSCC proxy was not able to serve the traffic?
Ans: Further investigations showed that the South DC Intranet Firewall went into a hung condition, which disrupted connections between the DMZ and other zones. Since, the OSCC proxy south instance IP was located in the DMZ zone, it was also affected.
Q4: Why traffic was not get routed to secondary available intranet Firewall?
Ans: In accordance with the standard firewall auto failover procedure, auto failover would be triggered to a secondary one in the event of a hardware or communication failure; however, in this instance, no interface or hardware failure was observed, so auto failover would not be triggered.
Q5: Why South DC Intranet Firewall went into a hung condition?
Ans: Firewall team had raise the case with TAC and they have validated the logs however, they have not observed any surge symptoms wrt traffic ,CPU or memory  along with any other indication which help to figure out the exact cause of this outage.
Detection Leg- 02 
Q1: Why did existing monitoring and quality control mechanisms not identify the firewall hang condition before it impacted?
Ans: The current monitoring framework primarily tracks hardware failures, interface status, and threshold-based CPU and memory utilization. Since the firewall entered a hung state without triggering interface down events, resource exhaustion, or traffic anomalies, no alerts were generated. As a result, the condition went unnoticed until application-level alerts, symptoms were reported by users.
Q2: Why did initial troubleshooting and mitigation efforts take longer to converge on the actual root cause?
Ans: Because, incident coincided with a Pune Firewall upgrade activity completed the previous night, leading the team to initially suspect missing or misconfigured firewall policies as the primary cause. This resulted in parallel investigation and remediation efforts focused on policy validation, which delayed deeper analysis of the firewall’s operational state. The absence of clear indicators pointing to a firewall hang condition further extended the time required to isolate and address the true cause of the outage.
Systemic leg-03
Q1: What systemic gaps or operational practices allowed this incident to occur?
Ans: The incident was enabled by firewall failover mechanisms that do not handle hung states, limited health monitoring for partial failures, and inconsistent use of resilient access paths (proxy IPs instead of FQDN). These gaps reduced the effectiveness of existing redundancy and allowed a localized failure to impact multiple services.
Observations: 
•	Firewall Resiliency is available but did not work as Firewall went into hung state and traffic did not failover to secondary node.
•	Team was initially suspecting issue with missing policies during Pune Firewall upgrade activity performed previous night which delayed resolution as team was also working on parallel action.
•	OSSC Proxy South instance IP also part of impacted DMZ zone, however, proxy resiliency is available in 3DCs over GTM.
Preventive Actions:
•	Hung behaviour was observed multiple times in ASA mode, and Network Security team is in process of converting ASA into FTD mode. Firewall Module Procurement is in progress – Open Joginder 15th March (Tentative)</t>
  </si>
  <si>
    <t>PRB0044621</t>
  </si>
  <si>
    <t>Digital Experience B2C, Broadband, DTH, Digital Acquisition</t>
  </si>
  <si>
    <t>P3
p1</t>
  </si>
  <si>
    <t>INC17461714, INC17461862
INC17462058</t>
  </si>
  <si>
    <t>Symptom:
1) Hostname: SP_MT_RULE_FAILURE
RULE_NAME:SIEBEL
Alert Start time: 20/01/2026 09:23 Hrs
Event NO: INC17461714, INC17461862
2) Host Name : Careshark_LIVECHAT_AUTO_MESSAGES_LATENCY_TM
APP : tm-v2
Alert Start Time: 20/01/2026 10:05 Hrs
Event NO: INC17462058</t>
  </si>
  <si>
    <t>2026-01-20 09:23
2026-01-20 10:05</t>
  </si>
  <si>
    <t>2026-01-20 09:33
2026-01-20 10:15</t>
  </si>
  <si>
    <t xml:space="preserve"> Dip in SR Success : 260 (D : 1357 Vs D-7 : 1617) is 16%.
Dip in Service Portal Success hits: (D : 3771 Vs D-7 : 4669) D vs D-1: 898 is 19%.
Dip in Careshark Success Hits: (D : 15186 Vs D-7 : 16992) D vs D-1: 1806 is 10.6%. 
Dip in ECHO Success Hits:  (D : 6417 Vs D-7 : 6779) 362 D vs D-1: 1806 is 5.3%.</t>
  </si>
  <si>
    <t>CHG0215032</t>
  </si>
  <si>
    <t>The issue resurfaced wherein, It was identified that DTH _OE was observing HRT from i360 end which led to the impact on IPTV installation. Upon investigation, one select query was identified which was taking time to process as query was hitting DB in high quantity. To mitigate this, DBA team killed the LRQ queries. Post which RT was normalized and issue stands resolved.</t>
  </si>
  <si>
    <t>P4
p4
P2
P3
P3
p2</t>
  </si>
  <si>
    <t>INC17463595
INC17463451
INC17463812,INC17463807
TG Alert
INC17463929
Alert106007462
INC17463973</t>
  </si>
  <si>
    <t>Direct:
1)Hostname:10.223.161.41 severity
DB ims: Too many slow queries
Alert Start Time: 20/01/2026 12:12 Hrs
Event NO: INC17463595
Symptom:
1) Hostname:10.223.161.41 severity
The CPU utilization is too high. The system might be slow to respond
Alert Start Time: 20/01/2025 12:05 Hrs
Event NO: INC17463451
2) App D Alerts- DTH_OE-DTH New Customer Acquisition-RS_inventory.novatel.example: 443_OverallErrorRate&amp;gt;15%_Sev-1
inventory.novatel.example:443
Alert Start Time: 20/01/2025 12:29 Hrs
Event No: INC17463812,  INC17463807
3) Host Name : DTH_OEService_RT_noc
API : /OEService/v1/activateorder
Alert Start Time: 20/01/2025 12:35 Hrs
Event No: TG Alert
4) Host Name : NovaTel_Works alerts for Broad Band Journey
INSTANCE : 10.248.40.65:9070
Alert Start Time: 20/01/2025 12:38 Hrs
Event No: INC17463929
5) Web service
[dth-task-manager-service] - SRController
Alert Start Time: 20/01/2025 12:44 Hrs
Event No: Alert106007462
6) HIGH - Check vector chipId call, latency and errors
Alert Start Time: 20/01/2025 12:40 Hrs
Event No: INC17463973</t>
  </si>
  <si>
    <t>2026-01-20 12:13
2026-01-20 12:05
2026-01-20 12:29
2026-01-20 12:38
2026-01-20 12:43
2026-01-20 12:40</t>
  </si>
  <si>
    <t>2026-01-20 12:28
2026-01-20 13:00
2026-01-20 12:50
2026-01-20 13:08
2026-01-20 13:12
2026-01-20 12:50</t>
  </si>
  <si>
    <t xml:space="preserve">IPTV Installation Pendency- 265 Orders </t>
  </si>
  <si>
    <t>INC17465338</t>
  </si>
  <si>
    <t>In this issue, High CPU and memory utilization was observed on the PODS of N1, due to which latency was observed in Careshark. To mitigate this, Careshark team took the POD restart, post this action issue got resolved.</t>
  </si>
  <si>
    <t>P3
p4</t>
  </si>
  <si>
    <t xml:space="preserve">INC17464728,INC17464786
INC17440450
</t>
  </si>
  <si>
    <t>Direct: 
1)careshark-em-secondary (OCP DC1 &amp; DC2)
CPU: 74.687% [&gt;90%]
MEM: 93.424% [&gt;90%]
Alert time : 2026-01-20 13:48,2026-01-20 13:53:37
Event NO: INC17464728,INC17464786
Symptom: 
1)FACEBOOK_GET_DM_API_CALL_ERROR
APP : Facebook-ingestion
Sev-3 Current Value : 26.0
Alert time : 2026-01-18 13:24
Event NO: INC17440450</t>
  </si>
  <si>
    <t>2026-01-20 13:48
2026-01-18 13:24</t>
  </si>
  <si>
    <t>2026-01-20 14:03
2026-01-18 13:35</t>
  </si>
  <si>
    <t>Careshark Success DIP: 463 (D vs D-7: 1078 vs 1541) is 30% Dip.</t>
  </si>
  <si>
    <t>INC17468269</t>
  </si>
  <si>
    <t>IPTV activation/installation was impacted.</t>
  </si>
  <si>
    <t>In this issue, 5xx Failures were observed on "getBoxDetails" api, which impacted IPTV activation/installation. To mitigate this, Xstream team took POD restart, post which failures were settled and Issue stands resolved.</t>
  </si>
  <si>
    <t>P2
P2
P1</t>
  </si>
  <si>
    <t>INC17466205,INC17466267,INC17466271
INC17466205
INC17466326</t>
  </si>
  <si>
    <t>Symptom:
1) Multiple  CRITICAL - Failed to get box details
Severity: 1
Threshold Value: 539.0
Error Description &amp; Techops Sop:
Alert Start Time: 20/12/2025 16:04 Hrs
Event No: INC17466205,INC17466267,INC17466271
2)RITICAL - Check Xstreme login , latency and errors there
Severity: 1
Threshold Value: 1890.0
Alert Start Time: 20/12/2025 16:10 Hrs
Event No: INC17466205
3) Multiple [FIRING] 5xx user-service on 
Severity: 3
Alert Start Time: 20/12/2025 16:10 Hrs
Event No: INC17466326,</t>
  </si>
  <si>
    <t>01/20/2025 16:10
01/20/2025 16:10
01/20/2025 16:19</t>
  </si>
  <si>
    <t>01/20/2025 16:35
01/20/2025 16:35
01/20/2025 16:34</t>
  </si>
  <si>
    <t>Service Portal, eCAF</t>
  </si>
  <si>
    <t>INC17487288</t>
  </si>
  <si>
    <t>CC users were facing error while creating FTR for Postpaid along with Postpaid and COCP activation orders were getting delayed.</t>
  </si>
  <si>
    <t xml:space="preserve">In this issue, Service Portal was observing 400 on /guardian/api/v1/user/custom/raiseFtrViaCX API from Selfcare B2C end leading to impact on FTR creation for postpaid as well as postpaid and COCP activation order getting stuck at SIEBEL_TIMEOUT_CREATE_ORDER. Further, it was identified that this is due to High load avg. on Node 3 of BTFLY_CRM. For this, BTFLY_CRM team killed 1300 sessions to decrease the load, post which pendency was repushed and issue got resolved. </t>
  </si>
  <si>
    <t>P1
P3
P3
P3
P3
P3</t>
  </si>
  <si>
    <t>INC17466892,INC17466959
INC17466661,INC17466662
INC17466877
INC17466878,INC17466879
INC17467095 
INC17467097</t>
  </si>
  <si>
    <t>Direct:
1)Multiple Load average is too high (per CPU load over 2.0) 
Hostname:10.14.70.13
Alert time-2026-01-20 17:11 Hrs.
Event no-INC17466892,INC17466959
Symptom:
1)Multiple Bind Count 0 for Following Solace Queue in last 10m|
Host Name : Btfly_Crm_Solace_prod_ALERT
QUEUE : SiebelSuspendResumeDisconnectOrderReqQ
QUEUE : SiebelSyncCustomerProfileResQ
QUEUE : SiebelProvisionServiceOrderResQ
Alert time-2026-01-20 16:50 Hrs.
Event no-INC17466661,INC17466662
2)sp_guardian_raiseFTRViaCX_failure_percent||High Failure in last 10M
URL : /guardian/api/v1/user/custom/raiseFtrViaCX
Current Value : 3131
Alert time-2026-01-20 17:09 Hrs.
Event no-INC17466877
3)Multiple CreateCase-HRT
Host Name : CreateCase-High_Response_Time
CLIENT_LOB : POSTPAID
Alert time-2026-01-20 17:10 Hrs.
Event no-INC17466878,INC17466879
4)Web request service[butterfly-cocp-service] - butterfly-cocp-service-
Failure rate increase
Service method: /ecaf-postpaid-b2b/ecafPostpaidB2B/createOrder/bulk/v1 
Alert time-2026-01-20 17:23 Hrs.
Event no-INC17467095 
5)ECAF_POSTPAID_COM_EKYC_MILESTONE EV_ACCEPTED having high 
Host Name : ECAF_POSTPAID_COM_EKYC_MILESTONE_ORACLE
Current Value : 191.0
Alert time-2026-01-20 17:25:08 Hrs.
Event no-INC17467097</t>
  </si>
  <si>
    <t>01/20/2025 16:19
01/20/2025 16:50
01/20/2025 17:09
01/20/2025 17:10
01/20/2025 17:23
01/20/2025 17:23</t>
  </si>
  <si>
    <t>01/20/2025 16:34
01/20/2025 17:13
01/20/2025 17:33
01/20/2025 18:40
01/20/2025 17:45
01/20/2025 17:45</t>
  </si>
  <si>
    <t>Postpaid orders: 148
COCP orders: 68
Service Portal Success Hits: (D vs D-7: 4277 vs 4712: 435 is 9.2%).</t>
  </si>
  <si>
    <t>Prepaid New Order Sim Swap Journey, Prepaid Customer Retail Acquisition Journey, Postpaid New Customer Acquisition-MNP Journey, Postpaid New Customer Acquisition Journey, Prepaid New Customer Acquisition-MNP Journey</t>
  </si>
  <si>
    <t>INC17475772</t>
  </si>
  <si>
    <t>Multiple acquisition journeys were impacted</t>
  </si>
  <si>
    <t>In this issue, It was identified that Misc service got removed from OCP Cluster due to which Mitra was getting 503 - Service Unavailable, which impacted Prepaid, Simswap, Postpaid and MNP acquisition journey. To mitigate this issue, eCAF team deployed Misc service from Phase2 to 62DC and created their services, post which improvement was observed and issue stands resolved.</t>
  </si>
  <si>
    <t>Primary Root Cause: 
Leg 01 - Specification 
Q1. Why were service disruptions observed for multiple acquisition journeys? 
A1. Because field executives encountered 503 – Service Unavailable errors while performing acquisition operations on Mitra and eCAF applications. As a result, acquisition flows for Prepaid, Postpaid, MNP and SIM Swap orders failed, leading to widespread impact on multiple acquisition journeys.
Q2. Why did Mitra and eCAF applications return 503 – Service Unavailable errors? 
A2. Because downstream requests to the Acquisition Miscellaneous service (acq-misc-service) consistently failed for the endpoint (/acquisition-misc/network/circle/check). High request throughput combined with increased response times resulted in request timeouts and HTTP failures on the eCAF commons service component (/Common/PROD_openshift_10.14.50.182:80), leading to complete unavailability of acq-misc-service in the N1 DC. 
Q3. Why were request calls to acq-misc-service failing? 
A3. Because the acq-misc-service deployment had no running pods in the production OpenShift (OCP) cluster (Cluster:n1ocp-pclus-02, Namespace: ecaf-prod). The absence of active pods meant that the service endpoint could not process incoming requests, resulting in service being unreachable. Consequently, all dependent acquisition flows experienced a complete service outage, and a high failure rate was observed for acquisition-related API requests. 
Q4. Why did the acq-misc-service have no running pods in the production OCP cluster? 
A4. Because the acq-misc-service deployment was removed from the production OCP cluster. This occurred when a deletion action was executed from the Buildpiper platform using a service account user that had access to the production environment. This action deleted the Kubernetes deployment along with all active pods and removing all running application instances. As a result, no service endpoints were available to process requests, which caused the service to become unavailable. 
Q5. How did the acq-misc-service get deleted from the production OCP cluster? 
A5. Because eCAF DevOps team was performing environment configuration changes in Buildpiper platform and identified a misconfiguration that required correction. To address it, DevOps team executed an environment deletion command. Buildpiper includes a feature whereby once a service has been onboarded and has had at least one successful deployment through the platform, deletion actions automatically remove the service along with all associated deployment resources, pods and dependencies. During this process, the deletion command unintentionally propagated to the production OCP cluster, removing the acq-misc-service deployment and its dependent resources. The eCAF Devops team was unaware of this behavior, which caused the services to become unavailable and disrupted multiple acquisition journeys.
Leg 02 – Detection 
Q1. Why was the acq-misc-service outage not detected proactively before impacting multiple acquisition journeys? 
A1. Because existing monitoring focuses primarily on high-level service availability and API health, rather than on deployment-level and pod-level health indicators. As a result, when the acq-misc-service pods were deleted, the service endpoints became unavailable, but no immediate alerts were triggered for the absence or sudden reduction of running pods, delaying detection until user-facing failures occurred. 
Q2. Why was DevOps team unable to clearly understand the deletion warning (pop-up) in Buildpiper? 
A2. Because the pop-up message did not explicitly describe the impact or consequences of the deletion action, particularly its effect on production deployments and associated dependencies. The message lacked clarity and sufficient contextual information, which resulted in the deletion being executed without full awareness of its potential production impact. 
Q3. Why was there a delay in identifying how the deletion command impacted production? 
A3. Because Buildpiper execution logs were no longer available after the deletion command was executed, and there was no real-time correlation between Buildpiper actions and production impact. The root cause was identified only after Buildpiper audit logs were later provided, which confirmed that the service had been successfully deployed multiple times through platform, explaining how the deletion propagated to production. 
Q4. Why did the delete command run in the past not impact production? 
A4. Because the service had only been onboarded or configured in Buildpiper previously but was never deployed through the platform. Since no successful deployment occurred, Buildpiper had an active linkage to the production environment, and therefore the delete action did not propagate to the production deployment.
Leg 03 – Systemic Failure 
Q1. How did systemic gaps in Buildpiper’s deployment and environment management contribute to the production deletion incident? 
A1. The incident was driven by multiple systemic gaps in Buildpiper’s deployment and environment management processes: 
o	Platform behavior: Buildpiper is designed to automatically delete a service along with all its associated resources (e.g., deployments, pods, configurations) once it has been successfully deployed. While this behavior is intended to maintain environment hygiene, it lacks explicit safeguards for production environments. As a result, any deletion action in the platform can propagate to production if not carefully controlled. 
o	Environment control gaps: The platform does not fully isolate non-production and production environments. This means configuration changes, cleanup operations or deletion commands executed in a non-production environment can, under certain conditions, accidentally affect production resources. In this incident, a deletion action that was intended for testing or configuration cleanup was able to impact production due to this gap. \
o	Lack of awareness: Teams were unaware that Buildpiper’s deletion behavior could impact production once a service was onboarded or parially deployed. There was no formal documentation or communication highlighting the potential consequences of using delete commands in Buildpiper, leading to accidental execution without understanding the risk. 
o	Absence of protective guardrails: Buildpiper lacked automated preventive measures to protect production deployments. Specifically, there were no confirmation prompts, automated warnings or RBAC-based restrictions that could prevent unauthorized or accidental deletion of production services. The absence of these controls allowed a single misstep to directly result in the removal of a critical production service.
Preventive Measures : 
•	Define alerts for sudden reductions in running pods to prevent service impact. – Rakesh Bhagat - (Open) 
•	Buildpiper OEM to improve UI message to clearly state what are the repercussions of executing the delete message, once this option is used – Ankush (Open - ETA 31st Jan’26) 
•	Disable environment delete feature from Buildpiper for DevOps. – Ankush (Open - ETA 31st Jan’26) 
•	Central DevOps team to control any deletion from Buildpiper directly on OCP cluster. – Ankush - (Closed)</t>
  </si>
  <si>
    <t>PRB0044622</t>
  </si>
  <si>
    <t xml:space="preserve">
P3
P3</t>
  </si>
  <si>
    <t xml:space="preserve">
INC17468691
INC17468686,INC17468793</t>
  </si>
  <si>
    <t>1)Web request service N1 - :9443 - nginx Failure rate increase
41.7k requests/min impacted
Alert time-2026-01-20 19:57 Hrs.
Event no-INC17468691
3)Multiple High CPU utilization
Host Name : 10.222.184.53,10.222.175.21
Alert time-2026-01-20 19:57 Hrs.
Event no-INC17468686INC,INC17468793</t>
  </si>
  <si>
    <t xml:space="preserve">
01/20/2025 19:57
01/20/2025 19:57</t>
  </si>
  <si>
    <t xml:space="preserve">
01/20/2025 20:27
01/20/2025 20:12</t>
  </si>
  <si>
    <t xml:space="preserve"> Prepaid success dip: 7371(D vs D-7: 1602 vs 8973) is 82% dip.
SimSwap success dip: 1800(D vs D-7: 156 vs 1956) is 92% dip.
Postpaid success dip: 209(D vs D-7: 206 vs 415) is 50% dip.
Broadband Success dip: (D vs D-7: 415 vs 362) is no dip.</t>
  </si>
  <si>
    <t>INC17479842</t>
  </si>
  <si>
    <t>Recharges for Prepaid via Nova App are delayed.</t>
  </si>
  <si>
    <t>In this issue, It was identified that a deployment (DPAY 99) executed by the DPS team for the (v-12payment-order-service-worker-n2) 20% on one server, due to which recharge transactions via Nova App remained “In Progress” on the Service Portal. To mitigate this, DPS team rolled back the change. Post recon job ran successfully, the delayed orders were auto repushed and issue got resolved.</t>
  </si>
  <si>
    <t xml:space="preserve">500 recharges got delayed. </t>
  </si>
  <si>
    <t>DPAY 99</t>
  </si>
  <si>
    <t>INC17497026</t>
  </si>
  <si>
    <t>Broadband, Postpaid and JK10 payment posting was impacted in DCAP.</t>
  </si>
  <si>
    <t>In this issue, it was identified that CPU utilization on CU14 was high due to continuous auto-extension of the SYSAUX tablespace, which resulted in multiple DB sessions getting stuck in latch wait events and caused a high load average. This impacted payment posting for Broadband, Postpaid, and JK10. However, payment pendency was cleared automatically without any manual intervention. As a corrective action, SYSAUX tablespace was increased by allocating sufficient space in one go, and the stuck latch-event sessions were terminated, post which CPU utilization normalized and issue stands resolved.</t>
  </si>
  <si>
    <t>P3
NA
p2
p2
NA
p3</t>
  </si>
  <si>
    <t>INC17493586
TG Alert
INC17493931
INC17493923
TG Alert
INC17493932</t>
  </si>
  <si>
    <t>Direct:
1) Host 10.1.7.157, 10.13.88.231, 10.223.142.203, 10.223.142.205, 10.223.142.207, 10.223.142.208 - CPU saturation 98.56 % CPU usage
Alert time-2026-01-22 17:39 Hrs.
Event no:INC17493586
Symptom:
1) impacted service Messaging service [servicecreationtelemedia] - TelemediaServiceCreationMessageListener Response time degradation 94.4 requests/min impacted 
Alert time-2026-01-20 17:33 Hrs.
Event no-TG Alert
2)Dcap OCP 4 High Failures being Observed for wireline_fail
Current Value : 155.0
Alert time-2026-01-20 17:54 Hrs.
Event no-INC17493931
3)DCAP-OCP-4-SourceWise_FailedHitsAlert_last_wireless_fail
Current Value : 155.0
Alert time-2026-01-20 17:54 Hrs.
Event no-INC17493923
4)impacted infrastructure component
Oracle DB Instance PDK6CU14_1
Average^Oracle- Active Connections Error on PDK6CU14_1
Alert time-2026-01-20 17:55 Hrs.
Event no-TG Alert
5)Web service [createpayment-service] - PaymentPostingController
Failure rate increase 3.92k requests/min impacted
Alert time-2026-01-20 17:58 Hrs.
Event no-TG INC17493932</t>
  </si>
  <si>
    <t>2026-01-22 17:30
2026-01-20 17:33
2026-01-22 17:54
2026-01-22 17:54
2026-01-20 17:55
2026-01-22 17:53</t>
  </si>
  <si>
    <t>2026-01-22 19:27
2026-01-20 18:31
2026-01-22 18:14
2026-01-22 18:14
2026-01-20 18:23
open</t>
  </si>
  <si>
    <t>JK10  - 25, Postpaid - 48, Broadband - 298</t>
  </si>
  <si>
    <t>INC17496822</t>
  </si>
  <si>
    <t>INC17496466 , INC17496467</t>
  </si>
  <si>
    <t>Symptom: 
1)5XX_StatusCode_Gloo_API_CS | AUTHORITY : casemgmt.india.novatel.internal | Trigger Value: 587
Alert time - 2026.01.22 20:32Hrs (Fluctuating)
Event no - INC17496466 , INC17496467</t>
  </si>
  <si>
    <t>Success Dip for SR Creation: 172 (D: 70 Vs D-6: 242) is 71%</t>
  </si>
  <si>
    <t>Broadband Customer Experience Journey (Call Center), DTH Customer Experience Journey (Call Center)</t>
  </si>
  <si>
    <t>INC17506243</t>
  </si>
  <si>
    <t>CC Advisors were facing error while creating SR for Broadband &amp; DTH Lob.</t>
  </si>
  <si>
    <t>In this issue, It was identified that CC advisers were facing some buffering error while creating SR for Broadband &amp; DTH Lob. However, during the course of troubleshoot issue got resolved without any technical intervention SR creation has started.</t>
  </si>
  <si>
    <t>No Dip [D-D7 (572-564)]</t>
  </si>
  <si>
    <t>INC17507868</t>
  </si>
  <si>
    <t>Broadband order processing was delayed.</t>
  </si>
  <si>
    <t>In this issue, the HB team reported intermittent errors at the HB_CRM to HB_ATOM milestone, due to which all types of broadband orders were getting delayed. While the orders were getting stuck, they were getting cleared through repush. During the course of troubleshooting, the errors stopped occurring, and the issue got resolved automatically without any technical intervention.</t>
  </si>
  <si>
    <t>Change of bill Plan: 146 order
Change order: 253 order
New registration: 320 order
Post to pre: 1 order
Promise to pay: 1 order
Safe custody: 62 order(783 orders were delayed.)</t>
  </si>
  <si>
    <t>INC17510341</t>
  </si>
  <si>
    <t>Display name convention was coming wrong for acquisition related payments made via QR through RazorPay.</t>
  </si>
  <si>
    <t xml:space="preserve">In this issue, VPA creation at RazorPay end was wrongly tagged due to which display name convention was coming wrong for acquisition related payments made via QR through RazorPay. However, MID made for payment ID was correct so, the payment mapping was towards NovaTel account only, thus, no transactional loss should be observed. To mitigate the impact, DPS team shifted the traffic from Razorpay to PayU. 
Further, RazorPay team will be sharing the impacted transaction ID with DPS team to verify whether the payments were received at NovaTel end or not. </t>
  </si>
  <si>
    <t>No transactional impact.</t>
  </si>
  <si>
    <t>INC17516839</t>
  </si>
  <si>
    <t>AIO dashboard was impacted for TN, DL &amp; OR circles.</t>
  </si>
  <si>
    <t>During this issue, it was observed that the AIO dashboard jobs had entered a long-running state for the TN, DL, and OR circles. Although the jobs were bounced, the problem persisted. Subsequently, the DB team reexecuted the gather stats activity for these circles, after which all circles began functioning normally.</t>
  </si>
  <si>
    <t>AIO dashboard impacted.</t>
  </si>
  <si>
    <t>INC17520130</t>
  </si>
  <si>
    <t>In this issue, orders were getting piled up in the GIS Tag Change Order queue without any known reason, due to which order processing was impacted. During the course of troubleshooting, the orders started clearing automatically without any technical intervention. Post this, the queue normalized and order processing resumed successfully.</t>
  </si>
  <si>
    <t>INC17519857 , INC17519859</t>
  </si>
  <si>
    <t>Symptom:
1)Orders stuck at Tag change State - FTTH broadband orders
 NovaTel_Works alerts for Broad Band Journey
 Current Value : 214.0
 Alert Start Time: 2026.01.24 15:41 Hrs
 Event No: INC17519857 , INC17519859</t>
  </si>
  <si>
    <t>490 orders were stuck</t>
  </si>
  <si>
    <t>INC17527563</t>
  </si>
  <si>
    <t>In this issue, Darts team was not receiving data for jms/hummingbird/telemediaFXGGDartsQ_10.223.142.202_FXCU14 queue from DBA end. To fix this, DBA team performed a refresh at their end, post which data started flowing to Darts successfully. Additionally, to fill the gap Darts team initiated a history load.After completing the history load,  and the issue stands resolved.</t>
  </si>
  <si>
    <t>Postpaid New Customer Acquisition Journey, Prepaid New Order Sim Swap Journey, Prepaid Customer Retail Acquisition Journey</t>
  </si>
  <si>
    <t>INC17529693</t>
  </si>
  <si>
    <t>e-SIM acquisition was impacted</t>
  </si>
  <si>
    <t>In this issue, It was identified that eCAF(10.5.214.226) was not able connect with SMDP (10.5.56.140) server via proxy due to which e-SIM Prepaid, Postpaid and Simswap acquisition was impacted. However, during the troubleshooting the connection restored and orders started processing and issue got resolved. The action taken to resolve this issue remain unknown, further eCAF will confirm post getting update from SMDP.</t>
  </si>
  <si>
    <t>e-SIM success dip: 412 (D vs D-7: 55 Vs 467) is 88%.</t>
  </si>
  <si>
    <t>DTH Customer Experience Journey (Call Center), IPTV Customer Experience Journey (Call Center)</t>
  </si>
  <si>
    <t>INC17532525</t>
  </si>
  <si>
    <t>CC Advisors were unable to raise SR in Service Portal for DTH and IPTV LOB intermittently.</t>
  </si>
  <si>
    <t>In this issue, CC advisors were observing the error "Something went wrong. Please try again!" while raising SR in Service Portal as the 'FetchRulesViaCase' API observed sudden spike. Further investigation confirmed that issue occurred due to traffic migration by Blink team from N1 to N2 as a precheck for Leaf switch migration Network activity (CHG0215645). issue stands resolved post traffic migration completed.</t>
  </si>
  <si>
    <t>INC17532138  
INC17532245</t>
  </si>
  <si>
    <t>Symptom:
1)OneNova-Black Customer Experience Journey-Homes-RS_blinkmdm.novatel.example
Overall Error rate is greater than 5%_Sev-1
Alert time:2026-01-25 20:40 Hrs
Event NO:INC17532138  
2)Multiple Web service impacted 
[v-*omnichannel-widget-prod] - PincodeController
[v-*omnichannel-widget-prod] - CityController
Kong- Internalapi-gateway.india.novatel.internal- Port8000
Failure rate increase
6.05k requests/min impacted
by a failure rate increase to 68 %
Service method: All dynamic requests
Alert time:2026-01-25 20:49 Hrs
Event NO:INC17532245</t>
  </si>
  <si>
    <t>2026-01-25 20:40:17
2026-01-25 20:49:12</t>
  </si>
  <si>
    <t>2026-01-25 23:41:17
2026-01-25 23:40:02</t>
  </si>
  <si>
    <t>DTH SR creation success Dip (D vs D-7): No Dip(20 vs 18).</t>
  </si>
  <si>
    <t>CHG0215645</t>
  </si>
  <si>
    <t>DTH Customer Experience Journey (Call Center), Nova App Experience Journey</t>
  </si>
  <si>
    <t>Service Portal, Nova App</t>
  </si>
  <si>
    <t>CC Advisors were unable to raise SR in Service Portal for DTH LOB along with impact on new customer acquisition via Nova App intermittently.</t>
  </si>
  <si>
    <t>In this, issue resurfaced where CC advisors intermittently faced error "Something went wrong. Please try again!" while raising SR in Service Portal. Further investigation along with Network and Blink team confirmed that post traffic migration under a precheck for Leaf switch migration Network activity (CHG0215645), service Portal team was not getting response from Blink end as traffic was not landing on Blink upstream Gloo. To resolve this, Blink team coordinated with with Network team to shift the traffic 100% to N1, post which requests started landing on Blink end and issue stands mitigated.</t>
  </si>
  <si>
    <t>DTH SR creation success Dip (D vs D-7): 114(53 vs 167) is 68% dip. Nova App: 100% impact for buying Postpaid, Prepaid and DTH connection</t>
  </si>
  <si>
    <t>INC17550023</t>
  </si>
  <si>
    <t>CC advisors were unable to access Mpower application.</t>
  </si>
  <si>
    <t>In this issue, it was identified that the Apache server(10.5.78.15) went in hung state, due to which CC advisors were not able to login Mpower . To mitigate this, ACS team took service refresh of the hung server , post which issue got resolved.</t>
  </si>
  <si>
    <t>Broadband Installation/FR Journey, Black Activation Journey</t>
  </si>
  <si>
    <t>Ecom, Number Management System (NMS), eCAF_eDSL</t>
  </si>
  <si>
    <t>INC17537515</t>
  </si>
  <si>
    <t>Black/Broadband installation/activation orders were delayed.</t>
  </si>
  <si>
    <t>In this issue, where Black/Broadband activation/Installation orders were getting stuck at NMS_RESERVE_FAILED state. During investigation team identified that, the Broadband Inventory was exhausted in NMS from business end. To resolve this, new  inventory was uploaded by Business team, Post which orders started clearing and issue got resolved.</t>
  </si>
  <si>
    <t>INC17537015</t>
  </si>
  <si>
    <t>Symptom:
1) ECAF_BROADBAND_COM_MILESTONE NMS_RESERVE_FAILED count is High
Current Value : 127.0
Alert Start Time: 26/01/2026 08:45 Hrs 
Event NO: INC17537015</t>
  </si>
  <si>
    <t>Postpaid New Customer Acquisition-MNP Journey, Prepaid New Customer Acquisition-MNP Journey</t>
  </si>
  <si>
    <t>INC17548932</t>
  </si>
  <si>
    <t xml:space="preserve">MNP acquisition Impacted intermittently. </t>
  </si>
  <si>
    <t>In this issue, it was reported that the Jupiter system was not receiving requests from Telecordia, which impacted UPC generation and the MNP acquisition process intermittently. Further analysis revealed that during a network activity performed last night, all Noida N1 DC server traffic was migrated to the Noida N2 DC and the MCH (Mobile Number Portability Clearing House) services were also shifted from N1 to N2 DC but one MCH server remained in hung state and continued serve its traffic N1 DC, causing this service interruption. However to fix this issue, NSG team took server  reboot and its services were successfully redirected to N2 DC, after which MNP order processing. Hence, the issue stands resolved.</t>
  </si>
  <si>
    <t>INC17539164</t>
  </si>
  <si>
    <t>CDR, Clickstream and Com reporting was impacted in DARTS 2.0.</t>
  </si>
  <si>
    <t>In this issue, it was identified that SSD Node 4 in the DARTS Grid was down since yesterday, due to which CDR, Clickstream, and Com reporting for 3 domains was impacted. To mitigate this issue, Storage team performed a hardware replacement activity, replacing the affected controller for SSD Node 4. Post this, all dependent jobs resumed normal execution and issue stands resolved. Additionally, Storage team has logged a case with NetApp for a detailed RCA, which is currently awaited.</t>
  </si>
  <si>
    <t>Reporting impacted for 3 domains (netwrk-cdr, csenhb-clkstr, discom-com)</t>
  </si>
  <si>
    <t>INC17551404</t>
  </si>
  <si>
    <t>In this issue, High CPU and memory utilization was observed on the PODS, due to which latency was observed in Careshark. However, during the course of troubleshooting the CPU utilization got stable without any technical intervention and issue got resolved.</t>
  </si>
  <si>
    <t>INC17550768,INC17550882</t>
  </si>
  <si>
    <t>Direct:
1) Multiple High Resource % Usage -  careshark-em-secondary (OCP DC1+DC2)
careshark-em-secondary-4:
CPU: 63.61% [&gt;90%]
MEM: 92.903% [&gt;90%]
Alert Start Time: 27/01/2026 15:28 Hrs 
Event NO:INC17550768,INC17550882</t>
  </si>
  <si>
    <t>Careshark Login was impacted.</t>
  </si>
  <si>
    <t>INC17553504</t>
  </si>
  <si>
    <t>Mass Outage SR creation was impacted in HB_CRM.</t>
  </si>
  <si>
    <t>In this issue, HB_CRM was not receiving data from NDL(Network Datalake) end, due to which Broadband mass outage SR creation was impacted. It has been identified that scheduled job, which runs as multiple tasks at 15-minute intervals, was not getting triggered as expected. To mitigate this, NDL team has increased the number of resources(PODS) from 9 to 15 and took Job restart for HB_CRM. Post which bind count established and data started flowing as usual. Issue stands resolved.</t>
  </si>
  <si>
    <t>INC17550919</t>
  </si>
  <si>
    <t>Symptom:
1) hb_crm_mo_sr_count alert
Current Value : 0.0
Alert Start Time: 27/01/2026 15:41 Hrs 
Event NO: INC17550919</t>
  </si>
  <si>
    <t xml:space="preserve">4K Mass outage SR hampered.  </t>
  </si>
  <si>
    <t>INC17561189</t>
  </si>
  <si>
    <t xml:space="preserve">CCN, SASN, ONDR and MWCH report processing jobs were impacted. </t>
  </si>
  <si>
    <t>In this issue, DARTS team reported that post a server reboot by UNIX team on node 10.5.232.51, as storage disks became unable on same due to HBA cards being offline, DARTS team was unable to connect to bin directory. However, upon investigation the directory path was found as incorrect and post correcting the directory path by DARTS team, the issue resolved and jobs resumed normally.</t>
  </si>
  <si>
    <t xml:space="preserve"> Alert106278668</t>
  </si>
  <si>
    <t>Symptom:
1) ping response on IP 10.5.232.51 is down error message "ping timeout"_10.5.232.51
Alert Start Time: 28/01/2026 11:22 Hrs
Event No: Alert106278668</t>
  </si>
  <si>
    <t>CCN, SASN, ONDR and MWCH loading impacted.</t>
  </si>
  <si>
    <t>INC17567717</t>
  </si>
  <si>
    <t xml:space="preserve">CC advisors were not getting postpaid MNP port out live customer details on echo dialer. </t>
  </si>
  <si>
    <t>In this issue, It was identified that, echo dialer was getting error from Jupiter end, due to which CC advisors were not able to fetch the customers details of Postpaid MNP Port-out for callback. To mitigate, Jupiter team has taken service refresh and increased timeout at their end, but 5xx error was still being observed. To resolve this, Jupiter team shifted their 100% traffic to N1 from N2, post which improvement observed and issue stands resolved.</t>
  </si>
  <si>
    <t>(D vs D-7: 2277 vs 4712: 2435 is 51%).</t>
  </si>
  <si>
    <t>Jira</t>
  </si>
  <si>
    <t>Multiple application teams were unable to perform deployment via Jira.</t>
  </si>
  <si>
    <t>In this issue, It was identified that Jira DC migrated to Jira Cloud Enterprise under CHG0215306, during which certain pipeline configuration updates (URL changes) were implemented at the Jira end. All platform and application teams were formally communicated to update their respective scripts leveraging custom pipelines or use centrally managed DevOps shared pipelines. Teams were also advised to validate all changes in UAT environment prior to production rollout. Necessary support will be provided through an active war-room setup to assist application teams facing deployment challenges post-migration.</t>
  </si>
  <si>
    <t>Multiple application teams were unable to perform deployment</t>
  </si>
  <si>
    <t>CHG0215306</t>
  </si>
  <si>
    <t>Broadband Acquisition Journey, Black Acquisition Journey, Postpaid Acquisition Journey, Broadband Installation/FR journey, IPTV installation/FR journey</t>
  </si>
  <si>
    <t>INC17574077</t>
  </si>
  <si>
    <t>In this issue, Field engineers reported that they were unable to mark their attendance in NovaWorks. Further, issue was attributed to throttling and NovaWorks team scaled up Pods vertically , i.e. increased CPU to 6-core, post which some improvement was observed but issue resurfaced. Moreover, NovaWorks team bypassed the attendance for all LOBs except HDO. Furthermore, an issue related to stuck threads was identified on 'FaceAuthAPI' in NovaWorks for which team decreased the timeout window from 5 sec to 1 sec, post which threads got released and issue stands mitigated.</t>
  </si>
  <si>
    <t>Primary Root Cause:
• On January 29, 2026, a service degradation was observed impacting attendance marking workflows for field engineers during the broadband installation journey, caused by intermittent failures in the Face Authentication and Liveness Detection APIs consumed by NovaWorks.
• The degradation was indicated by increased API latency, timeout errors and a noticeable reduction in overall API success rates, particularly during peak attendance marking windows.
• Field engineers were unable to mark attendance, resulting in operational disruption and delayed execution of broadband installation order tasks.
• NovaWorks, as a downstream consumer of the Face Authentication APIs, experienced intermittent failures and degraded performance due to Face Auth API instability.
• The primary root cause was CPU resource saturation in the Face Match and Liveness Detection services, which are GPU-intensive workloads but were running on CPU-based virtual machines at the time of the incident.
• A sudden spike in attendance-related processing load caused sustained high CPU utilization, leading to delayed responses and timeout failures at the API layer.
• The liveness detection component, owned and operated by the Data Science team, was a significant contributor to end-to-end API latency due to increased requests processing time under load.
• As CPU utilization approached saturation, request queues built up, leading to API response delays, utilization timeouts and downstream failures.
• Initial investigation confirmed that the issue was API-side and not related to facial capture or device-side image quality, ruling out field engineers-side causes.
• As an immediate control measure, vertical CPU scaling was applied at NovaWorks to increase available compute resources, which temporarily improved success rates but did not fully mitigate the issue due to architectural limitations.
• Services were refreshed and stabilized from the Data Science side to recover degraded instances and reduce immediate processing backlogs.
• To prevent further cascading impact, selected Face Authentication API flows were partially disabled until platform stability was restored.
• Manual workarounds were applied at the applications level to ensure continuity of critical operations during the incident window.
• Further analysis concluded that manual scaling and restarts were not sufficient as long-term solutions, given the nature of the workload.
• As a corrective action, both Face Match and Liveness Detection services were migrated from CPU-based VMs to GPU-enabled OCP infrastructure, aligning the deployment platform with workload characteristics.
• The migration was undertaken to address performance bottlenecks, mitigate service refresh issues and improve resilience during load spikes.
• Auto-scaling capabilities are being enabled on the OCP platform to dynamically adjust capacity based on traffic patterns and prevent resource exhaustion.
• Thorough load testing and benchmarking are currently in progress on the GPU-based OCP setup to validate throughput, latency and stability under peak and burst conditions.
• Existing IPM alerts for CPU and GPU utilization and Dynatrace application monitoring remain active across all relevant components.
• Post-migration, alert thresholds and monitoring coverage will be reviewed and enhanced based on observed GPU utilization trends and real-time traffic behavior.
• Full production traffic will be enabled on the GPU-based services after successful completion of load testing and confirmation of stable performance.
• Face Auth API restrictions will be removed following sustained stability validation.
Preventive Measures: 
• Migrate Face Match and Liveness Detection services to GPU-enabled OCP infrastructure aligned with workload requirements. – Vageesha 
• Enable auto-scaling (HPA, VPA) to handle peak and burst traffic without manual intervention. – Vageesha 
• Perform load testing and capacity benchmarking to validate scaling thresholds. - Vageesha
• Strengthen proactive monitoring and alerting for API latency, utilization, and pod health. – Vageesha</t>
  </si>
  <si>
    <t>PRB0044623</t>
  </si>
  <si>
    <t>INC17572807
INC17572885
Alert106310766
Alert106310828</t>
  </si>
  <si>
    <t>1)Web service[download-service-canary] - MediaController 
Response time degradation
Alert time-2026-01-29 09:05 Hrs.
Event no-INC17572807
2)Mobile App NovaTelWorks- PROD Slow user actions
Affected user actions: 134
Action name: Loading TaskActivity
Action duration (38.3 s) within the slowest 10% exceeds the auto-detected baseline (13.9 s) by 176 %
Alert time-2026-01-29 09:17 Hrs.
Event no-INC17572885
3)Kubernetes workload attendance-manager-service Container restarts Observed container restarts exceed the specified threshold.
Alert time-2026-01-29 09:23 Hrs.
Event no-Alert106310766
4)Web service[network-core-task-manager-service] - TripController Failure rate increase
11 requests/min impacted
Alert time-2026-01-29 09:27 Hrs.
Event no-Alert106310828</t>
  </si>
  <si>
    <t>01/29/2026  09:05
01/29/2026  09:17
01/29/2026  09:23
01/29/2026  09:27</t>
  </si>
  <si>
    <t>OPEN
OPEN
01/29/2026  10:02
01/29/2026  09:39</t>
  </si>
  <si>
    <t xml:space="preserve">Attendance dip (D vs D-7): 5382 (28412 vs 23030) is 19 %. </t>
  </si>
  <si>
    <t>INC17585871</t>
  </si>
  <si>
    <t>INC17585516, INC17585511</t>
  </si>
  <si>
    <t>Symptom: 
1)5XX_StatusCode_Gloo_API_CS | AUTHORITY : casemgmt.india.novatel.internal | Trigger Value: 1476
Alert time - 2026.01.30 09:11 Hrs
Event no -INC17585516, INC17585511</t>
  </si>
  <si>
    <t>01/30/2026  09:11</t>
  </si>
  <si>
    <t>01/30/2026  09:21</t>
  </si>
  <si>
    <t>SR creation Dip (D vs D-7): 114 (46 vs 160) is 71%.</t>
  </si>
  <si>
    <t>INC17605569</t>
  </si>
  <si>
    <t>Latency was observed while uploading the call recordings for Customers intermittently which was further impacting the Customer to download the same recordings.</t>
  </si>
  <si>
    <t>In this issue, Nova IQ voice‑recording uploads experienced latency due to an unusually high volume of sessions and throughput on the NetApp S3 Storage Grid after the endpoint connection was shifted from Phase 2 Data Center to N1 Data Center. This adversely affected customers’ ability to access and download their recordings. Despite multiple checks by Storage team, Unix team, and NetApp OEM support, no improvement was initially observed. During off‑peak hours, Storage team provisioned a new S3 bucket for the Nova IQ team. Subsequently, ILM scan tuning was modified on the NetApp grid, and Node 7 for the N2 endpoint was rebooted. Currently, Nova IQ traffic is operating in an Active‑Active setup across both N1 and N2 endpoints having distinct S3 buckets. No latency has been observed in recording uploads since these changes were implemented, and the issue is now considered resolved.</t>
  </si>
  <si>
    <t>INC17574446</t>
  </si>
  <si>
    <t>Symptom:
1)IQ S3 Download Failures alert | Count : 2029.4 
Alert time:2026-01-30 11:49 Hrs
Incident :INC17574446</t>
  </si>
  <si>
    <t>Latency observed for approx. 75L Recordings</t>
  </si>
  <si>
    <t>INC17592332</t>
  </si>
  <si>
    <t>CC Advisors were not able to view open/Closed SRs for all LOB.</t>
  </si>
  <si>
    <t xml:space="preserve">In this issue, Open SR view is impacted due to intermittent API(/cx/tracking/request/v3/list) failures from V3 microservices. Further to restore the service Case team takes refresh of V3 Micro services from their end, post which API becomes stable and Open SR view starts working normally. Issue is resolved.  </t>
  </si>
  <si>
    <t>INC17587677
INC17587946
INC17588292 , INC17588290</t>
  </si>
  <si>
    <t>1)Host Name : SRListing | Current Value : 13045.0 
Alert Start Time: 2026.01.30 12:45 Hrs
Event NO: INC17587677
2)5 impacted services 
Web service
[channels-tracking] - CXTrackingController
[sp-mt-dt-prepaid] - userScenarioController
[channels-tracking] - CXTrackingController
/Common/PROD_10.14.95.25_443 on port 443
Web request service
/Common/PROD_Gloo_API_Platform_10.5.220.223_443 on port 443
Alert time - 2026.01.30 13:04Hrs
Event No -INC17587946
3) 5XX_StatusCode_Gloo_API_CS | 
casemgmt.india.novatel.internal
Alert Start Time: 2026.01.30 13:41 Hrs
Event NO: INC17588292 , INC17588290</t>
  </si>
  <si>
    <t>01/30/2026  12:45
01/30/2026  13:04
01/30/2026  13:41</t>
  </si>
  <si>
    <t>2026-01-30 12:45
2026-01-30 13:19
2026-01-30 14:01</t>
  </si>
  <si>
    <t>No dip</t>
  </si>
  <si>
    <t xml:space="preserve">This issue resurfaced where, Open/Closed SR View is impacted after a change(CHG0216892) is deployed at Case end, post which failures start getting observed since morning. Further to restore the service Case team rolls back the recent change, after which failures stop and trend becomes normal and Issue stand resolved. </t>
  </si>
  <si>
    <t>INC17588682
INC17588719</t>
  </si>
  <si>
    <t>Symptom:
1) 5XX_StatusCode_Gloo_API_CS | 
casemgmt.india.novatel.internal
Alert Start Time: 2026-01-30 14:22
Event NO:INC17588682
2)5 impacted services 
Web service
[channels-tracking] - CXTrackingController
[sp-mt-dt-prepaid] - userScenarioController
[channels-tracking] - CXTrackingController
/Common/PROD_10.14.95.25_443 on port 443
Web request service
/Common/PROD_Gloo_API_Platform_10.5.220.223_443 on port 443
Alert time - 2026-01-30 14:24
Event No -INC17588719</t>
  </si>
  <si>
    <t>2026-01-30 14:22
2026-01-30 14:24</t>
  </si>
  <si>
    <t>2026-01-30 15:36
2026-01-30 15:12</t>
  </si>
  <si>
    <t>CHG0216892</t>
  </si>
  <si>
    <t>INC17596385</t>
  </si>
  <si>
    <t>Recharges, bill payment and all pay utilities using NFB UPI via any merchant via any app was impacted.</t>
  </si>
  <si>
    <t>In this issue, DPS team reported that they were observing failures on a particular API (https://payments.int.novabank.com:5051/payments-upi-merchant/upitxnenquiry) from NFB end with read timeout &amp; 504 Gateway timeout error. Upon Investigation, APB_UPI team found that Merchant UPI services were impacted due to an auto-rotation of the Hashi-vault password for the user (JT_UPIMERCHANT2) at 00:39 Hrs., following which the account got locked. To resolve, APB_DBA team unlocked the user and APB_UPI team performed the service restart after which improvement was observed and issue got resolved.</t>
  </si>
  <si>
    <t>INC17594995,INC17595009
:INC17595043,INC17595055,INC17595044,INC17595045  
INC17595127</t>
  </si>
  <si>
    <t>Symptom:
1)Multiple High 500 Failure for UPI-PAYMENT-ENQUIRY
Current Value : 628
API : UPI-PAYMENT-ENQUIRY
API : UPI-ENQUIRY-ADAPTER
Alert time:2026-01-31 00:44 Hrs
Event NO:INC17594995,INC17595009
2)Multiple DPS-NEWARCH-PG-UPI_failure
Current Value : 0.0
name : 
payment_gateway : NFB
name : 
payment_gateway : JUSPAY
name : 
payment_gateway : PAYU
name : 
payment_gateway : RAZORPAY
name : 
payment_gateway : PAYTM
Alert time:2026-01-31 00:51 Hrs
Event NO:INC17595043,INC17595055,INC17595044,INC17595045  
3)Multiple Web service
[v-*payments-apb-service-n*-*] - APBUpiController
Messaging service
N1 - FilteringMessageListenerAdapter - PgWorkerApplication (dr)
Response time degradation
95.8 requests/min impacted
The current response time (5.03 s) exceeds the auto-detected baseline (225 ms) by 2,133 %
Service method: Topic: payment_enquiry
Alert time:2026-01-31 00:52 Hrs
Event NO:INC17595127</t>
  </si>
  <si>
    <t>2026-01-31 00:44:53
2026-01-31 00:51:05
2026-01-31 00:52:27</t>
  </si>
  <si>
    <t>2026-01-31 01:41:24
2026-01-31 01:41:52
2026-01-31 01:46:11</t>
  </si>
  <si>
    <t>APB_UPI Success Hits: (D vs D-7: 0 vs 2324 : 2324 is 100%).</t>
  </si>
  <si>
    <t>ApplicationName</t>
  </si>
  <si>
    <t>Domain</t>
  </si>
  <si>
    <t>ImpactingLOB</t>
  </si>
  <si>
    <t>CCT</t>
  </si>
  <si>
    <t>CaseNInteraction</t>
  </si>
  <si>
    <t>DCNetwork</t>
  </si>
  <si>
    <t>DeviceManagemet</t>
  </si>
  <si>
    <t>DigitalAcquisition</t>
  </si>
  <si>
    <t>DigitalExperienceB2B</t>
  </si>
  <si>
    <t>DigitalExperienceB2C</t>
  </si>
  <si>
    <t>Integration</t>
  </si>
  <si>
    <t>NetworkDigitization</t>
  </si>
  <si>
    <t>Security</t>
  </si>
  <si>
    <t>Wynk</t>
  </si>
  <si>
    <t>PaymentBank</t>
  </si>
  <si>
    <t>NovaTelIQ</t>
  </si>
  <si>
    <t>NSG</t>
  </si>
  <si>
    <t>Nxtra</t>
  </si>
  <si>
    <t>NovaTel_PaymentBank</t>
  </si>
  <si>
    <t>Severity</t>
  </si>
  <si>
    <t>RCAStatus</t>
  </si>
  <si>
    <t>ImpactedBusinessService</t>
  </si>
  <si>
    <t>Impacting LOB</t>
  </si>
  <si>
    <t>Owner</t>
  </si>
  <si>
    <t>AlertCategory</t>
  </si>
  <si>
    <t>SeverityEventTicket</t>
  </si>
  <si>
    <t>Category</t>
  </si>
  <si>
    <t>CategoryNew</t>
  </si>
  <si>
    <t>ProcessandHygiene</t>
  </si>
  <si>
    <t>SupportingPartner</t>
  </si>
  <si>
    <t>IssueType</t>
  </si>
  <si>
    <t>Repeat</t>
  </si>
  <si>
    <t>PriorityMatrix</t>
  </si>
  <si>
    <t>IncidentType</t>
  </si>
  <si>
    <t>Active Directory (AD)</t>
  </si>
  <si>
    <t>Amit Sharma</t>
  </si>
  <si>
    <t>Pritesh Muthiyan</t>
  </si>
  <si>
    <t>Nitin Pathak (CDWH)</t>
  </si>
  <si>
    <t>Siddhart Agarwal</t>
  </si>
  <si>
    <t>N Sudhir</t>
  </si>
  <si>
    <t>Manish Kumar Singh</t>
  </si>
  <si>
    <t>Shardul Lavenkar</t>
  </si>
  <si>
    <t>Rohit Agarwal</t>
  </si>
  <si>
    <t>Navneet Singla</t>
  </si>
  <si>
    <t>Himanshu Gulati (Nova App)</t>
  </si>
  <si>
    <t>Ashu Rawat</t>
  </si>
  <si>
    <t>Ashvini Khatri</t>
  </si>
  <si>
    <t>Vivek Sharma</t>
  </si>
  <si>
    <t>Navneet Singla (M2M)</t>
  </si>
  <si>
    <t>Manish Kumar Agarwal</t>
  </si>
  <si>
    <t>Yatin Kumar</t>
  </si>
  <si>
    <t>Raymond Dalal</t>
  </si>
  <si>
    <t>Amit Patel</t>
  </si>
  <si>
    <t>Ankit Srivastava</t>
  </si>
  <si>
    <t>Sachin Gulati</t>
  </si>
  <si>
    <t>Rohit Jain</t>
  </si>
  <si>
    <t>Rashim Kapoor</t>
  </si>
  <si>
    <t>Abhishek Biswal</t>
  </si>
  <si>
    <t>Inderpal Singh</t>
  </si>
  <si>
    <t>Rajiv Mathur</t>
  </si>
  <si>
    <t>P-1</t>
  </si>
  <si>
    <t>Build Resiliency</t>
  </si>
  <si>
    <t>121 IVR</t>
  </si>
  <si>
    <t>Amdocs DBA</t>
  </si>
  <si>
    <t>Abhishake Choudhary (Optimus, CGNAT)</t>
  </si>
  <si>
    <t>Anish Jain (Selfcare B2C, DT, Careshark)</t>
  </si>
  <si>
    <t>Inderpal Singh Bajaj (Xsafe B2C)</t>
  </si>
  <si>
    <t>Ajay Jain</t>
  </si>
  <si>
    <t>NovaIQ SMS Journey</t>
  </si>
  <si>
    <t xml:space="preserve">Abhishek Choudhary </t>
  </si>
  <si>
    <t>P-2</t>
  </si>
  <si>
    <t>Business KPI Tracking</t>
  </si>
  <si>
    <t>In-Progress</t>
  </si>
  <si>
    <t>Upgraded</t>
  </si>
  <si>
    <t>121 Selfcare</t>
  </si>
  <si>
    <t>Amodcs Infra</t>
  </si>
  <si>
    <t>NovaIQ</t>
  </si>
  <si>
    <t>Sunil Khatri (DARTS)</t>
  </si>
  <si>
    <t>Amit Kataria (DPS)</t>
  </si>
  <si>
    <t>NovaIQ Voice Journey</t>
  </si>
  <si>
    <t>P-3</t>
  </si>
  <si>
    <t>Defined SoP</t>
  </si>
  <si>
    <t>ABP_Aadhar Vault</t>
  </si>
  <si>
    <t>ARCOS</t>
  </si>
  <si>
    <t>Ovaise Najib (NDL)</t>
  </si>
  <si>
    <t>ATB Acquisition Journey</t>
  </si>
  <si>
    <t>Vikram Casula</t>
  </si>
  <si>
    <t>P-4</t>
  </si>
  <si>
    <t>ACS</t>
  </si>
  <si>
    <t>APP_DBA</t>
  </si>
  <si>
    <t>Monitoring</t>
  </si>
  <si>
    <t>OEM</t>
  </si>
  <si>
    <t>Active Directory</t>
  </si>
  <si>
    <t>APB_Cashback</t>
  </si>
  <si>
    <t>ATB Order Journey</t>
  </si>
  <si>
    <t>Sri Lanka</t>
  </si>
  <si>
    <t>Digital Acquisition Ops</t>
  </si>
  <si>
    <t>Himanshu Srivastava</t>
  </si>
  <si>
    <t>ADRS</t>
  </si>
  <si>
    <t>APB_DBA</t>
  </si>
  <si>
    <t>ATB Payment Posting Journey</t>
  </si>
  <si>
    <t>Ishan Bansal</t>
  </si>
  <si>
    <t>Ops</t>
  </si>
  <si>
    <t>ADS</t>
  </si>
  <si>
    <t>Backup</t>
  </si>
  <si>
    <t>Cloud Ops</t>
  </si>
  <si>
    <t>Himanshu Gulati</t>
  </si>
  <si>
    <t>Testing</t>
  </si>
  <si>
    <t>Version Issue</t>
  </si>
  <si>
    <t>ADSSO</t>
  </si>
  <si>
    <t>Citrix</t>
  </si>
  <si>
    <t>COM</t>
  </si>
  <si>
    <t>Nagendra Maurya</t>
  </si>
  <si>
    <t>Design GAP</t>
  </si>
  <si>
    <t>AES</t>
  </si>
  <si>
    <t>Database (DBA)</t>
  </si>
  <si>
    <t>Black Activation Journey</t>
  </si>
  <si>
    <t>Venkatesh V</t>
  </si>
  <si>
    <t>AES FX Billing</t>
  </si>
  <si>
    <t>Black Change Order Journey</t>
  </si>
  <si>
    <t>Ashwani Kumar</t>
  </si>
  <si>
    <t>AES_CRM</t>
  </si>
  <si>
    <t>Dev</t>
  </si>
  <si>
    <t>Device Management</t>
  </si>
  <si>
    <t>AES_DIRS</t>
  </si>
  <si>
    <t>ESB</t>
  </si>
  <si>
    <t>AES_M6</t>
  </si>
  <si>
    <t>Firewall</t>
  </si>
  <si>
    <t>Black Dunning Journey</t>
  </si>
  <si>
    <t>Network Digitalization</t>
  </si>
  <si>
    <t>Network Digitization</t>
  </si>
  <si>
    <t>AES_Metasolv</t>
  </si>
  <si>
    <t>GrowthOps</t>
  </si>
  <si>
    <t>Airfiber</t>
  </si>
  <si>
    <t>Isot</t>
  </si>
  <si>
    <t>N. Sudhir</t>
  </si>
  <si>
    <t>IBM Infra</t>
  </si>
  <si>
    <t>Mediation</t>
  </si>
  <si>
    <t>Telemedia</t>
  </si>
  <si>
    <t>Nova App_Bank Page</t>
  </si>
  <si>
    <t>My Cloud DBA</t>
  </si>
  <si>
    <t>UCC</t>
  </si>
  <si>
    <t>Nova App_SHOP</t>
  </si>
  <si>
    <t>My Cloud Oracle</t>
  </si>
  <si>
    <t>Kapil Soni</t>
  </si>
  <si>
    <t>NovaTel Homes</t>
  </si>
  <si>
    <t>My Cloud Storage</t>
  </si>
  <si>
    <t>My Cloud Unix</t>
  </si>
  <si>
    <t>Multiple</t>
  </si>
  <si>
    <t>My Cloud Windows</t>
  </si>
  <si>
    <t>Broadband Payment Posting Journey</t>
  </si>
  <si>
    <t>NovaTel Service BBPS_Baggins Service</t>
  </si>
  <si>
    <t>My Cloud Open Shift</t>
  </si>
  <si>
    <t>Network</t>
  </si>
  <si>
    <t>Rajeev Mathur</t>
  </si>
  <si>
    <t>NovaTel.in</t>
  </si>
  <si>
    <t>NSG_NOC</t>
  </si>
  <si>
    <t>Raymond</t>
  </si>
  <si>
    <t>NovaTel_Hive</t>
  </si>
  <si>
    <t>Senthil</t>
  </si>
  <si>
    <t>Oracle DBA</t>
  </si>
  <si>
    <t>Sunil Khatri</t>
  </si>
  <si>
    <t>NovaTel_Passport</t>
  </si>
  <si>
    <t>Proxy</t>
  </si>
  <si>
    <t>Sunil Prakash</t>
  </si>
  <si>
    <t>AOR</t>
  </si>
  <si>
    <t>NovaTel_Payment Bank</t>
  </si>
  <si>
    <t>DTH Installation/FR Journey</t>
  </si>
  <si>
    <t>Suresh Kumar</t>
  </si>
  <si>
    <t>NFB</t>
  </si>
  <si>
    <t xml:space="preserve">Siebel </t>
  </si>
  <si>
    <t>DTH New Customer Acquisition Journey</t>
  </si>
  <si>
    <t>APB_Add_Money</t>
  </si>
  <si>
    <t>SMSC</t>
  </si>
  <si>
    <t>Solace</t>
  </si>
  <si>
    <t>APB_Aerospike</t>
  </si>
  <si>
    <t>Storage</t>
  </si>
  <si>
    <t>Venkatesh.V</t>
  </si>
  <si>
    <t>APB_Nova App</t>
  </si>
  <si>
    <t>Techops</t>
  </si>
  <si>
    <t>APB_APY Usecase</t>
  </si>
  <si>
    <t>Techops (Coupon Engine)</t>
  </si>
  <si>
    <t xml:space="preserve">Vivek Sharma </t>
  </si>
  <si>
    <t>APB_Arcos</t>
  </si>
  <si>
    <t>Third party (AES)</t>
  </si>
  <si>
    <t>IOT Payment Posting Journey</t>
  </si>
  <si>
    <t>APB_ATXN</t>
  </si>
  <si>
    <t>Third Party (ACS)</t>
  </si>
  <si>
    <t>APB_AuthHub</t>
  </si>
  <si>
    <t>Third Party (Akamai)</t>
  </si>
  <si>
    <t>APB_B2B</t>
  </si>
  <si>
    <t>Third Party (Big Data)</t>
  </si>
  <si>
    <t>IR Experience Journey</t>
  </si>
  <si>
    <t>APB_B2B Portal</t>
  </si>
  <si>
    <t>Third Party (Comviva)</t>
  </si>
  <si>
    <t>APB_Bank Page</t>
  </si>
  <si>
    <t>Third Party (Comvision)</t>
  </si>
  <si>
    <t>Postpaid Change Order Journey</t>
  </si>
  <si>
    <t>APB_BBPS</t>
  </si>
  <si>
    <t>Third Party (Digimet)</t>
  </si>
  <si>
    <t>APB_BBPS_BOU</t>
  </si>
  <si>
    <t>Third Party (DSA)</t>
  </si>
  <si>
    <t>Third Party (Euronet)</t>
  </si>
  <si>
    <t>Postpaid Dunning Order Journey</t>
  </si>
  <si>
    <t>Third Party (eZVIZ)</t>
  </si>
  <si>
    <t>APB_BOU</t>
  </si>
  <si>
    <t>Third Party (FSS)</t>
  </si>
  <si>
    <t>APB_Cash Deposit</t>
  </si>
  <si>
    <t>Third Party (HLR)</t>
  </si>
  <si>
    <t>APB_Cash Fulfilment</t>
  </si>
  <si>
    <t>Third Party (NPCI)</t>
  </si>
  <si>
    <t>APB_Cash Withdrawl</t>
  </si>
  <si>
    <t>Third Party (OTA)</t>
  </si>
  <si>
    <t>APB_CBS</t>
  </si>
  <si>
    <t>Third Party (PhonePe)</t>
  </si>
  <si>
    <t>APB_CCIL</t>
  </si>
  <si>
    <t>Third Party (SMSC)</t>
  </si>
  <si>
    <t>Third Party (UIDAI)</t>
  </si>
  <si>
    <t>APB_Cloud Infra</t>
  </si>
  <si>
    <t>Third Party (VTA)</t>
  </si>
  <si>
    <t>Third Party (HSM)</t>
  </si>
  <si>
    <t>Third Party (NSG)</t>
  </si>
  <si>
    <t>APB_Commission</t>
  </si>
  <si>
    <t>Third Party (Billdesk)</t>
  </si>
  <si>
    <t>APB_CRM</t>
  </si>
  <si>
    <t>Third Party (Razorpay)</t>
  </si>
  <si>
    <t>XSAFE Acquisition Journey</t>
  </si>
  <si>
    <t>APB_Current Account(CA)</t>
  </si>
  <si>
    <t>Third Party (CCIL)</t>
  </si>
  <si>
    <t>APB_Customer Profile</t>
  </si>
  <si>
    <t>Third Party (PayTM)</t>
  </si>
  <si>
    <t>XSAFE User App Journey</t>
  </si>
  <si>
    <t>APB_DAM</t>
  </si>
  <si>
    <t>Third Party (IN)</t>
  </si>
  <si>
    <t>Third Party (Mavenir)</t>
  </si>
  <si>
    <t>APB_Datascience</t>
  </si>
  <si>
    <t>Third Party (Jio)</t>
  </si>
  <si>
    <t>Third Party (HDFC)</t>
  </si>
  <si>
    <t>APB_DBT</t>
  </si>
  <si>
    <t>Third Party (J&amp;K Bank)</t>
  </si>
  <si>
    <t>APB_DCMS</t>
  </si>
  <si>
    <t>APB_Digi Gold</t>
  </si>
  <si>
    <t>Unix</t>
  </si>
  <si>
    <t>APB_DIGILOCKER</t>
  </si>
  <si>
    <t>Unix/ Database</t>
  </si>
  <si>
    <t xml:space="preserve">APB_DMS </t>
  </si>
  <si>
    <t>APB_DMT Retailer</t>
  </si>
  <si>
    <t>WAS</t>
  </si>
  <si>
    <t>APB_DPS</t>
  </si>
  <si>
    <t>Windows</t>
  </si>
  <si>
    <t>Third Party (Xnet)</t>
  </si>
  <si>
    <t>APB_eCOM</t>
  </si>
  <si>
    <t>Third Party (TATA ELXI)</t>
  </si>
  <si>
    <t>Third Party (GCP)</t>
  </si>
  <si>
    <t>APB_Fast Tag</t>
  </si>
  <si>
    <t>APB_FD</t>
  </si>
  <si>
    <t>APB_FS</t>
  </si>
  <si>
    <t>APB_FS_Insurance</t>
  </si>
  <si>
    <t>APB_FSS</t>
  </si>
  <si>
    <t>APB_Gift Card</t>
  </si>
  <si>
    <t>APB_Growth</t>
  </si>
  <si>
    <t>APB_Growth_Communication</t>
  </si>
  <si>
    <t>APB_IDC</t>
  </si>
  <si>
    <t>APB_IMPS</t>
  </si>
  <si>
    <t>APB_IMPS Outwards</t>
  </si>
  <si>
    <t>APB_IMS</t>
  </si>
  <si>
    <t>APB_Insurance</t>
  </si>
  <si>
    <t>APB_Internet Banking</t>
  </si>
  <si>
    <t>APB_IVR</t>
  </si>
  <si>
    <t>APB_Kua</t>
  </si>
  <si>
    <t>APB_Mastercard</t>
  </si>
  <si>
    <t>APB_MATM</t>
  </si>
  <si>
    <t>APB_MCash</t>
  </si>
  <si>
    <t>APB_Merchant</t>
  </si>
  <si>
    <t>APB_Merchant login</t>
  </si>
  <si>
    <t>APB_Merchant Onboarding</t>
  </si>
  <si>
    <t>APB_Merchant UPI</t>
  </si>
  <si>
    <t>APB_Middleware</t>
  </si>
  <si>
    <t>APB_Mitra</t>
  </si>
  <si>
    <t>APB_Mitra_Portal</t>
  </si>
  <si>
    <t>APB_Mpin</t>
  </si>
  <si>
    <t>APB_My Nova App</t>
  </si>
  <si>
    <t>APB_NCMC</t>
  </si>
  <si>
    <t>APB_NCMS</t>
  </si>
  <si>
    <t>APB_NEFT</t>
  </si>
  <si>
    <t>APB_NETC</t>
  </si>
  <si>
    <t>APB_Network</t>
  </si>
  <si>
    <t>APB_Network WAF</t>
  </si>
  <si>
    <t>APB_NGRTGS</t>
  </si>
  <si>
    <t>APB_NPCI</t>
  </si>
  <si>
    <t>APB_Onboarding</t>
  </si>
  <si>
    <t>APB_Oracle_DBA</t>
  </si>
  <si>
    <t>APB_Partner Wallet Onboarding</t>
  </si>
  <si>
    <t>APB_Payment Cards</t>
  </si>
  <si>
    <t>APB_Payment Hub (Recharge Utility)</t>
  </si>
  <si>
    <t>APB_Payment Security</t>
  </si>
  <si>
    <t>APB_Payments Hub</t>
  </si>
  <si>
    <t>APB_Portal</t>
  </si>
  <si>
    <t>APB_Ranger</t>
  </si>
  <si>
    <t>APB_Recharges</t>
  </si>
  <si>
    <t>APB_Retailer</t>
  </si>
  <si>
    <t>APB_Retailer App</t>
  </si>
  <si>
    <t>APB_Retailer login</t>
  </si>
  <si>
    <t>APB_Rewards(Fresh &amp; Renew)</t>
  </si>
  <si>
    <t>APB_Risk Compliance</t>
  </si>
  <si>
    <t>APB_RnM</t>
  </si>
  <si>
    <t>APB_RTGS</t>
  </si>
  <si>
    <t>APB_Safepay</t>
  </si>
  <si>
    <t>APB_Securepay</t>
  </si>
  <si>
    <t>APB_Send Money</t>
  </si>
  <si>
    <t>APB_ServiceNow</t>
  </si>
  <si>
    <t>APB_Sim Binding</t>
  </si>
  <si>
    <t>APB_SMS</t>
  </si>
  <si>
    <t>APB_Snorkel</t>
  </si>
  <si>
    <t>APB_SOC</t>
  </si>
  <si>
    <t>APB_ThanksApp</t>
  </si>
  <si>
    <t>APB_Transaction History</t>
  </si>
  <si>
    <t>APB_Transit Cards</t>
  </si>
  <si>
    <t>APB_UPI Reporting</t>
  </si>
  <si>
    <t>APB_UPI_IVR</t>
  </si>
  <si>
    <t>APB_Utility</t>
  </si>
  <si>
    <t>APB_VKYC</t>
  </si>
  <si>
    <t>APB_WAF</t>
  </si>
  <si>
    <t>APBL_SOC</t>
  </si>
  <si>
    <t>NFB-NPCI</t>
  </si>
  <si>
    <t>NFB-Qradar-SIEM</t>
  </si>
  <si>
    <t>App Dynamics</t>
  </si>
  <si>
    <t>APS (NovaTel Payment System)</t>
  </si>
  <si>
    <t>Autoheal</t>
  </si>
  <si>
    <t>Avaya</t>
  </si>
  <si>
    <t>B2B</t>
  </si>
  <si>
    <t>B2B Abinitio</t>
  </si>
  <si>
    <t>B2B Siebel</t>
  </si>
  <si>
    <t xml:space="preserve">B2B UIDAI </t>
  </si>
  <si>
    <t>B2B_CRM</t>
  </si>
  <si>
    <t>B2B_eCAF</t>
  </si>
  <si>
    <t>B2B_Ironman</t>
  </si>
  <si>
    <t>B2B_Surveillance</t>
  </si>
  <si>
    <t>B2C_Surveillance</t>
  </si>
  <si>
    <t>Bitbucket</t>
  </si>
  <si>
    <t>Botree</t>
  </si>
  <si>
    <t>BPM (Bill to Pay, CMT, Insurance, QMS, TG)</t>
  </si>
  <si>
    <t>BSL</t>
  </si>
  <si>
    <t>BTFLY_Atom Equifax</t>
  </si>
  <si>
    <t>BTFLY_DNC</t>
  </si>
  <si>
    <t>BTFLY_EPC</t>
  </si>
  <si>
    <t>BTFLY_Invoice</t>
  </si>
  <si>
    <t>BTFLY_iWatch</t>
  </si>
  <si>
    <t>BTFLY_NMS</t>
  </si>
  <si>
    <t>BTFLY_Reporting</t>
  </si>
  <si>
    <t>CA</t>
  </si>
  <si>
    <t>Cash Fulfilment</t>
  </si>
  <si>
    <t>Cashback</t>
  </si>
  <si>
    <t>CATS</t>
  </si>
  <si>
    <t>CDWH</t>
  </si>
  <si>
    <t>CEIR</t>
  </si>
  <si>
    <t>CERSAI (Third Party)</t>
  </si>
  <si>
    <t>CLM</t>
  </si>
  <si>
    <t>CLM SMS</t>
  </si>
  <si>
    <t>CMS</t>
  </si>
  <si>
    <t>CMS Portal</t>
  </si>
  <si>
    <t>CND</t>
  </si>
  <si>
    <t>Common Cart</t>
  </si>
  <si>
    <t>Comms Planner</t>
  </si>
  <si>
    <t>Comptel</t>
  </si>
  <si>
    <t>Confluence</t>
  </si>
  <si>
    <t>Cooper</t>
  </si>
  <si>
    <t>CPQ</t>
  </si>
  <si>
    <t>CTS</t>
  </si>
  <si>
    <t>CWFS</t>
  </si>
  <si>
    <t>DARTS_CDWH</t>
  </si>
  <si>
    <t>DARTS_FMS</t>
  </si>
  <si>
    <t>DARTS_IMS</t>
  </si>
  <si>
    <t>Datamart</t>
  </si>
  <si>
    <t>DCMS</t>
  </si>
  <si>
    <t>Dedupe</t>
  </si>
  <si>
    <t>DigiCAF</t>
  </si>
  <si>
    <t>Digimate</t>
  </si>
  <si>
    <t>Digital Payments</t>
  </si>
  <si>
    <t>Digital Selfcare B2B</t>
  </si>
  <si>
    <t>DIRS</t>
  </si>
  <si>
    <t>DIRS/Inform</t>
  </si>
  <si>
    <t>DLP</t>
  </si>
  <si>
    <t>DMT</t>
  </si>
  <si>
    <t>DNS</t>
  </si>
  <si>
    <t>DPCS</t>
  </si>
  <si>
    <t>DSA</t>
  </si>
  <si>
    <t>DT</t>
  </si>
  <si>
    <t>DT_Auth</t>
  </si>
  <si>
    <t>DT_B2B</t>
  </si>
  <si>
    <t>DT_Broadband</t>
  </si>
  <si>
    <t>DT_Chatbot</t>
  </si>
  <si>
    <t>DT_DTH</t>
  </si>
  <si>
    <t>DT_HNS</t>
  </si>
  <si>
    <t>DT_Homes</t>
  </si>
  <si>
    <t>DT_Postpaid</t>
  </si>
  <si>
    <t>DT_Prepaid</t>
  </si>
  <si>
    <t>DT_Telemedia</t>
  </si>
  <si>
    <t>DT_User Help &amp; Support</t>
  </si>
  <si>
    <t>DTH_CAS</t>
  </si>
  <si>
    <t>DTH_MBOSS</t>
  </si>
  <si>
    <t>DTH_MDU</t>
  </si>
  <si>
    <t>DTH_QR Scan</t>
  </si>
  <si>
    <t>DTH_Reporting</t>
  </si>
  <si>
    <t>DTH_Siebel</t>
  </si>
  <si>
    <t>DTH_VMS</t>
  </si>
  <si>
    <t>Dynamic QR</t>
  </si>
  <si>
    <t>eCAF_CART</t>
  </si>
  <si>
    <t>eCAF_CMS</t>
  </si>
  <si>
    <t>eCAF_DKYC</t>
  </si>
  <si>
    <t>EDT</t>
  </si>
  <si>
    <t>EIS/ Cognos</t>
  </si>
  <si>
    <t>Emudhra Digital Signature</t>
  </si>
  <si>
    <t>EPC</t>
  </si>
  <si>
    <t>ERP</t>
  </si>
  <si>
    <t xml:space="preserve">ERP (legacy instance) </t>
  </si>
  <si>
    <t xml:space="preserve">ERP 12.1.3 – OSI  </t>
  </si>
  <si>
    <t>ESB_UIDAI</t>
  </si>
  <si>
    <t>eSim</t>
  </si>
  <si>
    <t>Euronet (Third Party)</t>
  </si>
  <si>
    <t>EV Portal</t>
  </si>
  <si>
    <t>Exch_Lynch</t>
  </si>
  <si>
    <t>Exchange</t>
  </si>
  <si>
    <t>Exposure</t>
  </si>
  <si>
    <t>External SDR Portal</t>
  </si>
  <si>
    <t>Fast Tag</t>
  </si>
  <si>
    <t>Ferry</t>
  </si>
  <si>
    <t>Fibre Force</t>
  </si>
  <si>
    <t>Financial Services</t>
  </si>
  <si>
    <t>Financials</t>
  </si>
  <si>
    <t>FMS</t>
  </si>
  <si>
    <t>FSS_Recon</t>
  </si>
  <si>
    <t>FTA</t>
  </si>
  <si>
    <t>FTTH</t>
  </si>
  <si>
    <t>Fuzzy</t>
  </si>
  <si>
    <t>FWA</t>
  </si>
  <si>
    <t>GDPF</t>
  </si>
  <si>
    <t>Gloo</t>
  </si>
  <si>
    <t>Golf</t>
  </si>
  <si>
    <t>Grafana</t>
  </si>
  <si>
    <t>GRC</t>
  </si>
  <si>
    <t>HB_Billing</t>
  </si>
  <si>
    <t>HB_NMS</t>
  </si>
  <si>
    <t>HB_Reporting</t>
  </si>
  <si>
    <t>HCM – Fusion</t>
  </si>
  <si>
    <t>Hive</t>
  </si>
  <si>
    <t>Hive App</t>
  </si>
  <si>
    <t>HNV</t>
  </si>
  <si>
    <t xml:space="preserve">HRMS  </t>
  </si>
  <si>
    <t>Huawei_OSS</t>
  </si>
  <si>
    <t>Hulk</t>
  </si>
  <si>
    <t>IBS</t>
  </si>
  <si>
    <t>iComm</t>
  </si>
  <si>
    <t>iLease</t>
  </si>
  <si>
    <t>IMPS</t>
  </si>
  <si>
    <t>IMS</t>
  </si>
  <si>
    <t>Infra</t>
  </si>
  <si>
    <t>Infra (SL_Unix)</t>
  </si>
  <si>
    <t>Intec</t>
  </si>
  <si>
    <t>IntelliMatch Reco Engine</t>
  </si>
  <si>
    <t>iPACS</t>
  </si>
  <si>
    <t>iReco</t>
  </si>
  <si>
    <t>IRecon</t>
  </si>
  <si>
    <t>IRN</t>
  </si>
  <si>
    <t>Ironman_IQ</t>
  </si>
  <si>
    <t>iSense</t>
  </si>
  <si>
    <t>IVR</t>
  </si>
  <si>
    <t>IVR-CCT</t>
  </si>
  <si>
    <t>iWatch</t>
  </si>
  <si>
    <t>Jenkins</t>
  </si>
  <si>
    <t>Jiffy</t>
  </si>
  <si>
    <t>Jupiter UI</t>
  </si>
  <si>
    <t>Kibana</t>
  </si>
  <si>
    <t>Konnect</t>
  </si>
  <si>
    <t>Kua-OTP</t>
  </si>
  <si>
    <t>LAPU</t>
  </si>
  <si>
    <t>LAPU_DTH</t>
  </si>
  <si>
    <t>LAPU_GT 2.0</t>
  </si>
  <si>
    <t>LAPU_GT_South</t>
  </si>
  <si>
    <t>LCO Mobile App</t>
  </si>
  <si>
    <t>LCO Portal</t>
  </si>
  <si>
    <t>Leap</t>
  </si>
  <si>
    <t>LearningPlatform</t>
  </si>
  <si>
    <t>Leo_Billing</t>
  </si>
  <si>
    <t>Leo_CRM</t>
  </si>
  <si>
    <t>Leo_OM</t>
  </si>
  <si>
    <t>Liquid Ice</t>
  </si>
  <si>
    <t>Lobby</t>
  </si>
  <si>
    <t>Locate</t>
  </si>
  <si>
    <t>Looking Glass</t>
  </si>
  <si>
    <t>MAMO</t>
  </si>
  <si>
    <t>MAMO_South</t>
  </si>
  <si>
    <t>ManageEngine</t>
  </si>
  <si>
    <t>MATM</t>
  </si>
  <si>
    <t>MB (Third Party)</t>
  </si>
  <si>
    <t>MB(SMSC)</t>
  </si>
  <si>
    <t>Merchant Portal</t>
  </si>
  <si>
    <t>Message Broker</t>
  </si>
  <si>
    <t>Microsoft O365</t>
  </si>
  <si>
    <t>Microsoft Office User GIS</t>
  </si>
  <si>
    <t>Microsoft Office UserRanger</t>
  </si>
  <si>
    <t>MS_Outlook</t>
  </si>
  <si>
    <t>Myaccess</t>
  </si>
  <si>
    <t>MyCom</t>
  </si>
  <si>
    <t>NEFT</t>
  </si>
  <si>
    <t>NETC</t>
  </si>
  <si>
    <t>NETC_B2B</t>
  </si>
  <si>
    <t>Netcool</t>
  </si>
  <si>
    <t>Network Datalake</t>
  </si>
  <si>
    <t>Network Security</t>
  </si>
  <si>
    <t>New LAPU MT</t>
  </si>
  <si>
    <t>NIAM</t>
  </si>
  <si>
    <t>Nokia_ES</t>
  </si>
  <si>
    <t>Nokia_IMS</t>
  </si>
  <si>
    <t>NSG_NETWORK</t>
  </si>
  <si>
    <t>NSG_PREPAID</t>
  </si>
  <si>
    <t>Number Management System (NMS)</t>
  </si>
  <si>
    <t>OBD</t>
  </si>
  <si>
    <t>OBIEE</t>
  </si>
  <si>
    <t>OCR</t>
  </si>
  <si>
    <t>OFS_Mobility</t>
  </si>
  <si>
    <t>OIM</t>
  </si>
  <si>
    <t>Omni CART</t>
  </si>
  <si>
    <t>Omni DOC</t>
  </si>
  <si>
    <t>One Direct</t>
  </si>
  <si>
    <t>One_NMS</t>
  </si>
  <si>
    <t>Optimus</t>
  </si>
  <si>
    <t>OTA</t>
  </si>
  <si>
    <t xml:space="preserve">OWCC - Oracle Web Content </t>
  </si>
  <si>
    <t>Partner Portal</t>
  </si>
  <si>
    <t>PayTM</t>
  </si>
  <si>
    <t>PCA</t>
  </si>
  <si>
    <t>PCRF</t>
  </si>
  <si>
    <t>Point-M6</t>
  </si>
  <si>
    <t>POQ</t>
  </si>
  <si>
    <t>POS</t>
  </si>
  <si>
    <t>Postpaid KCI</t>
  </si>
  <si>
    <t>Promoter</t>
  </si>
  <si>
    <t>Proposition</t>
  </si>
  <si>
    <t>Python</t>
  </si>
  <si>
    <t>QlikSense</t>
  </si>
  <si>
    <t>QMT</t>
  </si>
  <si>
    <t>Ranger App</t>
  </si>
  <si>
    <t>RazorPay (Third Party)</t>
  </si>
  <si>
    <t>Razorpay Switch</t>
  </si>
  <si>
    <t>Recharges</t>
  </si>
  <si>
    <t>Retailer App</t>
  </si>
  <si>
    <t>Retailer Portal</t>
  </si>
  <si>
    <t>Retina</t>
  </si>
  <si>
    <t>Revenue</t>
  </si>
  <si>
    <t>Rewards</t>
  </si>
  <si>
    <t>Roaming</t>
  </si>
  <si>
    <t>Route</t>
  </si>
  <si>
    <t>RPA</t>
  </si>
  <si>
    <t>RTGS</t>
  </si>
  <si>
    <t>SAFO</t>
  </si>
  <si>
    <t>SAFO-TM</t>
  </si>
  <si>
    <t>SDP_SE</t>
  </si>
  <si>
    <t>SECURE_INTERNET</t>
  </si>
  <si>
    <t>Security Management</t>
  </si>
  <si>
    <t>Selfcare_B2B</t>
  </si>
  <si>
    <t>Selfcare_B2C</t>
  </si>
  <si>
    <t>Selfheal</t>
  </si>
  <si>
    <t>ServiceNow</t>
  </si>
  <si>
    <t>SFA (SL_LAPU)</t>
  </si>
  <si>
    <t>SFDC</t>
  </si>
  <si>
    <t>Sharepoint</t>
  </si>
  <si>
    <t>Signet</t>
  </si>
  <si>
    <t>SimBinding</t>
  </si>
  <si>
    <t>SL_Jiffy_IND</t>
  </si>
  <si>
    <t>SL_LAPU</t>
  </si>
  <si>
    <t>SL_Mediation_EL</t>
  </si>
  <si>
    <t>SL_Mediation_IN</t>
  </si>
  <si>
    <t>SL_PACS</t>
  </si>
  <si>
    <t>SL_RetailerApp</t>
  </si>
  <si>
    <t>SL_RPCDF</t>
  </si>
  <si>
    <t>Smallworld</t>
  </si>
  <si>
    <t>SSO</t>
  </si>
  <si>
    <t>SSP Portal</t>
  </si>
  <si>
    <t>Store Feedback (NPS) Portal</t>
  </si>
  <si>
    <t>Subscription Engine(SE)</t>
  </si>
  <si>
    <t>Supply Chain Management</t>
  </si>
  <si>
    <t>SWA</t>
  </si>
  <si>
    <t>Symantec</t>
  </si>
  <si>
    <t>Telemedia M6</t>
  </si>
  <si>
    <t>Telesonic</t>
  </si>
  <si>
    <t>Tez Portal</t>
  </si>
  <si>
    <t>TM_ATOM</t>
  </si>
  <si>
    <t>TM_CRM</t>
  </si>
  <si>
    <t>TM_iCRM</t>
  </si>
  <si>
    <t>TM_NMS</t>
  </si>
  <si>
    <t>TM_WFMS</t>
  </si>
  <si>
    <t>TND Planning</t>
  </si>
  <si>
    <t>TPM</t>
  </si>
  <si>
    <t>Transaction History</t>
  </si>
  <si>
    <t>UCM</t>
  </si>
  <si>
    <t>UNOC(MyCom,NIAM)</t>
  </si>
  <si>
    <t>Validation</t>
  </si>
  <si>
    <t>WiFi Access Point</t>
  </si>
  <si>
    <t>Zero Touch</t>
  </si>
  <si>
    <t>Zscaler</t>
  </si>
  <si>
    <t>ZTE_NMS</t>
  </si>
  <si>
    <t>CCT (Cisco)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</si>
</sst>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409]mmm/yy;@"/>
    <numFmt numFmtId="165" formatCode="dd&quot;- &quot;hh&quot;:&quot;mm"/>
    <numFmt numFmtId="166" formatCode="[$-409]mmm\-yy;@"/>
    <numFmt numFmtId="167" formatCode="mm\/dd\/yyyy&quot; &quot;hh&quot;:&quot;mm"/>
    <numFmt numFmtId="168" formatCode="dd\/mm\/yyyy&quot; &quot;hh&quot;:&quot;mm"/>
  </numFmts>
  <fonts count="18">
    <font>
      <sz val="11"/>
      <color theme="1"/>
      <name val="Calibri"/>
      <family val="2"/>
      <scheme val="minor"/>
    </font>
    <font>
      <b/>
      <sz val="11"/>
      <color theme="0"/>
      <name val="Calibri"/>
      <family val="2"/>
      <scheme val="minor"/>
    </font>
    <font>
      <b/>
      <sz val="9"/>
      <color indexed="9"/>
      <name val="Bookman Old Style"/>
      <family val="1"/>
    </font>
    <font>
      <sz val="10"/>
      <name val="Arial"/>
      <family val="2"/>
    </font>
    <font>
      <sz val="11"/>
      <color rgb="FF000000"/>
      <name val="Calibri"/>
      <family val="2"/>
    </font>
    <font>
      <sz val="10"/>
      <color rgb="FFCC0000"/>
      <name val="Calibri"/>
      <family val="2"/>
    </font>
    <font>
      <sz val="11"/>
      <color theme="1"/>
      <name val="Calibri"/>
      <family val="2"/>
      <scheme val="minor"/>
    </font>
    <font>
      <sz val="8"/>
      <color rgb="FF393E47"/>
      <name val="Arial"/>
      <family val="2"/>
    </font>
    <font>
      <sz val="11"/>
      <color indexed="8"/>
      <name val="Calibri"/>
      <family val="2"/>
    </font>
    <font>
      <sz val="10"/>
      <color theme="1"/>
      <name val="Tahoma"/>
      <family val="2"/>
    </font>
    <font>
      <sz val="11"/>
      <color theme="1"/>
      <name val="Bookman Old Style"/>
      <family val="1"/>
    </font>
    <font>
      <sz val="9"/>
      <color rgb="FF000000"/>
      <name val="Bookman Old Style"/>
      <family val="1"/>
    </font>
    <font>
      <sz val="9"/>
      <color theme="1"/>
      <name val="Bookman Old Style"/>
      <family val="1"/>
    </font>
    <font>
      <sz val="9"/>
      <color rgb="FFFF0000"/>
      <name val="Bookman Old Style"/>
      <family val="1"/>
    </font>
    <font>
      <sz val="11"/>
      <color theme="1"/>
      <name val="Calibri"/>
      <family val="2"/>
      <charset val="134"/>
      <scheme val="minor"/>
    </font>
    <font>
      <sz val="11"/>
      <color rgb="FF000000"/>
      <name val="Calibri"/>
      <family val="2"/>
      <scheme val="minor"/>
    </font>
    <font>
      <sz val="9"/>
      <color indexed="8"/>
      <name val="Bookman Old Style"/>
      <family val="1"/>
    </font>
    <font>
      <sz val="9"/>
      <color theme="1"/>
      <name val="Segoe UI"/>
      <family val="2"/>
    </font>
  </fonts>
  <fills count="11">
    <fill>
      <patternFill patternType="none"/>
    </fill>
    <fill>
      <patternFill patternType="gray125"/>
    </fill>
    <fill>
      <patternFill patternType="solid">
        <fgColor theme="5" tint="0.39997558519241921"/>
        <bgColor indexed="64"/>
      </patternFill>
    </fill>
    <fill>
      <patternFill patternType="solid">
        <fgColor rgb="FFFF0000"/>
        <bgColor indexed="64"/>
      </patternFill>
    </fill>
    <fill>
      <patternFill patternType="solid">
        <fgColor rgb="FF002060"/>
        <bgColor indexed="64"/>
      </patternFill>
    </fill>
    <fill>
      <patternFill patternType="solid">
        <fgColor rgb="FF92D050"/>
        <bgColor indexed="64"/>
      </patternFill>
    </fill>
    <fill>
      <patternFill patternType="solid">
        <fgColor theme="7" tint="0.39884640034180729"/>
        <bgColor indexed="64"/>
      </patternFill>
    </fill>
    <fill>
      <patternFill patternType="solid">
        <fgColor theme="1"/>
        <bgColor indexed="64"/>
      </patternFill>
    </fill>
    <fill>
      <patternFill patternType="solid">
        <fgColor theme="0"/>
        <bgColor indexed="64"/>
      </patternFill>
    </fill>
    <fill>
      <patternFill patternType="solid">
        <fgColor theme="9" tint="0.59999389629810485"/>
        <bgColor indexed="64"/>
      </patternFill>
    </fill>
    <fill>
      <patternFill patternType="solid">
        <fgColor rgb="FFFFFF00"/>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auto="1"/>
      </left>
      <right style="thin">
        <color auto="1"/>
      </right>
      <top style="thin">
        <color auto="1"/>
      </top>
      <bottom/>
      <diagonal/>
    </border>
  </borders>
  <cellStyleXfs count="17">
    <xf numFmtId="0" fontId="0" fillId="0" borderId="0"/>
    <xf numFmtId="0" fontId="3" fillId="0" borderId="0"/>
    <xf numFmtId="0" fontId="4" fillId="0" borderId="0"/>
    <xf numFmtId="0" fontId="4" fillId="0" borderId="0"/>
    <xf numFmtId="0" fontId="5" fillId="0" borderId="0"/>
    <xf numFmtId="0" fontId="3" fillId="0" borderId="0"/>
    <xf numFmtId="0" fontId="8" fillId="0" borderId="0"/>
    <xf numFmtId="0" fontId="9" fillId="0" borderId="0"/>
    <xf numFmtId="0" fontId="3"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cellStyleXfs>
  <cellXfs count="41">
    <xf numFmtId="0" fontId="0" fillId="0" borderId="0" xfId="0"/>
    <xf numFmtId="0" fontId="0" fillId="0" borderId="0" xfId="0" applyAlignment="1">
      <alignment horizontal="center"/>
    </xf>
    <xf numFmtId="0" fontId="2" fillId="2" borderId="1" xfId="0" applyFont="1" applyFill="1" applyBorder="1" applyAlignment="1">
      <alignment horizontal="center" vertical="center" wrapText="1"/>
    </xf>
    <xf numFmtId="0" fontId="0" fillId="0" borderId="0" xfId="0" applyAlignment="1">
      <alignment horizontal="center" vertical="center"/>
    </xf>
    <xf numFmtId="0" fontId="1" fillId="2" borderId="0" xfId="0" applyFont="1" applyFill="1" applyAlignment="1">
      <alignment horizontal="center" vertical="center"/>
    </xf>
    <xf numFmtId="0" fontId="1" fillId="2" borderId="0" xfId="0" applyFont="1" applyFill="1" applyAlignment="1">
      <alignment vertical="center"/>
    </xf>
    <xf numFmtId="0" fontId="0" fillId="0" borderId="0" xfId="0" applyAlignment="1">
      <alignment vertical="center"/>
    </xf>
    <xf numFmtId="0" fontId="2" fillId="2" borderId="2" xfId="0" applyFont="1" applyFill="1" applyBorder="1" applyAlignment="1">
      <alignment horizontal="center" vertical="center" wrapText="1"/>
    </xf>
    <xf numFmtId="0" fontId="2" fillId="3"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0" fillId="5" borderId="0" xfId="0" applyFill="1" applyAlignment="1">
      <alignment horizontal="center"/>
    </xf>
    <xf numFmtId="0" fontId="6" fillId="0" borderId="0" xfId="0" applyFont="1" applyAlignment="1">
      <alignment horizontal="center"/>
    </xf>
    <xf numFmtId="0" fontId="6" fillId="0" borderId="0" xfId="0" applyFont="1" applyAlignment="1">
      <alignment horizontal="center" vertical="center"/>
    </xf>
    <xf numFmtId="0" fontId="0" fillId="7" borderId="0" xfId="0" applyFill="1" applyAlignment="1">
      <alignment horizontal="center" vertical="center"/>
    </xf>
    <xf numFmtId="0" fontId="2" fillId="3" borderId="0" xfId="0" applyFont="1" applyFill="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0" fontId="6" fillId="0" borderId="4" xfId="0" applyFont="1" applyBorder="1" applyAlignment="1">
      <alignment horizontal="center"/>
    </xf>
    <xf numFmtId="0" fontId="7" fillId="0" borderId="0" xfId="0" applyFont="1"/>
    <xf numFmtId="0" fontId="11" fillId="0" borderId="1" xfId="0" applyFont="1" applyBorder="1" applyAlignment="1">
      <alignment horizontal="center" vertical="center" wrapText="1"/>
    </xf>
    <xf numFmtId="22" fontId="12" fillId="0" borderId="1" xfId="0" applyNumberFormat="1" applyFont="1" applyBorder="1" applyAlignment="1">
      <alignment horizontal="center" vertical="center" wrapText="1"/>
    </xf>
    <xf numFmtId="0" fontId="10" fillId="0" borderId="0" xfId="0" applyFont="1" applyAlignment="1">
      <alignment horizontal="center" vertical="center"/>
    </xf>
    <xf numFmtId="165" fontId="12" fillId="0" borderId="1" xfId="4" applyNumberFormat="1" applyFont="1" applyBorder="1" applyAlignment="1">
      <alignment horizontal="center" vertical="center" wrapText="1"/>
    </xf>
    <xf numFmtId="22" fontId="11" fillId="0" borderId="1" xfId="0" applyNumberFormat="1" applyFont="1" applyBorder="1" applyAlignment="1">
      <alignment horizontal="center" vertical="center" wrapText="1"/>
    </xf>
    <xf numFmtId="0" fontId="14" fillId="0" borderId="0" xfId="0" applyFont="1" applyAlignment="1">
      <alignment horizontal="center"/>
    </xf>
    <xf numFmtId="0" fontId="2" fillId="4"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6" fillId="0" borderId="1" xfId="0" applyFont="1" applyBorder="1" applyAlignment="1">
      <alignment horizontal="center" vertical="center" wrapText="1"/>
    </xf>
    <xf numFmtId="0" fontId="17" fillId="0" borderId="0" xfId="0" applyFont="1" applyAlignment="1">
      <alignment horizontal="center"/>
    </xf>
    <xf numFmtId="0" fontId="15" fillId="0" borderId="0" xfId="0" applyFont="1" applyAlignment="1">
      <alignment horizontal="center"/>
    </xf>
    <xf numFmtId="0" fontId="0" fillId="0" borderId="5" xfId="0" applyBorder="1" applyAlignment="1">
      <alignment horizontal="center"/>
    </xf>
    <xf numFmtId="0" fontId="10" fillId="8" borderId="0" xfId="0" applyFont="1" applyFill="1" applyAlignment="1">
      <alignment horizontal="center" vertical="center"/>
    </xf>
    <xf numFmtId="0" fontId="10" fillId="9" borderId="0" xfId="0" applyFont="1" applyFill="1" applyAlignment="1">
      <alignment horizontal="center" vertical="center"/>
    </xf>
    <xf numFmtId="0" fontId="13" fillId="0" borderId="1" xfId="0" applyFont="1" applyBorder="1" applyAlignment="1">
      <alignment horizontal="center" vertical="center"/>
    </xf>
    <xf numFmtId="0" fontId="10" fillId="0" borderId="1" xfId="0" applyFont="1" applyBorder="1" applyAlignment="1">
      <alignment horizontal="center" vertical="center"/>
    </xf>
    <xf numFmtId="0" fontId="10" fillId="10" borderId="0" xfId="0" applyFont="1" applyFill="1" applyAlignment="1">
      <alignment horizontal="center" vertical="center"/>
    </xf>
    <xf numFmtId="166" fontId="12" fillId="0" borderId="1" xfId="0" applyNumberFormat="1" applyFont="1" applyBorder="1" applyAlignment="1">
      <alignment horizontal="center" vertical="center" wrapText="1"/>
    </xf>
    <xf numFmtId="167" fontId="16" fillId="0" borderId="1" xfId="0" applyNumberFormat="1" applyFont="1" applyBorder="1" applyAlignment="1">
      <alignment horizontal="center" vertical="center" wrapText="1"/>
    </xf>
    <xf numFmtId="168" fontId="16" fillId="0" borderId="1" xfId="0" applyNumberFormat="1" applyFont="1" applyBorder="1" applyAlignment="1">
      <alignment horizontal="center" vertical="center" wrapText="1"/>
    </xf>
    <xf numFmtId="164" fontId="0" fillId="0" borderId="0" xfId="0" applyNumberFormat="1" applyAlignment="1">
      <alignment horizontal="center"/>
    </xf>
    <xf numFmtId="164" fontId="0" fillId="6" borderId="0" xfId="0" applyNumberFormat="1" applyFill="1" applyAlignment="1">
      <alignment horizontal="center"/>
    </xf>
  </cellXfs>
  <cellStyles count="17">
    <cellStyle name="Excel Built-in Explanatory Text" xfId="4" xr:uid="{00000000-0005-0000-0000-000004000000}"/>
    <cellStyle name="Excel Built-in Normal 1 1" xfId="6" xr:uid="{00000000-0005-0000-0000-000006000000}"/>
    <cellStyle name="Normal" xfId="0" builtinId="0"/>
    <cellStyle name="Normal 10 2" xfId="1" xr:uid="{00000000-0005-0000-0000-000001000000}"/>
    <cellStyle name="Normal 141" xfId="9" xr:uid="{00000000-0005-0000-0000-000009000000}"/>
    <cellStyle name="Normal 142" xfId="10" xr:uid="{00000000-0005-0000-0000-00000A000000}"/>
    <cellStyle name="Normal 143" xfId="11" xr:uid="{00000000-0005-0000-0000-00000B000000}"/>
    <cellStyle name="Normal 144" xfId="12" xr:uid="{00000000-0005-0000-0000-00000C000000}"/>
    <cellStyle name="Normal 145" xfId="13" xr:uid="{00000000-0005-0000-0000-00000D000000}"/>
    <cellStyle name="Normal 146" xfId="14" xr:uid="{00000000-0005-0000-0000-00000E000000}"/>
    <cellStyle name="Normal 147" xfId="15" xr:uid="{00000000-0005-0000-0000-00000F000000}"/>
    <cellStyle name="Normal 148" xfId="16" xr:uid="{00000000-0005-0000-0000-000010000000}"/>
    <cellStyle name="Normal 16" xfId="2" xr:uid="{00000000-0005-0000-0000-000002000000}"/>
    <cellStyle name="Normal 16 2" xfId="3" xr:uid="{00000000-0005-0000-0000-000003000000}"/>
    <cellStyle name="Normal 2 10" xfId="7" xr:uid="{00000000-0005-0000-0000-000007000000}"/>
    <cellStyle name="Normal 2 3 2" xfId="8" xr:uid="{00000000-0005-0000-0000-000008000000}"/>
    <cellStyle name="Normal 2 3 2 2" xfId="5" xr:uid="{00000000-0005-0000-0000-000005000000}"/>
  </cellStyles>
  <dxfs count="182">
    <dxf>
      <font>
        <strike val="0"/>
        <condense val="0"/>
        <extend val="0"/>
        <outline val="0"/>
        <shadow val="0"/>
        <vertAlign val="baseline"/>
        <sz val="11"/>
        <color theme="1"/>
        <name val="Calibri"/>
        <scheme val="minor"/>
      </font>
      <fill>
        <patternFill>
          <fgColor indexed="64"/>
          <bgColor indexed="65"/>
        </patternFill>
      </fill>
      <alignment horizontal="center" vertical="bottom"/>
    </dxf>
    <dxf>
      <font>
        <strike val="0"/>
        <condense val="0"/>
        <extend val="0"/>
        <outline val="0"/>
        <shadow val="0"/>
        <vertAlign val="baseline"/>
        <sz val="11"/>
        <color theme="1"/>
        <name val="Calibri"/>
        <scheme val="minor"/>
      </font>
      <fill>
        <patternFill>
          <fgColor indexed="64"/>
          <bgColor indexed="65"/>
        </patternFill>
      </fill>
      <alignment horizontal="center" vertical="bottom"/>
    </dxf>
    <dxf>
      <alignment horizontal="center" vertical="bottom"/>
    </dxf>
    <dxf>
      <alignment horizontal="center" vertical="bottom"/>
    </dxf>
    <dxf>
      <alignment horizontal="center" vertical="bottom"/>
    </dxf>
    <dxf>
      <alignment horizontal="center" vertical="bottom"/>
    </dxf>
    <dxf>
      <font>
        <strike val="0"/>
        <condense val="0"/>
        <extend val="0"/>
        <outline val="0"/>
        <shadow val="0"/>
        <vertAlign val="baseline"/>
        <sz val="11"/>
        <color theme="1"/>
        <name val="Calibri"/>
        <scheme val="minor"/>
      </font>
      <fill>
        <patternFill>
          <fgColor indexed="64"/>
          <bgColor auto="1"/>
        </patternFill>
      </fill>
      <alignment horizontal="center" vertical="bottom"/>
      <border outline="0">
        <left style="thin">
          <color theme="1"/>
        </left>
        <right style="thin">
          <color theme="1"/>
        </right>
        <top style="thin">
          <color theme="1"/>
        </top>
        <bottom style="thin">
          <color theme="1"/>
        </bottom>
      </border>
    </dxf>
    <dxf>
      <border outline="0">
        <bottom style="thin">
          <color theme="1"/>
        </bottom>
      </border>
    </dxf>
    <dxf>
      <font>
        <strike val="0"/>
        <condense val="0"/>
        <extend val="0"/>
        <outline val="0"/>
        <shadow val="0"/>
        <vertAlign val="baseline"/>
        <sz val="11"/>
        <color theme="1"/>
        <name val="Calibri"/>
        <scheme val="minor"/>
      </font>
      <fill>
        <patternFill>
          <fgColor indexed="64"/>
          <bgColor auto="1"/>
        </patternFill>
      </fill>
      <alignment horizontal="center" vertical="bottom"/>
    </dxf>
    <dxf>
      <alignment horizontal="center" vertical="bottom"/>
    </dxf>
    <dxf>
      <font>
        <strike val="0"/>
        <condense val="0"/>
        <extend val="0"/>
        <outline val="0"/>
        <shadow val="0"/>
        <vertAlign val="baseline"/>
        <sz val="11"/>
        <color theme="1"/>
        <name val="Calibri"/>
        <scheme val="minor"/>
      </font>
      <fill>
        <patternFill>
          <fgColor indexed="64"/>
          <bgColor auto="1"/>
        </patternFill>
      </fill>
      <alignment horizontal="center" vertical="bottom"/>
      <border outline="0">
        <left style="thin">
          <color theme="1"/>
        </left>
        <right style="thin">
          <color theme="1"/>
        </right>
        <top style="thin">
          <color theme="1"/>
        </top>
        <bottom style="thin">
          <color theme="1"/>
        </bottom>
      </border>
    </dxf>
    <dxf>
      <border outline="0">
        <bottom style="thin">
          <color theme="1"/>
        </bottom>
      </border>
    </dxf>
    <dxf>
      <font>
        <strike val="0"/>
        <condense val="0"/>
        <extend val="0"/>
        <outline val="0"/>
        <shadow val="0"/>
        <vertAlign val="baseline"/>
        <sz val="11"/>
        <color theme="1"/>
        <name val="Calibri"/>
        <scheme val="minor"/>
      </font>
      <fill>
        <patternFill>
          <fgColor indexed="64"/>
          <bgColor auto="1"/>
        </patternFill>
      </fill>
      <alignment horizontal="center" vertical="bottom"/>
    </dxf>
    <dxf>
      <alignment horizontal="center" vertical="bottom"/>
    </dxf>
    <dxf>
      <font>
        <strike val="0"/>
        <condense val="0"/>
        <extend val="0"/>
        <outline val="0"/>
        <shadow val="0"/>
        <vertAlign val="baseline"/>
        <sz val="11"/>
        <color theme="1"/>
        <name val="Calibri"/>
        <scheme val="minor"/>
      </font>
      <fill>
        <patternFill>
          <fgColor indexed="64"/>
          <bgColor auto="1"/>
        </patternFill>
      </fill>
      <alignment horizontal="center" vertical="bottom"/>
      <border outline="0">
        <left style="thin">
          <color theme="1"/>
        </left>
        <right style="thin">
          <color theme="1"/>
        </right>
        <top style="thin">
          <color theme="1"/>
        </top>
        <bottom style="thin">
          <color theme="1"/>
        </bottom>
      </border>
    </dxf>
    <dxf>
      <border outline="0">
        <bottom style="thin">
          <color theme="1"/>
        </bottom>
      </border>
    </dxf>
    <dxf>
      <font>
        <strike val="0"/>
        <condense val="0"/>
        <extend val="0"/>
        <outline val="0"/>
        <shadow val="0"/>
        <vertAlign val="baseline"/>
        <sz val="11"/>
        <color theme="1"/>
        <name val="Calibri"/>
        <scheme val="minor"/>
      </font>
      <fill>
        <patternFill>
          <fgColor indexed="64"/>
          <bgColor auto="1"/>
        </patternFill>
      </fill>
      <alignment horizontal="center" vertical="bottom"/>
    </dxf>
    <dxf>
      <alignment horizontal="center" vertical="bottom"/>
    </dxf>
    <dxf>
      <font>
        <strike val="0"/>
        <condense val="0"/>
        <extend val="0"/>
        <outline val="0"/>
        <shadow val="0"/>
        <vertAlign val="baseline"/>
        <sz val="11"/>
        <color theme="1"/>
        <name val="Calibri"/>
        <scheme val="minor"/>
      </font>
      <fill>
        <patternFill>
          <fgColor indexed="64"/>
          <bgColor auto="1"/>
        </patternFill>
      </fill>
      <alignment horizontal="center" vertical="bottom"/>
      <border outline="0">
        <left style="thin">
          <color theme="1"/>
        </left>
        <right style="thin">
          <color theme="1"/>
        </right>
        <top style="thin">
          <color theme="1"/>
        </top>
        <bottom style="thin">
          <color theme="1"/>
        </bottom>
      </border>
    </dxf>
    <dxf>
      <border outline="0">
        <bottom style="thin">
          <color theme="1"/>
        </bottom>
      </border>
    </dxf>
    <dxf>
      <font>
        <strike val="0"/>
        <condense val="0"/>
        <extend val="0"/>
        <outline val="0"/>
        <shadow val="0"/>
        <vertAlign val="baseline"/>
        <sz val="11"/>
        <color theme="1"/>
        <name val="Calibri"/>
        <scheme val="minor"/>
      </font>
      <fill>
        <patternFill>
          <fgColor indexed="64"/>
          <bgColor auto="1"/>
        </patternFill>
      </fill>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center"/>
    </dxf>
    <dxf>
      <alignment horizontal="center" vertical="bottom"/>
    </dxf>
    <dxf>
      <alignment horizontal="center" vertical="bottom"/>
    </dxf>
    <dxf>
      <fill>
        <patternFill patternType="solid">
          <fgColor indexed="64"/>
          <bgColor theme="1"/>
        </patternFill>
      </fill>
      <alignment horizontal="center" vertical="center"/>
    </dxf>
    <dxf>
      <alignment horizontal="center" vertical="bottom"/>
    </dxf>
    <dxf>
      <alignment horizontal="center" vertical="bottom"/>
    </dxf>
    <dxf>
      <fill>
        <patternFill patternType="solid">
          <fgColor indexed="64"/>
          <bgColor theme="1"/>
        </patternFill>
      </fill>
      <alignment horizontal="center" vertical="center"/>
    </dxf>
    <dxf>
      <alignment horizontal="center" vertical="bottom"/>
    </dxf>
    <dxf>
      <alignment horizontal="center" vertical="bottom"/>
    </dxf>
    <dxf>
      <alignment horizontal="center" vertical="center"/>
    </dxf>
    <dxf>
      <alignment horizontal="center"/>
    </dxf>
    <dxf>
      <alignment horizontal="center"/>
    </dxf>
    <dxf>
      <alignment horizontal="center"/>
    </dxf>
    <dxf>
      <alignment horizontal="center" vertical="center"/>
    </dxf>
    <dxf>
      <font>
        <strike val="0"/>
        <condense val="0"/>
        <extend val="0"/>
        <outline val="0"/>
        <shadow val="0"/>
        <vertAlign val="baseline"/>
        <sz val="11"/>
        <color theme="1"/>
        <name val="Calibri"/>
        <scheme val="minor"/>
      </font>
      <alignment horizontal="center" vertical="bottom"/>
    </dxf>
    <dxf>
      <font>
        <strike val="0"/>
        <condense val="0"/>
        <extend val="0"/>
        <outline val="0"/>
        <shadow val="0"/>
        <vertAlign val="baseline"/>
        <sz val="11"/>
        <color theme="1"/>
        <name val="Calibri"/>
        <scheme val="minor"/>
      </font>
      <alignment horizontal="center" vertical="bottom"/>
    </dxf>
    <dxf>
      <font>
        <strike val="0"/>
        <condense val="0"/>
        <extend val="0"/>
        <outline val="0"/>
        <shadow val="0"/>
        <vertAlign val="baseline"/>
        <sz val="11"/>
        <color theme="1"/>
        <name val="Calibri"/>
        <scheme val="minor"/>
      </font>
      <alignment horizontal="center" vertical="center"/>
    </dxf>
    <dxf>
      <alignment horizontal="center" vertical="bottom"/>
    </dxf>
    <dxf>
      <alignment horizontal="center" vertical="bottom"/>
    </dxf>
    <dxf>
      <alignment horizontal="center" vertical="center"/>
    </dxf>
    <dxf>
      <alignment horizontal="center" vertical="bottom"/>
    </dxf>
    <dxf>
      <alignment horizontal="center" vertical="bottom"/>
    </dxf>
    <dxf>
      <alignment horizontal="center" vertical="center"/>
    </dxf>
    <dxf>
      <alignment horizontal="center" vertical="bottom"/>
    </dxf>
    <dxf>
      <alignment horizontal="center" vertical="bottom"/>
    </dxf>
    <dxf>
      <font>
        <b/>
        <strike val="0"/>
        <condense val="0"/>
        <extend val="0"/>
        <outline val="0"/>
        <shadow val="0"/>
        <vertAlign val="baseline"/>
        <sz val="11"/>
        <color theme="0"/>
        <name val="Calibri"/>
        <scheme val="minor"/>
      </font>
      <fill>
        <patternFill patternType="solid">
          <fgColor indexed="64"/>
          <bgColor theme="5" tint="0.39997558519241921"/>
        </patternFill>
      </fill>
      <alignment horizontal="general" vertical="center"/>
    </dxf>
    <dxf>
      <alignment horizontal="center" vertical="bottom"/>
    </dxf>
    <dxf>
      <alignment horizontal="center" vertical="bottom"/>
    </dxf>
    <dxf>
      <font>
        <b/>
        <strike val="0"/>
        <condense val="0"/>
        <extend val="0"/>
        <outline val="0"/>
        <shadow val="0"/>
        <vertAlign val="baseline"/>
        <sz val="11"/>
        <color theme="0"/>
        <name val="Calibri"/>
        <scheme val="minor"/>
      </font>
      <fill>
        <patternFill patternType="solid">
          <fgColor indexed="64"/>
          <bgColor theme="5" tint="0.39997558519241921"/>
        </patternFill>
      </fill>
      <alignment horizontal="center" vertical="center"/>
    </dxf>
    <dxf>
      <alignment horizontal="center" vertical="bottom"/>
    </dxf>
    <dxf>
      <alignment horizontal="center" vertical="bottom"/>
    </dxf>
    <dxf>
      <font>
        <b/>
        <strike val="0"/>
        <condense val="0"/>
        <extend val="0"/>
        <outline val="0"/>
        <shadow val="0"/>
        <vertAlign val="baseline"/>
        <sz val="11"/>
        <color theme="0"/>
        <name val="Calibri"/>
        <scheme val="minor"/>
      </font>
      <fill>
        <patternFill patternType="solid">
          <fgColor indexed="64"/>
          <bgColor theme="5" tint="0.39997558519241921"/>
        </patternFill>
      </fill>
      <alignment horizontal="center" vertical="center"/>
    </dxf>
    <dxf>
      <alignment horizontal="center" vertical="bottom"/>
    </dxf>
    <dxf>
      <border outline="0">
        <top style="thin">
          <color auto="1"/>
        </top>
      </border>
    </dxf>
    <dxf>
      <alignment horizontal="center" vertical="bottom"/>
    </dxf>
    <dxf>
      <border outline="0">
        <bottom style="thin">
          <color auto="1"/>
        </bottom>
      </border>
    </dxf>
    <dxf>
      <font>
        <b/>
        <strike val="0"/>
        <condense val="0"/>
        <extend val="0"/>
        <outline val="0"/>
        <shadow val="0"/>
        <vertAlign val="baseline"/>
        <sz val="9"/>
        <color indexed="9"/>
        <name val="Bookman Old Style"/>
      </font>
      <fill>
        <patternFill patternType="solid">
          <fgColor indexed="64"/>
          <bgColor theme="5" tint="0.39997558519241921"/>
        </patternFill>
      </fill>
      <alignment horizontal="center" vertical="center"/>
    </dxf>
    <dxf>
      <alignment horizontal="center" vertical="bottom"/>
    </dxf>
    <dxf>
      <border outline="0">
        <top style="thin">
          <color auto="1"/>
        </top>
      </border>
    </dxf>
    <dxf>
      <alignment horizontal="center" vertical="bottom"/>
    </dxf>
    <dxf>
      <border outline="0">
        <bottom style="thin">
          <color auto="1"/>
        </bottom>
      </border>
    </dxf>
    <dxf>
      <font>
        <b/>
        <strike val="0"/>
        <condense val="0"/>
        <extend val="0"/>
        <outline val="0"/>
        <shadow val="0"/>
        <vertAlign val="baseline"/>
        <sz val="9"/>
        <color indexed="9"/>
        <name val="Bookman Old Style"/>
      </font>
      <fill>
        <patternFill patternType="solid">
          <fgColor indexed="64"/>
          <bgColor theme="5" tint="0.39997558519241921"/>
        </patternFill>
      </fill>
      <alignment horizontal="center" vertical="center"/>
    </dxf>
    <dxf>
      <alignment horizontal="center" vertical="bottom"/>
    </dxf>
    <dxf>
      <border outline="0">
        <top style="thin">
          <color auto="1"/>
        </top>
      </border>
    </dxf>
    <dxf>
      <alignment horizontal="center" vertical="bottom"/>
    </dxf>
    <dxf>
      <border outline="0">
        <bottom style="thin">
          <color auto="1"/>
        </bottom>
      </border>
    </dxf>
    <dxf>
      <font>
        <b/>
        <strike val="0"/>
        <condense val="0"/>
        <extend val="0"/>
        <outline val="0"/>
        <shadow val="0"/>
        <vertAlign val="baseline"/>
        <sz val="9"/>
        <color indexed="9"/>
        <name val="Bookman Old Style"/>
      </font>
      <fill>
        <patternFill patternType="solid">
          <fgColor indexed="64"/>
          <bgColor rgb="FFFF0000"/>
        </patternFill>
      </fill>
      <alignment horizontal="center" vertical="center" wrapText="1"/>
    </dxf>
    <dxf>
      <alignment horizontal="center" vertical="bottom"/>
    </dxf>
    <dxf>
      <border outline="0">
        <top style="thin">
          <color auto="1"/>
        </top>
      </border>
    </dxf>
    <dxf>
      <alignment horizontal="center" vertical="bottom"/>
    </dxf>
    <dxf>
      <border outline="0">
        <bottom style="thin">
          <color auto="1"/>
        </bottom>
      </border>
    </dxf>
    <dxf>
      <font>
        <b/>
        <strike val="0"/>
        <condense val="0"/>
        <extend val="0"/>
        <outline val="0"/>
        <shadow val="0"/>
        <vertAlign val="baseline"/>
        <sz val="9"/>
        <color indexed="9"/>
        <name val="Bookman Old Style"/>
      </font>
      <fill>
        <patternFill patternType="solid">
          <fgColor indexed="64"/>
          <bgColor rgb="FFFF0000"/>
        </patternFill>
      </fill>
      <alignment horizontal="center" vertical="center" wrapText="1"/>
    </dxf>
    <dxf>
      <numFmt numFmtId="164" formatCode="[$-409]mmm/yy;@"/>
      <alignment horizontal="center" vertical="bottom"/>
    </dxf>
    <dxf>
      <border outline="0">
        <top style="thin">
          <color auto="1"/>
        </top>
      </border>
    </dxf>
    <dxf>
      <alignment horizontal="center" vertical="bottom"/>
    </dxf>
    <dxf>
      <border outline="0">
        <bottom style="thin">
          <color auto="1"/>
        </bottom>
      </border>
    </dxf>
    <dxf>
      <font>
        <b/>
        <strike val="0"/>
        <condense val="0"/>
        <extend val="0"/>
        <outline val="0"/>
        <shadow val="0"/>
        <vertAlign val="baseline"/>
        <sz val="9"/>
        <color indexed="9"/>
        <name val="Bookman Old Style"/>
      </font>
      <fill>
        <patternFill patternType="solid">
          <fgColor indexed="64"/>
          <bgColor theme="5" tint="0.39997558519241921"/>
        </patternFill>
      </fill>
      <alignment horizontal="center" vertical="center" wrapText="1"/>
    </dxf>
    <dxf>
      <alignment horizontal="center" vertical="bottom"/>
    </dxf>
    <dxf>
      <border outline="0">
        <top style="thin">
          <color auto="1"/>
        </top>
      </border>
    </dxf>
    <dxf>
      <alignment horizontal="center" vertical="bottom"/>
    </dxf>
    <dxf>
      <border outline="0">
        <bottom style="thin">
          <color auto="1"/>
        </bottom>
      </border>
    </dxf>
    <dxf>
      <font>
        <b/>
        <strike val="0"/>
        <condense val="0"/>
        <extend val="0"/>
        <outline val="0"/>
        <shadow val="0"/>
        <vertAlign val="baseline"/>
        <sz val="9"/>
        <color indexed="9"/>
        <name val="Bookman Old Style"/>
      </font>
      <fill>
        <patternFill patternType="solid">
          <fgColor indexed="64"/>
          <bgColor theme="5" tint="0.39997558519241921"/>
        </patternFill>
      </fill>
      <alignment horizontal="center" vertical="center" wrapText="1"/>
    </dxf>
    <dxf>
      <alignment horizontal="center" vertical="bottom"/>
    </dxf>
    <dxf>
      <border outline="0">
        <top style="thin">
          <color auto="1"/>
        </top>
      </border>
    </dxf>
    <dxf>
      <alignment horizontal="center" vertical="bottom"/>
    </dxf>
    <dxf>
      <border outline="0">
        <bottom style="thin">
          <color auto="1"/>
        </bottom>
      </border>
    </dxf>
    <dxf>
      <font>
        <b/>
        <strike val="0"/>
        <condense val="0"/>
        <extend val="0"/>
        <outline val="0"/>
        <shadow val="0"/>
        <vertAlign val="baseline"/>
        <sz val="9"/>
        <color indexed="9"/>
        <name val="Bookman Old Style"/>
      </font>
      <fill>
        <patternFill patternType="solid">
          <fgColor indexed="64"/>
          <bgColor theme="5" tint="0.39997558519241921"/>
        </patternFill>
      </fill>
      <alignment horizontal="center" vertical="center"/>
    </dxf>
    <dxf>
      <alignment horizontal="center" vertical="bottom"/>
    </dxf>
    <dxf>
      <border outline="0">
        <top style="thin">
          <color auto="1"/>
        </top>
      </border>
    </dxf>
    <dxf>
      <alignment horizontal="center" vertical="bottom"/>
    </dxf>
    <dxf>
      <border outline="0">
        <bottom style="thin">
          <color auto="1"/>
        </bottom>
      </border>
    </dxf>
    <dxf>
      <font>
        <b/>
        <strike val="0"/>
        <condense val="0"/>
        <extend val="0"/>
        <outline val="0"/>
        <shadow val="0"/>
        <vertAlign val="baseline"/>
        <sz val="9"/>
        <color indexed="9"/>
        <name val="Bookman Old Style"/>
      </font>
      <fill>
        <patternFill patternType="solid">
          <fgColor indexed="64"/>
          <bgColor rgb="FFFF0000"/>
        </patternFill>
      </fill>
      <alignment horizontal="center" vertical="center" wrapText="1"/>
    </dxf>
    <dxf>
      <alignment horizontal="center" vertical="bottom"/>
    </dxf>
    <dxf>
      <border outline="0">
        <top style="thin">
          <color auto="1"/>
        </top>
      </border>
    </dxf>
    <dxf>
      <alignment horizontal="center" vertical="bottom"/>
    </dxf>
    <dxf>
      <border outline="0">
        <bottom style="thin">
          <color auto="1"/>
        </bottom>
      </border>
    </dxf>
    <dxf>
      <font>
        <b/>
        <strike val="0"/>
        <condense val="0"/>
        <extend val="0"/>
        <outline val="0"/>
        <shadow val="0"/>
        <vertAlign val="baseline"/>
        <sz val="9"/>
        <color indexed="9"/>
        <name val="Bookman Old Style"/>
      </font>
      <fill>
        <patternFill patternType="solid">
          <fgColor indexed="64"/>
          <bgColor theme="5" tint="0.39997558519241921"/>
        </patternFill>
      </fill>
      <alignment horizontal="center" vertical="center" wrapText="1"/>
    </dxf>
    <dxf>
      <border outline="0">
        <top style="thin">
          <color auto="1"/>
        </top>
      </border>
    </dxf>
    <dxf>
      <border outline="0">
        <bottom style="thin">
          <color auto="1"/>
        </bottom>
      </border>
    </dxf>
    <dxf>
      <font>
        <b/>
        <strike val="0"/>
        <condense val="0"/>
        <extend val="0"/>
        <outline val="0"/>
        <shadow val="0"/>
        <vertAlign val="baseline"/>
        <sz val="9"/>
        <color indexed="9"/>
        <name val="Bookman Old Style"/>
      </font>
      <fill>
        <patternFill patternType="solid">
          <fgColor indexed="64"/>
          <bgColor theme="5" tint="0.39997558519241921"/>
        </patternFill>
      </fill>
      <alignment horizontal="center" vertical="center" wrapText="1"/>
    </dxf>
    <dxf>
      <alignment horizontal="center" vertical="bottom"/>
    </dxf>
    <dxf>
      <border outline="0">
        <top style="thin">
          <color auto="1"/>
        </top>
      </border>
    </dxf>
    <dxf>
      <alignment horizontal="center" vertical="bottom"/>
    </dxf>
    <dxf>
      <border outline="0">
        <bottom style="thin">
          <color auto="1"/>
        </bottom>
      </border>
    </dxf>
    <dxf>
      <font>
        <b/>
        <strike val="0"/>
        <condense val="0"/>
        <extend val="0"/>
        <outline val="0"/>
        <shadow val="0"/>
        <vertAlign val="baseline"/>
        <sz val="9"/>
        <color indexed="9"/>
        <name val="Bookman Old Style"/>
      </font>
      <fill>
        <patternFill patternType="solid">
          <fgColor indexed="64"/>
          <bgColor theme="5" tint="0.39997558519241921"/>
        </patternFill>
      </fill>
      <alignment horizontal="center" vertical="center" wrapText="1"/>
    </dxf>
    <dxf>
      <alignment horizontal="center" vertical="center"/>
    </dxf>
    <dxf>
      <alignment horizontal="center" vertical="bottom"/>
    </dxf>
    <dxf>
      <alignment horizontal="center" vertical="bottom"/>
    </dxf>
    <dxf>
      <alignment horizontal="center" vertical="center"/>
    </dxf>
    <dxf>
      <alignment horizontal="center" vertical="bottom"/>
    </dxf>
    <dxf>
      <alignment horizontal="center" vertical="bottom"/>
    </dxf>
    <dxf>
      <alignment horizontal="center" vertical="center"/>
    </dxf>
    <dxf>
      <alignment horizontal="center" vertical="bottom"/>
    </dxf>
    <dxf>
      <alignment horizontal="center" vertical="bottom"/>
    </dxf>
    <dxf>
      <alignment horizontal="center" vertical="center"/>
    </dxf>
    <dxf>
      <alignment horizontal="center" vertical="bottom"/>
    </dxf>
    <dxf>
      <alignment horizontal="center" vertical="bottom"/>
    </dxf>
    <dxf>
      <alignment horizontal="center" vertical="center"/>
    </dxf>
    <dxf>
      <alignment horizontal="center" vertical="bottom"/>
    </dxf>
    <dxf>
      <alignment horizontal="center" vertical="bottom"/>
    </dxf>
    <dxf>
      <alignment horizontal="center" vertical="center"/>
    </dxf>
    <dxf>
      <alignment horizontal="center" vertical="bottom"/>
    </dxf>
    <dxf>
      <alignment horizontal="center" vertical="bottom"/>
    </dxf>
    <dxf>
      <alignment horizontal="center" vertical="center"/>
    </dxf>
    <dxf>
      <alignment horizontal="center" vertical="bottom"/>
    </dxf>
    <dxf>
      <alignment horizontal="center" vertical="bottom"/>
    </dxf>
    <dxf>
      <alignment horizontal="center" vertical="center"/>
    </dxf>
    <dxf>
      <alignment horizontal="center" vertical="bottom"/>
    </dxf>
    <dxf>
      <alignment horizontal="center" vertical="bottom"/>
    </dxf>
    <dxf>
      <alignment horizontal="center" vertical="center"/>
    </dxf>
    <dxf>
      <alignment horizontal="center" vertical="bottom"/>
    </dxf>
    <dxf>
      <alignment horizontal="center" vertical="bottom"/>
    </dxf>
    <dxf>
      <alignment horizontal="center" vertical="center"/>
    </dxf>
    <dxf>
      <alignment horizontal="center" vertical="bottom"/>
    </dxf>
    <dxf>
      <alignment horizontal="center" vertical="bottom"/>
    </dxf>
    <dxf>
      <alignment horizontal="center" vertical="center"/>
    </dxf>
    <dxf>
      <alignment horizontal="center" vertical="bottom"/>
    </dxf>
    <dxf>
      <alignment horizontal="center" vertical="bottom"/>
    </dxf>
    <dxf>
      <alignment horizontal="center" vertical="center"/>
    </dxf>
    <dxf>
      <alignment horizontal="center" vertical="bottom"/>
    </dxf>
    <dxf>
      <alignment horizontal="center" vertical="bottom"/>
    </dxf>
    <dxf>
      <alignment horizontal="center" vertical="center"/>
    </dxf>
    <dxf>
      <alignment horizontal="center" vertical="bottom"/>
    </dxf>
    <dxf>
      <alignment horizontal="center" vertical="bottom"/>
    </dxf>
    <dxf>
      <alignment horizontal="center" vertical="center"/>
    </dxf>
    <dxf>
      <alignment horizontal="center" vertical="bottom"/>
    </dxf>
    <dxf>
      <alignment horizontal="center" vertical="bottom"/>
    </dxf>
    <dxf>
      <alignment horizontal="center" vertical="center"/>
    </dxf>
    <dxf>
      <alignment horizontal="center" vertical="bottom"/>
    </dxf>
    <dxf>
      <alignment horizontal="center" vertical="bottom"/>
    </dxf>
    <dxf>
      <alignment horizontal="center" vertical="center"/>
    </dxf>
    <dxf>
      <alignment horizontal="center" vertical="center"/>
    </dxf>
    <dxf>
      <alignment horizontal="center" vertical="center"/>
    </dxf>
    <dxf>
      <alignment horizontal="center" vertical="center"/>
    </dxf>
    <dxf>
      <alignment horizontal="center" vertical="bottom"/>
    </dxf>
    <dxf>
      <alignment horizontal="center" vertical="center"/>
    </dxf>
    <dxf>
      <alignment horizontal="center" vertical="bottom"/>
    </dxf>
    <dxf>
      <alignment horizontal="center" vertical="bottom"/>
    </dxf>
    <dxf>
      <alignment horizontal="center" vertical="center"/>
    </dxf>
    <dxf>
      <alignment horizontal="center" vertical="bottom"/>
    </dxf>
    <dxf>
      <alignment horizontal="center" vertical="bottom"/>
    </dxf>
    <dxf>
      <alignment horizontal="center" vertical="center"/>
    </dxf>
    <dxf>
      <alignment horizontal="center" vertical="bottom"/>
    </dxf>
    <dxf>
      <alignment horizontal="center" vertical="bottom"/>
    </dxf>
    <dxf>
      <alignment horizontal="center" vertical="center"/>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ont>
        <color rgb="FF9C0006"/>
      </font>
      <fill>
        <patternFill>
          <bgColor rgb="FFFFC7CE"/>
        </patternFill>
      </fill>
    </dxf>
    <dxf>
      <fill>
        <patternFill patternType="solid">
          <bgColor rgb="FF002060"/>
        </patternFill>
      </fill>
    </dxf>
  </dxfs>
  <tableStyles count="1" defaultTableStyle="TableStyleMedium2" defaultPivotStyle="PivotStyleLight16">
    <tableStyle name="Table Style 1" pivot="0" count="1" xr9:uid="{00000000-0011-0000-FFFF-FFFF00000000}">
      <tableStyleElement type="headerRow" dxfId="18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1:D32" totalsRowShown="0" headerRowDxfId="170" dataDxfId="169">
  <autoFilter ref="D1:D32" xr:uid="{00000000-0009-0000-0100-000001000000}"/>
  <tableColumns count="1">
    <tableColumn id="1" xr3:uid="{00000000-0010-0000-0000-000001000000}" name="ImpactingLOB" dataDxfId="168"/>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F1:F2" totalsRowShown="0" headerRowDxfId="167" dataDxfId="166">
  <autoFilter ref="F1:F2" xr:uid="{00000000-0009-0000-0100-000002000000}"/>
  <tableColumns count="1">
    <tableColumn id="1" xr3:uid="{00000000-0010-0000-0100-000001000000}" name="ABGB" dataDxfId="165"/>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H1:H5" totalsRowShown="0" headerRowDxfId="164" dataDxfId="163">
  <autoFilter ref="H1:H5" xr:uid="{00000000-0009-0000-0100-000003000000}"/>
  <tableColumns count="1">
    <tableColumn id="1" xr3:uid="{00000000-0010-0000-0200-000001000000}" name="Analytics" dataDxfId="162"/>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I1:J2" totalsRowShown="0" headerRowDxfId="161">
  <autoFilter ref="I1:J2" xr:uid="{00000000-0009-0000-0100-000004000000}"/>
  <tableColumns count="2">
    <tableColumn id="1" xr3:uid="{00000000-0010-0000-0300-000001000000}" name="CCT"/>
    <tableColumn id="2" xr3:uid="{00000000-0010-0000-0300-000002000000}" name="CaseNInteraction" dataDxfId="160"/>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K1:K2" totalsRowShown="0" headerRowDxfId="159" dataDxfId="158">
  <autoFilter ref="K1:K2" xr:uid="{00000000-0009-0000-0100-000005000000}"/>
  <tableColumns count="1">
    <tableColumn id="1" xr3:uid="{00000000-0010-0000-0400-000001000000}" name="DC Infra" dataDxfId="157"/>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7" displayName="Table7" ref="L1:L3" totalsRowShown="0" headerRowDxfId="156" dataDxfId="155">
  <autoFilter ref="L1:L3" xr:uid="{00000000-0009-0000-0100-000006000000}"/>
  <tableColumns count="1">
    <tableColumn id="1" xr3:uid="{00000000-0010-0000-0500-000001000000}" name="DCNetwork" dataDxfId="154"/>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8" displayName="Table8" ref="N1:N2" totalsRowShown="0" headerRowDxfId="153" dataDxfId="152">
  <autoFilter ref="N1:N2" xr:uid="{00000000-0009-0000-0100-000007000000}"/>
  <tableColumns count="1">
    <tableColumn id="1" xr3:uid="{00000000-0010-0000-0600-000001000000}" name="DigitalAcquisition" dataDxfId="151"/>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9" displayName="Table9" ref="O1:O3" totalsRowShown="0" headerRowDxfId="150" dataDxfId="149">
  <autoFilter ref="O1:O3" xr:uid="{00000000-0009-0000-0100-000008000000}"/>
  <tableColumns count="1">
    <tableColumn id="1" xr3:uid="{00000000-0010-0000-0700-000001000000}" name="DigitalExperienceB2B" dataDxfId="148"/>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0" displayName="Table10" ref="P1:P4" totalsRowShown="0" headerRowDxfId="147" dataDxfId="146">
  <autoFilter ref="P1:P4" xr:uid="{00000000-0009-0000-0100-000009000000}"/>
  <tableColumns count="1">
    <tableColumn id="1" xr3:uid="{00000000-0010-0000-0800-000001000000}" name="DigitalExperienceB2C" dataDxfId="145"/>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1" displayName="Table11" ref="Q1:Q2" totalsRowShown="0" headerRowDxfId="144" dataDxfId="143">
  <autoFilter ref="Q1:Q2" xr:uid="{00000000-0009-0000-0100-00000A000000}"/>
  <tableColumns count="1">
    <tableColumn id="1" xr3:uid="{00000000-0010-0000-0900-000001000000}" name="DTH" dataDxfId="142"/>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2" displayName="Table12" ref="R1:R2" totalsRowShown="0" headerRowDxfId="141" dataDxfId="140">
  <autoFilter ref="R1:R2" xr:uid="{00000000-0009-0000-0100-00000B000000}"/>
  <tableColumns count="1">
    <tableColumn id="1" xr3:uid="{00000000-0010-0000-0A00-000001000000}" name="iFactory" dataDxfId="139"/>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 displayName="Table13" ref="S1:S2" totalsRowShown="0" headerRowDxfId="138" dataDxfId="137">
  <autoFilter ref="S1:S2" xr:uid="{00000000-0009-0000-0100-00000C000000}"/>
  <tableColumns count="1">
    <tableColumn id="1" xr3:uid="{00000000-0010-0000-0B00-000001000000}" name="Integration" dataDxfId="136"/>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4" displayName="Table14" ref="T1:T2" totalsRowShown="0" headerRowDxfId="135" dataDxfId="134">
  <autoFilter ref="T1:T2" xr:uid="{00000000-0009-0000-0100-00000D000000}"/>
  <tableColumns count="1">
    <tableColumn id="1" xr3:uid="{00000000-0010-0000-0C00-000001000000}" name="IntOps" dataDxfId="133"/>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5" displayName="Table15" ref="U1:U3" totalsRowShown="0" headerRowDxfId="132" dataDxfId="131">
  <autoFilter ref="U1:U3" xr:uid="{00000000-0009-0000-0100-00000E000000}"/>
  <tableColumns count="1">
    <tableColumn id="1" xr3:uid="{00000000-0010-0000-0D00-000001000000}" name="iOT" dataDxfId="130"/>
  </tableColumns>
  <tableStyleInfo name="TableStyleMedium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6" displayName="Table16" ref="V1:V2" totalsRowShown="0" headerRowDxfId="129" dataDxfId="128">
  <autoFilter ref="V1:V2" xr:uid="{00000000-0009-0000-0100-00000F000000}"/>
  <tableColumns count="1">
    <tableColumn id="1" xr3:uid="{00000000-0010-0000-0E00-000001000000}" name="NetworkDigitization" dataDxfId="127"/>
  </tableColumns>
  <tableStyleInfo name="TableStyleMedium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7" displayName="Table17" ref="W1:W2" totalsRowShown="0" headerRowDxfId="126" dataDxfId="125">
  <autoFilter ref="W1:W2" xr:uid="{00000000-0009-0000-0100-000010000000}"/>
  <tableColumns count="1">
    <tableColumn id="1" xr3:uid="{00000000-0010-0000-0F00-000001000000}" name="Postpaid" dataDxfId="124"/>
  </tableColumns>
  <tableStyleInfo name="TableStyleMedium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8" displayName="Table18" ref="X1:X2" totalsRowShown="0" headerRowDxfId="123" dataDxfId="122">
  <autoFilter ref="X1:X2" xr:uid="{00000000-0009-0000-0100-000011000000}"/>
  <tableColumns count="1">
    <tableColumn id="1" xr3:uid="{00000000-0010-0000-1000-000001000000}" name="Prepaid" dataDxfId="121"/>
  </tableColumns>
  <tableStyleInfo name="TableStyleMedium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9" displayName="Table19" ref="Y1:Y2" totalsRowShown="0" headerRowDxfId="120" dataDxfId="119">
  <autoFilter ref="Y1:Y2" xr:uid="{00000000-0009-0000-0100-000012000000}"/>
  <tableColumns count="1">
    <tableColumn id="1" xr3:uid="{00000000-0010-0000-1100-000001000000}" name="Security" dataDxfId="118"/>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20" displayName="Table20" ref="Z1:Z2" totalsRowShown="0" headerRowDxfId="117" dataDxfId="116">
  <autoFilter ref="Z1:Z2" xr:uid="{00000000-0009-0000-0100-000013000000}"/>
  <tableColumns count="1">
    <tableColumn id="1" xr3:uid="{00000000-0010-0000-1200-000001000000}" name="Broadband" dataDxfId="115"/>
  </tableColumns>
  <tableStyleInfo name="TableStyleMedium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21" displayName="Table21" ref="AA1:AA2" totalsRowShown="0" headerRowDxfId="114" dataDxfId="113">
  <autoFilter ref="AA1:AA2" xr:uid="{00000000-0009-0000-0100-000014000000}"/>
  <tableColumns count="1">
    <tableColumn id="1" xr3:uid="{00000000-0010-0000-1300-000001000000}" name="UNOC" dataDxfId="112"/>
  </tableColumns>
  <tableStyleInfo name="TableStyleMedium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22" displayName="Table22" ref="AB1:AB2" totalsRowShown="0" headerRowDxfId="111">
  <autoFilter ref="AB1:AB2" xr:uid="{00000000-0009-0000-0100-000015000000}"/>
  <tableColumns count="1">
    <tableColumn id="1" xr3:uid="{00000000-0010-0000-1400-000001000000}" name="Wynk"/>
  </tableColumns>
  <tableStyleInfo name="TableStyleMedium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26" displayName="Table26" ref="AI1:AI5" totalsRowShown="0" headerRowDxfId="110" dataDxfId="108" headerRowBorderDxfId="109" tableBorderDxfId="107">
  <autoFilter ref="AI1:AI5" xr:uid="{00000000-0009-0000-0100-000016000000}"/>
  <tableColumns count="1">
    <tableColumn id="1" xr3:uid="{00000000-0010-0000-1500-000001000000}" name="Severity" dataDxfId="106"/>
  </tableColumns>
  <tableStyleInfo name="TableStyleMedium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27" displayName="Table27" ref="AJ1:AJ4" totalsRowShown="0" headerRowDxfId="105" headerRowBorderDxfId="104" tableBorderDxfId="103">
  <autoFilter ref="AJ1:AJ4" xr:uid="{00000000-0009-0000-0100-000017000000}"/>
  <tableColumns count="1">
    <tableColumn id="1" xr3:uid="{00000000-0010-0000-1600-000001000000}" name="RCAStatus"/>
  </tableColumns>
  <tableStyleInfo name="TableStyleMedium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28" displayName="Table28" ref="AK1:AK62" totalsRowShown="0" headerRowDxfId="102" dataDxfId="100" headerRowBorderDxfId="101" tableBorderDxfId="99">
  <autoFilter ref="AK1:AK62" xr:uid="{00000000-0009-0000-0100-000018000000}"/>
  <sortState xmlns:xlrd2="http://schemas.microsoft.com/office/spreadsheetml/2017/richdata2" ref="AK2:AK48">
    <sortCondition ref="AK2:AK48"/>
  </sortState>
  <tableColumns count="1">
    <tableColumn id="1" xr3:uid="{00000000-0010-0000-1700-000001000000}" name="ImpactedBusinessService" dataDxfId="98"/>
  </tableColumns>
  <tableStyleInfo name="TableStyleMedium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29" displayName="Table29" ref="AL1:AL7" totalsRowShown="0" headerRowDxfId="97" dataDxfId="95" headerRowBorderDxfId="96" tableBorderDxfId="94">
  <autoFilter ref="AL1:AL7" xr:uid="{00000000-0009-0000-0100-000019000000}"/>
  <tableColumns count="1">
    <tableColumn id="1" xr3:uid="{00000000-0010-0000-1800-000001000000}" name="Location" dataDxfId="93"/>
  </tableColumns>
  <tableStyleInfo name="TableStyleMedium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30" displayName="Table30" ref="AP1:AP4" totalsRowShown="0" headerRowDxfId="92" dataDxfId="90" headerRowBorderDxfId="91" tableBorderDxfId="89">
  <autoFilter ref="AP1:AP4" xr:uid="{00000000-0009-0000-0100-00001A000000}"/>
  <tableColumns count="1">
    <tableColumn id="1" xr3:uid="{00000000-0010-0000-1900-000001000000}" name="AlertCategory" dataDxfId="88"/>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Table31" displayName="Table31" ref="AQ1:AQ5" totalsRowShown="0" headerRowDxfId="87" dataDxfId="85" headerRowBorderDxfId="86" tableBorderDxfId="84">
  <autoFilter ref="AQ1:AQ5" xr:uid="{00000000-0009-0000-0100-00001B000000}"/>
  <tableColumns count="1">
    <tableColumn id="1" xr3:uid="{00000000-0010-0000-1A00-000001000000}" name="SeverityEventTicket" dataDxfId="83"/>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Table32" displayName="Table32" ref="AR1:AR60" totalsRowShown="0" headerRowDxfId="82" dataDxfId="80" headerRowBorderDxfId="81" tableBorderDxfId="79">
  <autoFilter ref="AR1:AR60" xr:uid="{00000000-0009-0000-0100-00001C000000}"/>
  <tableColumns count="1">
    <tableColumn id="1" xr3:uid="{00000000-0010-0000-1B00-000001000000}" name="Month" dataDxfId="78"/>
  </tableColumns>
  <tableStyleInfo name="TableStyleMedium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Table33" displayName="Table33" ref="AS1:AS7" totalsRowShown="0" headerRowDxfId="77" dataDxfId="75" headerRowBorderDxfId="76" tableBorderDxfId="74">
  <autoFilter ref="AS1:AS7" xr:uid="{00000000-0009-0000-0100-00001D000000}"/>
  <tableColumns count="1">
    <tableColumn id="1" xr3:uid="{00000000-0010-0000-1C00-000001000000}" name="Category" dataDxfId="73"/>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le34" displayName="Table34" ref="AT1:AT9" totalsRowShown="0" headerRowDxfId="72" dataDxfId="70" headerRowBorderDxfId="71" tableBorderDxfId="69">
  <autoFilter ref="AT1:AT9" xr:uid="{00000000-0009-0000-0100-00001E000000}"/>
  <tableColumns count="1">
    <tableColumn id="1" xr3:uid="{00000000-0010-0000-1D00-000001000000}" name="CategoryNew" dataDxfId="68"/>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le35" displayName="Table35" ref="BA1:BA6" totalsRowShown="0" headerRowDxfId="67" dataDxfId="65" headerRowBorderDxfId="66" tableBorderDxfId="64">
  <autoFilter ref="BA1:BA6" xr:uid="{00000000-0009-0000-0100-00001F000000}"/>
  <tableColumns count="1">
    <tableColumn id="1" xr3:uid="{00000000-0010-0000-1E00-000001000000}" name="SupportingPartner" dataDxfId="63"/>
  </tableColumns>
  <tableStyleInfo name="TableStyleMedium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F000000}" name="Table36" displayName="Table36" ref="BB1:BB4" totalsRowShown="0" headerRowDxfId="62" dataDxfId="60" headerRowBorderDxfId="61" tableBorderDxfId="59">
  <autoFilter ref="BB1:BB4" xr:uid="{00000000-0009-0000-0100-000020000000}"/>
  <tableColumns count="1">
    <tableColumn id="1" xr3:uid="{00000000-0010-0000-1F00-000001000000}" name="IssueType" dataDxfId="58"/>
  </tableColumns>
  <tableStyleInfo name="TableStyleMedium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20000000}" name="Table37" displayName="Table37" ref="BC1:BC3" totalsRowShown="0" headerRowDxfId="57" dataDxfId="56">
  <autoFilter ref="BC1:BC3" xr:uid="{00000000-0009-0000-0100-000021000000}"/>
  <tableColumns count="1">
    <tableColumn id="1" xr3:uid="{00000000-0010-0000-2000-000001000000}" name="Repeat" dataDxfId="55"/>
  </tableColumns>
  <tableStyleInfo name="TableStyleMedium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21000000}" name="Table38" displayName="Table38" ref="BD1:BD3" totalsRowShown="0" headerRowDxfId="54" dataDxfId="53">
  <autoFilter ref="BD1:BD3" xr:uid="{00000000-0009-0000-0100-000022000000}"/>
  <tableColumns count="1">
    <tableColumn id="1" xr3:uid="{00000000-0010-0000-2100-000001000000}" name="Status" dataDxfId="52"/>
  </tableColumns>
  <tableStyleInfo name="TableStyleMedium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2000000}" name="Table39" displayName="Table39" ref="BE1:BE3" totalsRowShown="0" headerRowDxfId="51" dataDxfId="50">
  <autoFilter ref="BE1:BE3" xr:uid="{00000000-0009-0000-0100-000023000000}"/>
  <tableColumns count="1">
    <tableColumn id="1" xr3:uid="{00000000-0010-0000-2200-000001000000}" name="PriorityMatrix" dataDxfId="49"/>
  </tableColumns>
  <tableStyleInfo name="TableStyleMedium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40" displayName="Table40" ref="A1:A533" totalsRowShown="0" headerRowDxfId="48" dataDxfId="47">
  <autoFilter ref="A1:A533" xr:uid="{00000000-0009-0000-0100-000024000000}"/>
  <sortState xmlns:xlrd2="http://schemas.microsoft.com/office/spreadsheetml/2017/richdata2" ref="A2:A532">
    <sortCondition ref="A2:A532"/>
  </sortState>
  <tableColumns count="1">
    <tableColumn id="1" xr3:uid="{00000000-0010-0000-2300-000001000000}" name="ApplicationName" dataDxfId="46"/>
  </tableColumns>
  <tableStyleInfo name="TableStyleMedium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4000000}" name="Table6" displayName="Table6" ref="B1:B76" totalsRowShown="0" headerRowDxfId="45" dataDxfId="44">
  <autoFilter ref="B1:B76" xr:uid="{00000000-0009-0000-0100-000025000000}"/>
  <tableColumns count="1">
    <tableColumn id="1" xr3:uid="{00000000-0010-0000-2400-000001000000}" name="Domain" dataDxfId="43"/>
  </tableColumns>
  <tableStyleInfo name="TableStyleMedium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5000000}" name="Table24" displayName="Table24" ref="BF1:BF4" totalsRowShown="0" headerRowDxfId="42" dataDxfId="41">
  <autoFilter ref="BF1:BF4" xr:uid="{00000000-0009-0000-0100-000026000000}"/>
  <tableColumns count="1">
    <tableColumn id="1" xr3:uid="{00000000-0010-0000-2500-000001000000}" name="IncidentType" dataDxfId="40"/>
  </tableColumns>
  <tableStyleInfo name="TableStyleMedium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6000000}" name="Table226" displayName="Table226" ref="G1:G2" totalsRowShown="0" headerRowDxfId="39" dataDxfId="38">
  <autoFilter ref="G1:G2" xr:uid="{00000000-0009-0000-0100-000027000000}"/>
  <tableColumns count="1">
    <tableColumn id="1" xr3:uid="{00000000-0010-0000-2600-000001000000}" name="AIOps" dataDxfId="37"/>
  </tableColumns>
  <tableStyleInfo name="TableStyleMedium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7000000}" name="Table23" displayName="Table23" ref="M1:M2" totalsRowShown="0">
  <autoFilter ref="M1:M2" xr:uid="{00000000-0009-0000-0100-000028000000}"/>
  <tableColumns count="1">
    <tableColumn id="1" xr3:uid="{00000000-0010-0000-2700-000001000000}" name="DeviceManagemet" dataDxfId="36"/>
  </tableColumns>
  <tableStyleInfo name="TableStyleMedium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8000000}" name="Table41" displayName="Table41" ref="AC1:AC2" totalsRowShown="0" headerRowDxfId="35" dataDxfId="34">
  <autoFilter ref="AC1:AC2" xr:uid="{00000000-0009-0000-0100-000029000000}"/>
  <tableColumns count="1">
    <tableColumn id="1" xr3:uid="{00000000-0010-0000-2800-000001000000}" name="PaymentBank" dataDxfId="33"/>
  </tableColumns>
  <tableStyleInfo name="TableStyleMedium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9000000}" name="Table42" displayName="Table42" ref="AD1:AD2" totalsRowShown="0" headerRowDxfId="32" dataDxfId="31">
  <autoFilter ref="AD1:AD2" xr:uid="{00000000-0009-0000-0100-00002A000000}"/>
  <tableColumns count="1">
    <tableColumn id="1" xr3:uid="{00000000-0010-0000-2900-000001000000}" name="AirtelIQ" dataDxfId="30"/>
  </tableColumns>
  <tableStyleInfo name="TableStyleMedium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A000000}" name="Table43" displayName="Table43" ref="AE1:AE3" totalsRowShown="0" headerRowDxfId="29" dataDxfId="28">
  <autoFilter ref="AE1:AE3" xr:uid="{00000000-0009-0000-0100-00002B000000}"/>
  <tableColumns count="1">
    <tableColumn id="1" xr3:uid="{00000000-0010-0000-2A00-000001000000}" name="NSG" dataDxfId="27"/>
  </tableColumns>
  <tableStyleInfo name="TableStyleMedium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B000000}" name="Table44" displayName="Table44" ref="AF1:AH2" totalsRowShown="0" headerRowDxfId="26" dataDxfId="25">
  <autoFilter ref="AF1:AH2" xr:uid="{00000000-0009-0000-0100-00002C000000}"/>
  <tableColumns count="3">
    <tableColumn id="1" xr3:uid="{00000000-0010-0000-2B00-000001000000}" name="Nxtra" dataDxfId="24"/>
    <tableColumn id="2" xr3:uid="{00000000-0010-0000-2B00-000002000000}" name="Airtel_PaymentBank" dataDxfId="23"/>
    <tableColumn id="3" xr3:uid="{00000000-0010-0000-2B00-000003000000}" name="Xstream" dataDxfId="22"/>
  </tableColumns>
  <tableStyleInfo name="TableStyleLight8"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C000000}" name="Table50" displayName="Table50" ref="AU1:AU4" totalsRowShown="0" headerRowDxfId="21" dataDxfId="20" tableBorderDxfId="19">
  <autoFilter ref="AU1:AU4" xr:uid="{00000000-0009-0000-0100-00002D000000}"/>
  <tableColumns count="1">
    <tableColumn id="1" xr3:uid="{00000000-0010-0000-2C00-000001000000}" name="ProcessandHygiene" dataDxfId="18"/>
  </tableColumns>
  <tableStyleInfo name="TableStyleMedium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D000000}" name="Table51" displayName="Table51" ref="AV1:AV6" totalsRowShown="0" headerRowDxfId="17" dataDxfId="16" tableBorderDxfId="15">
  <autoFilter ref="AV1:AV6" xr:uid="{00000000-0009-0000-0100-00002E000000}"/>
  <tableColumns count="1">
    <tableColumn id="1" xr3:uid="{00000000-0010-0000-2D00-000001000000}" name="Change" dataDxfId="14"/>
  </tableColumns>
  <tableStyleInfo name="TableStyleMedium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E000000}" name="Table52" displayName="Table52" ref="AW1:AW5" totalsRowShown="0" headerRowDxfId="13" dataDxfId="12" tableBorderDxfId="11">
  <autoFilter ref="AW1:AW5" xr:uid="{00000000-0009-0000-0100-00002F000000}"/>
  <tableColumns count="1">
    <tableColumn id="1" xr3:uid="{00000000-0010-0000-2E00-000001000000}" name="Infra Issue" dataDxfId="10"/>
  </tableColumns>
  <tableStyleInfo name="TableStyleMedium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F000000}" name="Table53" displayName="Table53" ref="AX1:AX3" totalsRowShown="0" headerRowDxfId="9" dataDxfId="8" tableBorderDxfId="7">
  <autoFilter ref="AX1:AX3" xr:uid="{00000000-0009-0000-0100-000030000000}"/>
  <tableColumns count="1">
    <tableColumn id="1" xr3:uid="{00000000-0010-0000-2F00-000001000000}" name="Product Issue" dataDxfId="6"/>
  </tableColumns>
  <tableStyleInfo name="TableStyleMedium1"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30000000}" name="Table54" displayName="Table54" ref="AY1:AY13" totalsRowShown="0" headerRowDxfId="5" dataDxfId="4">
  <autoFilter ref="AY1:AY13" xr:uid="{00000000-0009-0000-0100-000031000000}"/>
  <tableColumns count="1">
    <tableColumn id="1" xr3:uid="{00000000-0010-0000-3000-000001000000}" name="Third Party" dataDxfId="3"/>
  </tableColumns>
  <tableStyleInfo name="TableStyleMedium1"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31000000}" name="Table55" displayName="Table55" ref="AZ1:AZ2" totalsRowShown="0" headerRowDxfId="2" dataDxfId="1">
  <autoFilter ref="AZ1:AZ2" xr:uid="{00000000-0009-0000-0100-000032000000}"/>
  <tableColumns count="1">
    <tableColumn id="1" xr3:uid="{00000000-0010-0000-3100-000001000000}" name="NA"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10.248.40.223/" TargetMode="External"/><Relationship Id="rId13" Type="http://schemas.openxmlformats.org/officeDocument/2006/relationships/hyperlink" Target="https://10.241.254.215/" TargetMode="External"/><Relationship Id="rId18" Type="http://schemas.openxmlformats.org/officeDocument/2006/relationships/hyperlink" Target="https://payments.int.airtelbank.com:5051/airtel/auth/api/v2/payments/options/fetch" TargetMode="External"/><Relationship Id="rId26" Type="http://schemas.openxmlformats.org/officeDocument/2006/relationships/comments" Target="../comments1.xml"/><Relationship Id="rId3" Type="http://schemas.openxmlformats.org/officeDocument/2006/relationships/hyperlink" Target="https://10.14.113.174/" TargetMode="External"/><Relationship Id="rId21" Type="http://schemas.openxmlformats.org/officeDocument/2006/relationships/hyperlink" Target="https://evolvingsystems.atlassian.net/browse/EVOL-98201" TargetMode="External"/><Relationship Id="rId7" Type="http://schemas.openxmlformats.org/officeDocument/2006/relationships/hyperlink" Target="https://10.56.133.181/" TargetMode="External"/><Relationship Id="rId12" Type="http://schemas.openxmlformats.org/officeDocument/2006/relationships/hyperlink" Target="https://10.242.136.145/" TargetMode="External"/><Relationship Id="rId17" Type="http://schemas.openxmlformats.org/officeDocument/2006/relationships/hyperlink" Target="https://10.5.9.81/" TargetMode="External"/><Relationship Id="rId25" Type="http://schemas.openxmlformats.org/officeDocument/2006/relationships/vmlDrawing" Target="../drawings/vmlDrawing1.vml"/><Relationship Id="rId2" Type="http://schemas.openxmlformats.org/officeDocument/2006/relationships/hyperlink" Target="tg://search_hashtag/?hashtag=INC13949102" TargetMode="External"/><Relationship Id="rId16" Type="http://schemas.openxmlformats.org/officeDocument/2006/relationships/hyperlink" Target="https://care-manager-gtm.airtel.com/" TargetMode="External"/><Relationship Id="rId20" Type="http://schemas.openxmlformats.org/officeDocument/2006/relationships/hyperlink" Target="https://10.227.204.81/" TargetMode="External"/><Relationship Id="rId1" Type="http://schemas.openxmlformats.org/officeDocument/2006/relationships/hyperlink" Target="https://10.223.131.90/" TargetMode="External"/><Relationship Id="rId6" Type="http://schemas.openxmlformats.org/officeDocument/2006/relationships/hyperlink" Target="https://10.1.7.54/" TargetMode="External"/><Relationship Id="rId11" Type="http://schemas.openxmlformats.org/officeDocument/2006/relationships/hyperlink" Target="https://10.58.76.157/" TargetMode="External"/><Relationship Id="rId24" Type="http://schemas.openxmlformats.org/officeDocument/2006/relationships/hyperlink" Target="https://10.5.232.51/" TargetMode="External"/><Relationship Id="rId5" Type="http://schemas.openxmlformats.org/officeDocument/2006/relationships/hyperlink" Target="http://10.14.120.73:8441/SIEBEL/V1.0/SERVICE/DTHSERVICES/TASKUPDATE" TargetMode="External"/><Relationship Id="rId15" Type="http://schemas.openxmlformats.org/officeDocument/2006/relationships/hyperlink" Target="https://10.242.136.145/" TargetMode="External"/><Relationship Id="rId23" Type="http://schemas.openxmlformats.org/officeDocument/2006/relationships/hyperlink" Target="https://10.5.76.97/" TargetMode="External"/><Relationship Id="rId10" Type="http://schemas.openxmlformats.org/officeDocument/2006/relationships/hyperlink" Target="https://10.14.59.84/" TargetMode="External"/><Relationship Id="rId19" Type="http://schemas.openxmlformats.org/officeDocument/2006/relationships/hyperlink" Target="tg://search_hashtag/?hashtag=Awaited" TargetMode="External"/><Relationship Id="rId4" Type="http://schemas.openxmlformats.org/officeDocument/2006/relationships/hyperlink" Target="https://10.92.219.223/" TargetMode="External"/><Relationship Id="rId9" Type="http://schemas.openxmlformats.org/officeDocument/2006/relationships/hyperlink" Target="https://jira.airtel.com/browse/ARW-219664" TargetMode="External"/><Relationship Id="rId14" Type="http://schemas.openxmlformats.org/officeDocument/2006/relationships/hyperlink" Target="https://10.5.133.203/" TargetMode="External"/><Relationship Id="rId22" Type="http://schemas.openxmlformats.org/officeDocument/2006/relationships/hyperlink" Target="https://10.3.128.140:10035/" TargetMode="External"/></Relationships>
</file>

<file path=xl/worksheets/_rels/sheet3.xml.rels><?xml version="1.0" encoding="UTF-8" standalone="yes"?>
<Relationships xmlns="http://schemas.openxmlformats.org/package/2006/relationships"><Relationship Id="rId13" Type="http://schemas.openxmlformats.org/officeDocument/2006/relationships/table" Target="../tables/table13.xml"/><Relationship Id="rId18" Type="http://schemas.openxmlformats.org/officeDocument/2006/relationships/table" Target="../tables/table18.xml"/><Relationship Id="rId26" Type="http://schemas.openxmlformats.org/officeDocument/2006/relationships/table" Target="../tables/table26.xml"/><Relationship Id="rId39" Type="http://schemas.openxmlformats.org/officeDocument/2006/relationships/table" Target="../tables/table39.xml"/><Relationship Id="rId21" Type="http://schemas.openxmlformats.org/officeDocument/2006/relationships/table" Target="../tables/table21.xml"/><Relationship Id="rId34" Type="http://schemas.openxmlformats.org/officeDocument/2006/relationships/table" Target="../tables/table34.xml"/><Relationship Id="rId42" Type="http://schemas.openxmlformats.org/officeDocument/2006/relationships/table" Target="../tables/table42.xml"/><Relationship Id="rId47" Type="http://schemas.openxmlformats.org/officeDocument/2006/relationships/table" Target="../tables/table47.xml"/><Relationship Id="rId50" Type="http://schemas.openxmlformats.org/officeDocument/2006/relationships/table" Target="../tables/table50.xml"/><Relationship Id="rId7" Type="http://schemas.openxmlformats.org/officeDocument/2006/relationships/table" Target="../tables/table7.xml"/><Relationship Id="rId2" Type="http://schemas.openxmlformats.org/officeDocument/2006/relationships/table" Target="../tables/table2.xml"/><Relationship Id="rId16" Type="http://schemas.openxmlformats.org/officeDocument/2006/relationships/table" Target="../tables/table16.xml"/><Relationship Id="rId29" Type="http://schemas.openxmlformats.org/officeDocument/2006/relationships/table" Target="../tables/table29.xml"/><Relationship Id="rId11" Type="http://schemas.openxmlformats.org/officeDocument/2006/relationships/table" Target="../tables/table11.xml"/><Relationship Id="rId24" Type="http://schemas.openxmlformats.org/officeDocument/2006/relationships/table" Target="../tables/table24.xml"/><Relationship Id="rId32" Type="http://schemas.openxmlformats.org/officeDocument/2006/relationships/table" Target="../tables/table32.xml"/><Relationship Id="rId37" Type="http://schemas.openxmlformats.org/officeDocument/2006/relationships/table" Target="../tables/table37.xml"/><Relationship Id="rId40" Type="http://schemas.openxmlformats.org/officeDocument/2006/relationships/table" Target="../tables/table40.xml"/><Relationship Id="rId45" Type="http://schemas.openxmlformats.org/officeDocument/2006/relationships/table" Target="../tables/table45.xml"/><Relationship Id="rId5" Type="http://schemas.openxmlformats.org/officeDocument/2006/relationships/table" Target="../tables/table5.xml"/><Relationship Id="rId15" Type="http://schemas.openxmlformats.org/officeDocument/2006/relationships/table" Target="../tables/table15.xml"/><Relationship Id="rId23" Type="http://schemas.openxmlformats.org/officeDocument/2006/relationships/table" Target="../tables/table23.xml"/><Relationship Id="rId28" Type="http://schemas.openxmlformats.org/officeDocument/2006/relationships/table" Target="../tables/table28.xml"/><Relationship Id="rId36" Type="http://schemas.openxmlformats.org/officeDocument/2006/relationships/table" Target="../tables/table36.xml"/><Relationship Id="rId49" Type="http://schemas.openxmlformats.org/officeDocument/2006/relationships/table" Target="../tables/table49.xml"/><Relationship Id="rId10" Type="http://schemas.openxmlformats.org/officeDocument/2006/relationships/table" Target="../tables/table10.xml"/><Relationship Id="rId19" Type="http://schemas.openxmlformats.org/officeDocument/2006/relationships/table" Target="../tables/table19.xml"/><Relationship Id="rId31" Type="http://schemas.openxmlformats.org/officeDocument/2006/relationships/table" Target="../tables/table31.xml"/><Relationship Id="rId44" Type="http://schemas.openxmlformats.org/officeDocument/2006/relationships/table" Target="../tables/table44.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 Id="rId22" Type="http://schemas.openxmlformats.org/officeDocument/2006/relationships/table" Target="../tables/table22.xml"/><Relationship Id="rId27" Type="http://schemas.openxmlformats.org/officeDocument/2006/relationships/table" Target="../tables/table27.xml"/><Relationship Id="rId30" Type="http://schemas.openxmlformats.org/officeDocument/2006/relationships/table" Target="../tables/table30.xml"/><Relationship Id="rId35" Type="http://schemas.openxmlformats.org/officeDocument/2006/relationships/table" Target="../tables/table35.xml"/><Relationship Id="rId43" Type="http://schemas.openxmlformats.org/officeDocument/2006/relationships/table" Target="../tables/table43.xml"/><Relationship Id="rId48" Type="http://schemas.openxmlformats.org/officeDocument/2006/relationships/table" Target="../tables/table48.xml"/><Relationship Id="rId8" Type="http://schemas.openxmlformats.org/officeDocument/2006/relationships/table" Target="../tables/table8.xml"/><Relationship Id="rId3" Type="http://schemas.openxmlformats.org/officeDocument/2006/relationships/table" Target="../tables/table3.xml"/><Relationship Id="rId12" Type="http://schemas.openxmlformats.org/officeDocument/2006/relationships/table" Target="../tables/table12.xml"/><Relationship Id="rId17" Type="http://schemas.openxmlformats.org/officeDocument/2006/relationships/table" Target="../tables/table17.xml"/><Relationship Id="rId25" Type="http://schemas.openxmlformats.org/officeDocument/2006/relationships/table" Target="../tables/table25.xml"/><Relationship Id="rId33" Type="http://schemas.openxmlformats.org/officeDocument/2006/relationships/table" Target="../tables/table33.xml"/><Relationship Id="rId38" Type="http://schemas.openxmlformats.org/officeDocument/2006/relationships/table" Target="../tables/table38.xml"/><Relationship Id="rId46" Type="http://schemas.openxmlformats.org/officeDocument/2006/relationships/table" Target="../tables/table46.xml"/><Relationship Id="rId20" Type="http://schemas.openxmlformats.org/officeDocument/2006/relationships/table" Target="../tables/table20.xml"/><Relationship Id="rId41" Type="http://schemas.openxmlformats.org/officeDocument/2006/relationships/table" Target="../tables/table41.xml"/><Relationship Id="rId1" Type="http://schemas.openxmlformats.org/officeDocument/2006/relationships/table" Target="../tables/table1.xml"/><Relationship Id="rId6"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filterMode="1"/>
  <dimension ref="A1:AP999"/>
  <sheetViews>
    <sheetView tabSelected="1" topLeftCell="P1" zoomScaleNormal="100" workbookViewId="0">
      <pane ySplit="1" topLeftCell="A174" activePane="bottomLeft" state="frozen"/>
      <selection activeCell="T1" sqref="T1"/>
      <selection pane="bottomLeft" activeCell="R250" sqref="R250"/>
    </sheetView>
  </sheetViews>
  <sheetFormatPr defaultColWidth="40.453125" defaultRowHeight="32.25" customHeight="1"/>
  <cols>
    <col min="1" max="1" width="19.453125" style="19" customWidth="1"/>
    <col min="2" max="2" width="50.453125" style="19" customWidth="1"/>
    <col min="3" max="3" width="37.453125" style="19" customWidth="1"/>
    <col min="4" max="4" width="20" style="19" customWidth="1"/>
    <col min="5" max="5" width="17" style="19" customWidth="1"/>
    <col min="6" max="6" width="20.453125" style="19" customWidth="1"/>
    <col min="7" max="7" width="13.453125" style="19" customWidth="1"/>
    <col min="8" max="8" width="16.453125" style="19" customWidth="1"/>
    <col min="9" max="9" width="27.453125" style="20" customWidth="1"/>
    <col min="10" max="10" width="17.453125" style="20" customWidth="1"/>
    <col min="11" max="11" width="24.453125" style="34" customWidth="1"/>
    <col min="12" max="12" width="25.453125" style="20" customWidth="1"/>
    <col min="13" max="13" width="31.453125" style="34" customWidth="1"/>
    <col min="14" max="14" width="26.453125" style="22" customWidth="1"/>
    <col min="15" max="15" width="22.453125" style="19" customWidth="1"/>
    <col min="16" max="16" width="37.453125" style="19" customWidth="1"/>
    <col min="17" max="17" width="45" style="19" customWidth="1"/>
    <col min="18" max="18" width="28.453125" style="20" customWidth="1"/>
    <col min="19" max="19" width="22.453125" style="20" customWidth="1"/>
    <col min="20" max="20" width="21.453125" style="20" customWidth="1"/>
    <col min="21" max="21" width="28.453125" style="34" customWidth="1"/>
    <col min="22" max="22" width="28.453125" style="19" customWidth="1"/>
    <col min="23" max="23" width="16.453125" style="34" customWidth="1"/>
    <col min="24" max="24" width="27.453125" style="19" customWidth="1"/>
    <col min="25" max="25" width="16.453125" style="27" customWidth="1"/>
    <col min="26" max="26" width="24.453125" style="27" customWidth="1"/>
    <col min="27" max="27" width="22" style="27" customWidth="1"/>
    <col min="28" max="28" width="23.453125" style="27" customWidth="1"/>
    <col min="29" max="29" width="38.453125" style="27" customWidth="1"/>
    <col min="30" max="30" width="28.453125" style="27" customWidth="1"/>
    <col min="31" max="31" width="12.453125" style="36" customWidth="1"/>
    <col min="32" max="32" width="21.453125" style="19" customWidth="1"/>
    <col min="33" max="33" width="26.453125" style="19" customWidth="1"/>
    <col min="34" max="34" width="15.453125" style="19" customWidth="1"/>
    <col min="35" max="35" width="20" style="19" customWidth="1"/>
    <col min="36" max="36" width="40.453125" style="19" customWidth="1"/>
    <col min="37" max="39" width="40.453125" style="34" customWidth="1"/>
    <col min="40" max="40" width="40.453125" style="19" customWidth="1"/>
    <col min="41" max="41" width="40.453125" style="20" customWidth="1"/>
    <col min="42" max="42" width="40.453125" style="33" customWidth="1"/>
    <col min="43" max="43" width="40.453125" style="21" customWidth="1"/>
    <col min="44" max="16384" width="40.453125" style="21"/>
  </cols>
  <sheetData>
    <row r="1" spans="1:42" ht="32.25" customHeight="1">
      <c r="A1" s="25" t="s">
        <v>0</v>
      </c>
      <c r="B1" s="25" t="s">
        <v>1</v>
      </c>
      <c r="C1" s="25" t="s">
        <v>2</v>
      </c>
      <c r="D1" s="25" t="s">
        <v>3</v>
      </c>
      <c r="E1" s="25" t="s">
        <v>4</v>
      </c>
      <c r="F1" s="25" t="s">
        <v>5</v>
      </c>
      <c r="G1" s="25" t="s">
        <v>6</v>
      </c>
      <c r="H1" s="25" t="s">
        <v>7</v>
      </c>
      <c r="I1" s="25" t="s">
        <v>8</v>
      </c>
      <c r="J1" s="25" t="s">
        <v>9</v>
      </c>
      <c r="K1" s="25" t="s">
        <v>10</v>
      </c>
      <c r="L1" s="25" t="s">
        <v>11</v>
      </c>
      <c r="M1" s="25" t="s">
        <v>12</v>
      </c>
      <c r="N1" s="25" t="s">
        <v>13</v>
      </c>
      <c r="O1" s="25" t="s">
        <v>14</v>
      </c>
      <c r="P1" s="25" t="s">
        <v>15</v>
      </c>
      <c r="Q1" s="25" t="s">
        <v>16</v>
      </c>
      <c r="R1" s="25" t="s">
        <v>17</v>
      </c>
      <c r="S1" s="25" t="s">
        <v>18</v>
      </c>
      <c r="T1" s="25" t="s">
        <v>19</v>
      </c>
      <c r="U1" s="25" t="s">
        <v>20</v>
      </c>
      <c r="V1" s="25" t="s">
        <v>21</v>
      </c>
      <c r="W1" s="25" t="s">
        <v>22</v>
      </c>
      <c r="X1" s="25" t="s">
        <v>23</v>
      </c>
      <c r="Y1" s="25" t="s">
        <v>24</v>
      </c>
      <c r="Z1" s="25" t="s">
        <v>25</v>
      </c>
      <c r="AA1" s="25" t="s">
        <v>26</v>
      </c>
      <c r="AB1" s="25" t="s">
        <v>27</v>
      </c>
      <c r="AC1" s="25" t="s">
        <v>28</v>
      </c>
      <c r="AD1" s="25" t="s">
        <v>29</v>
      </c>
      <c r="AE1" s="25" t="s">
        <v>30</v>
      </c>
      <c r="AF1" s="25" t="s">
        <v>31</v>
      </c>
      <c r="AG1" s="25" t="s">
        <v>32</v>
      </c>
      <c r="AH1" s="25" t="s">
        <v>33</v>
      </c>
      <c r="AI1" s="25" t="s">
        <v>34</v>
      </c>
      <c r="AJ1" s="25" t="s">
        <v>35</v>
      </c>
      <c r="AK1" s="25" t="s">
        <v>36</v>
      </c>
      <c r="AL1" s="25" t="s">
        <v>37</v>
      </c>
      <c r="AM1" s="25" t="s">
        <v>38</v>
      </c>
      <c r="AN1" s="25" t="s">
        <v>39</v>
      </c>
      <c r="AO1" s="25" t="s">
        <v>40</v>
      </c>
      <c r="AP1" s="25" t="s">
        <v>41</v>
      </c>
    </row>
    <row r="2" spans="1:42" ht="25.5" hidden="1" customHeight="1">
      <c r="A2" s="19" t="s">
        <v>42</v>
      </c>
      <c r="B2" s="19" t="s">
        <v>43</v>
      </c>
      <c r="C2" s="19" t="s">
        <v>44</v>
      </c>
      <c r="D2" s="19" t="s">
        <v>45</v>
      </c>
      <c r="E2" s="19" t="s">
        <v>46</v>
      </c>
      <c r="F2" s="19" t="s">
        <v>47</v>
      </c>
      <c r="G2" s="19" t="s">
        <v>48</v>
      </c>
      <c r="H2" s="19" t="s">
        <v>49</v>
      </c>
      <c r="I2" s="20">
        <v>45748.451388888891</v>
      </c>
      <c r="K2" s="19"/>
      <c r="L2" s="20">
        <v>45748.490277777782</v>
      </c>
      <c r="M2" s="19"/>
      <c r="N2" s="22">
        <f t="shared" ref="N2:N65" si="0">L2-I2</f>
        <v>3.888888889196096E-2</v>
      </c>
      <c r="O2" s="19" t="s">
        <v>50</v>
      </c>
      <c r="P2" s="19" t="s">
        <v>51</v>
      </c>
      <c r="Q2" s="19" t="s">
        <v>52</v>
      </c>
      <c r="R2" s="19"/>
      <c r="S2" s="19"/>
      <c r="U2" s="19"/>
      <c r="W2" s="19"/>
      <c r="X2" s="19" t="s">
        <v>53</v>
      </c>
      <c r="Y2" s="27" t="s">
        <v>54</v>
      </c>
      <c r="Z2" s="27" t="s">
        <v>55</v>
      </c>
      <c r="AA2" s="27" t="s">
        <v>56</v>
      </c>
      <c r="AB2" s="27" t="s">
        <v>57</v>
      </c>
      <c r="AC2" s="37" t="s">
        <v>58</v>
      </c>
      <c r="AD2" s="38" t="s">
        <v>59</v>
      </c>
      <c r="AE2" s="36">
        <v>45748</v>
      </c>
      <c r="AF2" s="19" t="s">
        <v>60</v>
      </c>
      <c r="AG2" s="19" t="s">
        <v>61</v>
      </c>
      <c r="AH2" s="19" t="s">
        <v>62</v>
      </c>
      <c r="AI2" s="19" t="s">
        <v>63</v>
      </c>
      <c r="AJ2" s="19" t="s">
        <v>64</v>
      </c>
      <c r="AK2" s="19"/>
      <c r="AL2" s="19"/>
      <c r="AM2" s="19"/>
      <c r="AN2" s="19" t="s">
        <v>65</v>
      </c>
      <c r="AO2" s="23">
        <v>45748.42291666667</v>
      </c>
      <c r="AP2" s="26">
        <f t="shared" ref="AP2:AP65" si="1">((HOUR(N2)*60)+MINUTE(N2)+(SECOND(N2)/60))</f>
        <v>56</v>
      </c>
    </row>
    <row r="3" spans="1:42" ht="25.5" customHeight="1">
      <c r="A3" s="19" t="s">
        <v>42</v>
      </c>
      <c r="B3" s="19" t="s">
        <v>66</v>
      </c>
      <c r="C3" s="19" t="s">
        <v>67</v>
      </c>
      <c r="D3" s="19" t="s">
        <v>45</v>
      </c>
      <c r="E3" s="19" t="s">
        <v>46</v>
      </c>
      <c r="F3" s="19" t="s">
        <v>68</v>
      </c>
      <c r="G3" s="19" t="s">
        <v>48</v>
      </c>
      <c r="H3" s="19" t="s">
        <v>69</v>
      </c>
      <c r="I3" s="20">
        <v>45748.895833333343</v>
      </c>
      <c r="J3" s="20">
        <v>45748.90625</v>
      </c>
      <c r="K3" s="19">
        <v>45748.916666666657</v>
      </c>
      <c r="L3" s="20">
        <v>45748.929166666669</v>
      </c>
      <c r="M3" s="19"/>
      <c r="N3" s="22">
        <f t="shared" si="0"/>
        <v>3.3333333325572312E-2</v>
      </c>
      <c r="O3" s="19" t="s">
        <v>50</v>
      </c>
      <c r="P3" s="19" t="s">
        <v>70</v>
      </c>
      <c r="Q3" s="19" t="s">
        <v>71</v>
      </c>
      <c r="R3" s="19"/>
      <c r="S3" s="19"/>
      <c r="U3" s="19"/>
      <c r="W3" s="19"/>
      <c r="X3" s="19" t="s">
        <v>72</v>
      </c>
      <c r="Y3" s="27" t="s">
        <v>54</v>
      </c>
      <c r="Z3" s="27" t="s">
        <v>73</v>
      </c>
      <c r="AA3" s="27" t="s">
        <v>74</v>
      </c>
      <c r="AB3" s="27" t="s">
        <v>75</v>
      </c>
      <c r="AC3" s="37" t="s">
        <v>76</v>
      </c>
      <c r="AD3" s="38" t="s">
        <v>77</v>
      </c>
      <c r="AE3" s="36">
        <v>45748</v>
      </c>
      <c r="AF3" s="19" t="s">
        <v>78</v>
      </c>
      <c r="AG3" s="19" t="s">
        <v>78</v>
      </c>
      <c r="AH3" s="19" t="s">
        <v>78</v>
      </c>
      <c r="AI3" s="19" t="s">
        <v>63</v>
      </c>
      <c r="AJ3" s="19" t="s">
        <v>79</v>
      </c>
      <c r="AK3" s="19"/>
      <c r="AL3" s="19"/>
      <c r="AM3" s="19"/>
      <c r="AN3" s="19" t="s">
        <v>65</v>
      </c>
      <c r="AO3" s="23">
        <v>45748.919444444437</v>
      </c>
      <c r="AP3" s="26">
        <f t="shared" si="1"/>
        <v>48</v>
      </c>
    </row>
    <row r="4" spans="1:42" ht="40.5" hidden="1" customHeight="1">
      <c r="A4" s="19" t="s">
        <v>42</v>
      </c>
      <c r="C4" s="19" t="s">
        <v>80</v>
      </c>
      <c r="D4" s="19" t="s">
        <v>45</v>
      </c>
      <c r="E4" s="19" t="s">
        <v>46</v>
      </c>
      <c r="F4" s="19" t="s">
        <v>81</v>
      </c>
      <c r="G4" s="19" t="s">
        <v>48</v>
      </c>
      <c r="H4" s="19" t="s">
        <v>49</v>
      </c>
      <c r="I4" s="20">
        <v>45749.295138888891</v>
      </c>
      <c r="K4" s="19"/>
      <c r="L4" s="20">
        <v>45749.305555555547</v>
      </c>
      <c r="M4" s="19"/>
      <c r="N4" s="22">
        <f t="shared" si="0"/>
        <v>1.041666665696539E-2</v>
      </c>
      <c r="O4" s="19" t="s">
        <v>50</v>
      </c>
      <c r="P4" s="19" t="s">
        <v>82</v>
      </c>
      <c r="Q4" s="19" t="s">
        <v>83</v>
      </c>
      <c r="R4" s="19"/>
      <c r="S4" s="19"/>
      <c r="U4" s="19"/>
      <c r="W4" s="19"/>
      <c r="X4" s="19" t="s">
        <v>72</v>
      </c>
      <c r="Y4" s="27" t="s">
        <v>54</v>
      </c>
      <c r="Z4" s="27" t="s">
        <v>84</v>
      </c>
      <c r="AA4" s="27" t="s">
        <v>85</v>
      </c>
      <c r="AB4" s="27" t="s">
        <v>86</v>
      </c>
      <c r="AC4" s="37" t="s">
        <v>87</v>
      </c>
      <c r="AD4" s="38" t="s">
        <v>88</v>
      </c>
      <c r="AE4" s="36">
        <v>45748</v>
      </c>
      <c r="AF4" s="19" t="s">
        <v>89</v>
      </c>
      <c r="AG4" s="19" t="s">
        <v>90</v>
      </c>
      <c r="AH4" s="19" t="s">
        <v>62</v>
      </c>
      <c r="AI4" s="19" t="s">
        <v>63</v>
      </c>
      <c r="AJ4" s="19" t="s">
        <v>91</v>
      </c>
      <c r="AK4" s="19"/>
      <c r="AL4" s="19"/>
      <c r="AM4" s="19"/>
      <c r="AN4" s="19" t="s">
        <v>65</v>
      </c>
      <c r="AO4" s="23">
        <v>45749.384027777778</v>
      </c>
      <c r="AP4" s="26">
        <f t="shared" si="1"/>
        <v>15</v>
      </c>
    </row>
    <row r="5" spans="1:42" ht="25.5" hidden="1" customHeight="1">
      <c r="A5" s="19" t="s">
        <v>92</v>
      </c>
      <c r="B5" s="19" t="s">
        <v>93</v>
      </c>
      <c r="C5" s="19" t="s">
        <v>94</v>
      </c>
      <c r="D5" s="19" t="s">
        <v>45</v>
      </c>
      <c r="E5" s="19" t="s">
        <v>46</v>
      </c>
      <c r="F5" s="19" t="s">
        <v>95</v>
      </c>
      <c r="G5" s="19" t="s">
        <v>48</v>
      </c>
      <c r="H5" s="19" t="s">
        <v>49</v>
      </c>
      <c r="I5" s="20">
        <v>45749.400694444441</v>
      </c>
      <c r="K5" s="19"/>
      <c r="L5" s="20">
        <v>45749.431250000001</v>
      </c>
      <c r="M5" s="19"/>
      <c r="N5" s="22">
        <f t="shared" si="0"/>
        <v>3.0555555560567882E-2</v>
      </c>
      <c r="O5" s="19" t="s">
        <v>50</v>
      </c>
      <c r="P5" s="19" t="s">
        <v>96</v>
      </c>
      <c r="Q5" s="19" t="s">
        <v>97</v>
      </c>
      <c r="R5" s="19"/>
      <c r="S5" s="19"/>
      <c r="U5" s="19"/>
      <c r="W5" s="19"/>
      <c r="X5" s="19" t="s">
        <v>98</v>
      </c>
      <c r="Y5" s="27" t="s">
        <v>78</v>
      </c>
      <c r="Z5" s="27" t="s">
        <v>78</v>
      </c>
      <c r="AA5" s="27" t="s">
        <v>78</v>
      </c>
      <c r="AB5" s="27" t="s">
        <v>78</v>
      </c>
      <c r="AC5" s="37" t="s">
        <v>78</v>
      </c>
      <c r="AD5" s="38" t="s">
        <v>78</v>
      </c>
      <c r="AE5" s="36">
        <v>45748</v>
      </c>
      <c r="AF5" s="19" t="s">
        <v>99</v>
      </c>
      <c r="AG5" s="19" t="s">
        <v>100</v>
      </c>
      <c r="AH5" s="19" t="s">
        <v>62</v>
      </c>
      <c r="AI5" s="19" t="s">
        <v>63</v>
      </c>
      <c r="AJ5" s="19" t="s">
        <v>101</v>
      </c>
      <c r="AK5" s="19" t="s">
        <v>102</v>
      </c>
      <c r="AL5" s="19"/>
      <c r="AM5" s="19"/>
      <c r="AN5" s="19" t="s">
        <v>103</v>
      </c>
      <c r="AO5" s="23">
        <v>45749.39166666667</v>
      </c>
      <c r="AP5" s="26">
        <f t="shared" si="1"/>
        <v>44</v>
      </c>
    </row>
    <row r="6" spans="1:42" ht="25.5" hidden="1" customHeight="1">
      <c r="A6" s="19" t="s">
        <v>42</v>
      </c>
      <c r="B6" s="19" t="s">
        <v>104</v>
      </c>
      <c r="C6" s="19" t="s">
        <v>105</v>
      </c>
      <c r="D6" s="19" t="s">
        <v>45</v>
      </c>
      <c r="E6" s="19" t="s">
        <v>46</v>
      </c>
      <c r="F6" s="19" t="s">
        <v>106</v>
      </c>
      <c r="G6" s="19" t="s">
        <v>48</v>
      </c>
      <c r="H6" s="19" t="s">
        <v>49</v>
      </c>
      <c r="I6" s="20">
        <v>45749.463888888888</v>
      </c>
      <c r="K6" s="19"/>
      <c r="L6" s="20">
        <v>45749.582638888889</v>
      </c>
      <c r="M6" s="19"/>
      <c r="N6" s="22">
        <f t="shared" si="0"/>
        <v>0.11875000000145519</v>
      </c>
      <c r="O6" s="19" t="s">
        <v>50</v>
      </c>
      <c r="P6" s="19" t="s">
        <v>107</v>
      </c>
      <c r="Q6" s="19" t="s">
        <v>108</v>
      </c>
      <c r="R6" s="19"/>
      <c r="S6" s="19"/>
      <c r="U6" s="19"/>
      <c r="W6" s="19"/>
      <c r="X6" s="19" t="s">
        <v>109</v>
      </c>
      <c r="Y6" s="27" t="s">
        <v>54</v>
      </c>
      <c r="Z6" s="27" t="s">
        <v>110</v>
      </c>
      <c r="AA6" s="27" t="s">
        <v>111</v>
      </c>
      <c r="AB6" s="27" t="s">
        <v>112</v>
      </c>
      <c r="AC6" s="37" t="s">
        <v>113</v>
      </c>
      <c r="AD6" s="38" t="s">
        <v>114</v>
      </c>
      <c r="AE6" s="36">
        <v>45748</v>
      </c>
      <c r="AF6" s="19" t="s">
        <v>60</v>
      </c>
      <c r="AG6" s="19" t="s">
        <v>61</v>
      </c>
      <c r="AH6" s="19" t="s">
        <v>78</v>
      </c>
      <c r="AI6" s="19" t="s">
        <v>63</v>
      </c>
      <c r="AJ6" s="19" t="s">
        <v>115</v>
      </c>
      <c r="AK6" s="19"/>
      <c r="AL6" s="19"/>
      <c r="AM6" s="19"/>
      <c r="AN6" s="19" t="s">
        <v>103</v>
      </c>
      <c r="AO6" s="23">
        <v>45749.463888888888</v>
      </c>
      <c r="AP6" s="26">
        <f t="shared" si="1"/>
        <v>171</v>
      </c>
    </row>
    <row r="7" spans="1:42" ht="25.5" hidden="1" customHeight="1">
      <c r="A7" s="19" t="s">
        <v>116</v>
      </c>
      <c r="B7" s="19" t="s">
        <v>117</v>
      </c>
      <c r="C7" s="19" t="s">
        <v>118</v>
      </c>
      <c r="D7" s="19" t="s">
        <v>45</v>
      </c>
      <c r="E7" s="19" t="s">
        <v>46</v>
      </c>
      <c r="F7" s="19" t="s">
        <v>119</v>
      </c>
      <c r="G7" s="19" t="s">
        <v>48</v>
      </c>
      <c r="H7" s="19" t="s">
        <v>49</v>
      </c>
      <c r="I7" s="20">
        <v>45749.805555555547</v>
      </c>
      <c r="K7" s="19"/>
      <c r="L7" s="20">
        <v>45749.850694444453</v>
      </c>
      <c r="M7" s="19"/>
      <c r="N7" s="22">
        <f t="shared" si="0"/>
        <v>4.5138888905057684E-2</v>
      </c>
      <c r="O7" s="19" t="s">
        <v>63</v>
      </c>
      <c r="P7" s="19" t="s">
        <v>120</v>
      </c>
      <c r="Q7" s="19" t="s">
        <v>121</v>
      </c>
      <c r="R7" s="19"/>
      <c r="S7" s="19"/>
      <c r="U7" s="19"/>
      <c r="W7" s="19"/>
      <c r="X7" s="19" t="s">
        <v>122</v>
      </c>
      <c r="Y7" s="27" t="s">
        <v>54</v>
      </c>
      <c r="Z7" s="27" t="s">
        <v>123</v>
      </c>
      <c r="AA7" s="27" t="s">
        <v>124</v>
      </c>
      <c r="AB7" s="27" t="s">
        <v>125</v>
      </c>
      <c r="AC7" s="37">
        <v>45749.794444444437</v>
      </c>
      <c r="AD7" s="38">
        <v>45749.817361111112</v>
      </c>
      <c r="AE7" s="36">
        <v>45748</v>
      </c>
      <c r="AF7" s="19" t="s">
        <v>89</v>
      </c>
      <c r="AG7" s="19" t="s">
        <v>126</v>
      </c>
      <c r="AH7" s="19" t="s">
        <v>62</v>
      </c>
      <c r="AI7" s="19" t="s">
        <v>63</v>
      </c>
      <c r="AJ7" s="19" t="s">
        <v>127</v>
      </c>
      <c r="AK7" s="19"/>
      <c r="AL7" s="19"/>
      <c r="AM7" s="19"/>
      <c r="AN7" s="19" t="s">
        <v>128</v>
      </c>
      <c r="AO7" s="23">
        <v>45749.805555555547</v>
      </c>
      <c r="AP7" s="26">
        <f t="shared" si="1"/>
        <v>65</v>
      </c>
    </row>
    <row r="8" spans="1:42" ht="25.5" hidden="1" customHeight="1">
      <c r="A8" s="19" t="s">
        <v>42</v>
      </c>
      <c r="B8" s="19" t="s">
        <v>43</v>
      </c>
      <c r="C8" s="19" t="s">
        <v>129</v>
      </c>
      <c r="D8" s="19" t="s">
        <v>45</v>
      </c>
      <c r="E8" s="19" t="s">
        <v>46</v>
      </c>
      <c r="F8" s="19" t="s">
        <v>130</v>
      </c>
      <c r="G8" s="19" t="s">
        <v>48</v>
      </c>
      <c r="H8" s="19" t="s">
        <v>49</v>
      </c>
      <c r="I8" s="20">
        <v>45750.440972222219</v>
      </c>
      <c r="K8" s="19"/>
      <c r="L8" s="20">
        <v>45750.523611111108</v>
      </c>
      <c r="M8" s="19"/>
      <c r="N8" s="22">
        <f t="shared" si="0"/>
        <v>8.2638888889050577E-2</v>
      </c>
      <c r="O8" s="19" t="s">
        <v>50</v>
      </c>
      <c r="P8" s="19" t="s">
        <v>131</v>
      </c>
      <c r="Q8" s="19" t="s">
        <v>132</v>
      </c>
      <c r="R8" s="19"/>
      <c r="S8" s="19"/>
      <c r="U8" s="19"/>
      <c r="W8" s="19"/>
      <c r="X8" s="19" t="s">
        <v>109</v>
      </c>
      <c r="Y8" s="27" t="s">
        <v>133</v>
      </c>
      <c r="Z8" s="27" t="s">
        <v>134</v>
      </c>
      <c r="AA8" s="27" t="s">
        <v>135</v>
      </c>
      <c r="AB8" s="27" t="s">
        <v>136</v>
      </c>
      <c r="AC8" s="37" t="s">
        <v>137</v>
      </c>
      <c r="AD8" s="38" t="s">
        <v>138</v>
      </c>
      <c r="AE8" s="36">
        <v>45748</v>
      </c>
      <c r="AF8" s="19" t="s">
        <v>99</v>
      </c>
      <c r="AG8" s="19" t="s">
        <v>139</v>
      </c>
      <c r="AH8" s="19" t="s">
        <v>62</v>
      </c>
      <c r="AI8" s="19" t="s">
        <v>63</v>
      </c>
      <c r="AJ8" s="19" t="s">
        <v>140</v>
      </c>
      <c r="AK8" s="19" t="s">
        <v>141</v>
      </c>
      <c r="AL8" s="19"/>
      <c r="AM8" s="19"/>
      <c r="AN8" s="19" t="s">
        <v>128</v>
      </c>
      <c r="AO8" s="23">
        <v>45750.440972222219</v>
      </c>
      <c r="AP8" s="26">
        <f t="shared" si="1"/>
        <v>119</v>
      </c>
    </row>
    <row r="9" spans="1:42" ht="25.5" customHeight="1">
      <c r="A9" s="19" t="s">
        <v>42</v>
      </c>
      <c r="B9" s="19" t="s">
        <v>66</v>
      </c>
      <c r="C9" s="19" t="s">
        <v>142</v>
      </c>
      <c r="D9" s="19" t="s">
        <v>45</v>
      </c>
      <c r="E9" s="19" t="s">
        <v>46</v>
      </c>
      <c r="F9" s="19" t="s">
        <v>143</v>
      </c>
      <c r="G9" s="19" t="s">
        <v>48</v>
      </c>
      <c r="H9" s="19" t="s">
        <v>144</v>
      </c>
      <c r="I9" s="20">
        <v>45750.769444444442</v>
      </c>
      <c r="J9" s="20">
        <v>45750.776388888888</v>
      </c>
      <c r="K9" s="19"/>
      <c r="L9" s="20">
        <v>45750.813888888893</v>
      </c>
      <c r="M9" s="19"/>
      <c r="N9" s="22">
        <f t="shared" si="0"/>
        <v>4.444444445107365E-2</v>
      </c>
      <c r="O9" s="19" t="s">
        <v>50</v>
      </c>
      <c r="P9" s="19" t="s">
        <v>145</v>
      </c>
      <c r="Q9" s="19" t="s">
        <v>146</v>
      </c>
      <c r="R9" s="19"/>
      <c r="S9" s="19"/>
      <c r="U9" s="19"/>
      <c r="W9" s="19"/>
      <c r="X9" s="19" t="s">
        <v>72</v>
      </c>
      <c r="Y9" s="27" t="s">
        <v>147</v>
      </c>
      <c r="Z9" s="27" t="s">
        <v>78</v>
      </c>
      <c r="AA9" s="27" t="s">
        <v>78</v>
      </c>
      <c r="AB9" s="27" t="s">
        <v>78</v>
      </c>
      <c r="AC9" s="37" t="s">
        <v>78</v>
      </c>
      <c r="AD9" s="38" t="s">
        <v>78</v>
      </c>
      <c r="AE9" s="36">
        <v>45748</v>
      </c>
      <c r="AF9" s="19" t="s">
        <v>89</v>
      </c>
      <c r="AG9" s="19" t="s">
        <v>90</v>
      </c>
      <c r="AH9" s="19" t="s">
        <v>62</v>
      </c>
      <c r="AI9" s="19" t="s">
        <v>63</v>
      </c>
      <c r="AJ9" s="19" t="s">
        <v>148</v>
      </c>
      <c r="AK9" s="19"/>
      <c r="AL9" s="19"/>
      <c r="AM9" s="19"/>
      <c r="AN9" s="19" t="s">
        <v>65</v>
      </c>
      <c r="AO9" s="23">
        <v>45750.883333333331</v>
      </c>
      <c r="AP9" s="26">
        <f t="shared" si="1"/>
        <v>64</v>
      </c>
    </row>
    <row r="10" spans="1:42" ht="25.5" customHeight="1">
      <c r="A10" s="19" t="s">
        <v>42</v>
      </c>
      <c r="B10" s="19" t="s">
        <v>149</v>
      </c>
      <c r="C10" s="19" t="s">
        <v>150</v>
      </c>
      <c r="D10" s="19" t="s">
        <v>45</v>
      </c>
      <c r="E10" s="19" t="s">
        <v>46</v>
      </c>
      <c r="F10" s="19" t="s">
        <v>151</v>
      </c>
      <c r="G10" s="19" t="s">
        <v>48</v>
      </c>
      <c r="H10" s="19" t="s">
        <v>152</v>
      </c>
      <c r="I10" s="20">
        <v>45750.774305555547</v>
      </c>
      <c r="K10" s="19"/>
      <c r="L10" s="20">
        <v>45750.805555555547</v>
      </c>
      <c r="M10" s="19"/>
      <c r="N10" s="22">
        <f t="shared" si="0"/>
        <v>3.125E-2</v>
      </c>
      <c r="O10" s="19" t="s">
        <v>50</v>
      </c>
      <c r="P10" s="19" t="s">
        <v>153</v>
      </c>
      <c r="Q10" s="19" t="s">
        <v>154</v>
      </c>
      <c r="R10" s="19" t="s">
        <v>155</v>
      </c>
      <c r="S10" s="19" t="s">
        <v>156</v>
      </c>
      <c r="T10" s="20">
        <v>45750.893055555563</v>
      </c>
      <c r="U10" s="19">
        <v>45756.719444444447</v>
      </c>
      <c r="V10" s="19" t="s">
        <v>157</v>
      </c>
      <c r="W10" s="19"/>
      <c r="X10" s="19" t="s">
        <v>158</v>
      </c>
      <c r="Y10" s="27" t="s">
        <v>54</v>
      </c>
      <c r="Z10" s="27" t="s">
        <v>159</v>
      </c>
      <c r="AA10" s="27" t="s">
        <v>160</v>
      </c>
      <c r="AB10" s="27" t="s">
        <v>161</v>
      </c>
      <c r="AC10" s="37" t="s">
        <v>162</v>
      </c>
      <c r="AD10" s="38" t="s">
        <v>163</v>
      </c>
      <c r="AE10" s="36">
        <v>45748</v>
      </c>
      <c r="AF10" s="19" t="s">
        <v>60</v>
      </c>
      <c r="AG10" s="19" t="s">
        <v>90</v>
      </c>
      <c r="AH10" s="19" t="s">
        <v>164</v>
      </c>
      <c r="AI10" s="19" t="s">
        <v>63</v>
      </c>
      <c r="AJ10" s="19" t="s">
        <v>165</v>
      </c>
      <c r="AK10" s="19"/>
      <c r="AL10" s="19"/>
      <c r="AM10" s="19"/>
      <c r="AN10" s="19" t="s">
        <v>166</v>
      </c>
      <c r="AO10" s="23">
        <v>45750.775000000001</v>
      </c>
      <c r="AP10" s="26">
        <f t="shared" si="1"/>
        <v>45</v>
      </c>
    </row>
    <row r="11" spans="1:42" ht="25.5" customHeight="1">
      <c r="A11" s="19" t="s">
        <v>116</v>
      </c>
      <c r="B11" s="19" t="s">
        <v>167</v>
      </c>
      <c r="C11" s="19" t="s">
        <v>168</v>
      </c>
      <c r="D11" s="19" t="s">
        <v>45</v>
      </c>
      <c r="E11" s="19" t="s">
        <v>46</v>
      </c>
      <c r="F11" s="19" t="s">
        <v>169</v>
      </c>
      <c r="G11" s="19" t="s">
        <v>48</v>
      </c>
      <c r="H11" s="19" t="s">
        <v>152</v>
      </c>
      <c r="I11" s="20">
        <v>45751.395138888889</v>
      </c>
      <c r="J11" s="20">
        <v>45751.46597222222</v>
      </c>
      <c r="K11" s="19"/>
      <c r="L11" s="20">
        <v>45751.548611111109</v>
      </c>
      <c r="M11" s="19"/>
      <c r="N11" s="22">
        <f t="shared" si="0"/>
        <v>0.15347222222044365</v>
      </c>
      <c r="O11" s="19" t="s">
        <v>50</v>
      </c>
      <c r="P11" s="19" t="s">
        <v>170</v>
      </c>
      <c r="Q11" s="19" t="s">
        <v>171</v>
      </c>
      <c r="R11" s="19" t="s">
        <v>172</v>
      </c>
      <c r="S11" s="19" t="s">
        <v>173</v>
      </c>
      <c r="T11" s="20">
        <v>45751.782638888893</v>
      </c>
      <c r="U11" s="19">
        <v>45756.586111111108</v>
      </c>
      <c r="V11" s="19" t="s">
        <v>157</v>
      </c>
      <c r="W11" s="19"/>
      <c r="X11" s="19" t="s">
        <v>122</v>
      </c>
      <c r="Y11" s="27" t="s">
        <v>54</v>
      </c>
      <c r="Z11" s="27" t="s">
        <v>174</v>
      </c>
      <c r="AA11" s="27" t="s">
        <v>175</v>
      </c>
      <c r="AB11" s="27" t="s">
        <v>176</v>
      </c>
      <c r="AC11" s="37" t="s">
        <v>177</v>
      </c>
      <c r="AD11" s="38" t="s">
        <v>178</v>
      </c>
      <c r="AE11" s="36">
        <v>45748</v>
      </c>
      <c r="AF11" s="19" t="s">
        <v>89</v>
      </c>
      <c r="AG11" s="19" t="s">
        <v>90</v>
      </c>
      <c r="AH11" s="19" t="s">
        <v>62</v>
      </c>
      <c r="AI11" s="19" t="s">
        <v>63</v>
      </c>
      <c r="AJ11" s="19" t="s">
        <v>179</v>
      </c>
      <c r="AK11" s="19" t="s">
        <v>180</v>
      </c>
      <c r="AL11" s="19"/>
      <c r="AM11" s="19"/>
      <c r="AN11" s="19" t="s">
        <v>65</v>
      </c>
      <c r="AO11" s="23">
        <v>45751.395138888889</v>
      </c>
      <c r="AP11" s="26">
        <f t="shared" si="1"/>
        <v>221</v>
      </c>
    </row>
    <row r="12" spans="1:42" ht="25.5" customHeight="1">
      <c r="A12" s="19" t="s">
        <v>42</v>
      </c>
      <c r="C12" s="19" t="s">
        <v>181</v>
      </c>
      <c r="D12" s="19" t="s">
        <v>45</v>
      </c>
      <c r="E12" s="19" t="s">
        <v>46</v>
      </c>
      <c r="F12" s="19" t="s">
        <v>182</v>
      </c>
      <c r="G12" s="19" t="s">
        <v>48</v>
      </c>
      <c r="H12" s="19" t="s">
        <v>144</v>
      </c>
      <c r="I12" s="20">
        <v>45751.561111111107</v>
      </c>
      <c r="J12" s="20">
        <v>45751.568055555559</v>
      </c>
      <c r="K12" s="19">
        <v>45751.568055555559</v>
      </c>
      <c r="L12" s="20">
        <v>45751.584722222222</v>
      </c>
      <c r="M12" s="19"/>
      <c r="N12" s="22">
        <f t="shared" si="0"/>
        <v>2.3611111115314998E-2</v>
      </c>
      <c r="O12" s="19" t="s">
        <v>50</v>
      </c>
      <c r="P12" s="19" t="s">
        <v>183</v>
      </c>
      <c r="Q12" s="19" t="s">
        <v>184</v>
      </c>
      <c r="R12" s="19"/>
      <c r="S12" s="19"/>
      <c r="U12" s="19"/>
      <c r="W12" s="19"/>
      <c r="X12" s="19" t="s">
        <v>72</v>
      </c>
      <c r="Y12" s="27" t="s">
        <v>147</v>
      </c>
      <c r="Z12" s="27" t="s">
        <v>147</v>
      </c>
      <c r="AA12" s="27" t="s">
        <v>147</v>
      </c>
      <c r="AB12" s="27" t="s">
        <v>78</v>
      </c>
      <c r="AC12" s="37" t="s">
        <v>78</v>
      </c>
      <c r="AD12" s="38" t="s">
        <v>78</v>
      </c>
      <c r="AE12" s="36">
        <v>45748</v>
      </c>
      <c r="AF12" s="19" t="s">
        <v>89</v>
      </c>
      <c r="AG12" s="19" t="s">
        <v>90</v>
      </c>
      <c r="AH12" s="19" t="s">
        <v>62</v>
      </c>
      <c r="AI12" s="19" t="s">
        <v>63</v>
      </c>
      <c r="AJ12" s="19" t="s">
        <v>185</v>
      </c>
      <c r="AK12" s="19"/>
      <c r="AL12" s="19"/>
      <c r="AM12" s="19"/>
      <c r="AN12" s="19" t="s">
        <v>65</v>
      </c>
      <c r="AO12" s="23">
        <v>45751.580555555563</v>
      </c>
      <c r="AP12" s="26">
        <f t="shared" si="1"/>
        <v>34</v>
      </c>
    </row>
    <row r="13" spans="1:42" ht="25.5" hidden="1" customHeight="1">
      <c r="A13" s="19" t="s">
        <v>42</v>
      </c>
      <c r="B13" s="19" t="s">
        <v>186</v>
      </c>
      <c r="C13" s="19" t="s">
        <v>187</v>
      </c>
      <c r="D13" s="19" t="s">
        <v>45</v>
      </c>
      <c r="E13" s="19" t="s">
        <v>46</v>
      </c>
      <c r="F13" s="19" t="s">
        <v>188</v>
      </c>
      <c r="G13" s="19" t="s">
        <v>48</v>
      </c>
      <c r="H13" s="19" t="s">
        <v>49</v>
      </c>
      <c r="I13" s="20">
        <v>45751.665277777778</v>
      </c>
      <c r="K13" s="19"/>
      <c r="L13" s="20">
        <v>45752.041666666657</v>
      </c>
      <c r="M13" s="19"/>
      <c r="N13" s="22">
        <f t="shared" si="0"/>
        <v>0.37638888887886424</v>
      </c>
      <c r="O13" s="19" t="s">
        <v>63</v>
      </c>
      <c r="P13" s="19" t="s">
        <v>189</v>
      </c>
      <c r="Q13" s="19" t="s">
        <v>190</v>
      </c>
      <c r="R13" s="19"/>
      <c r="S13" s="19"/>
      <c r="U13" s="19"/>
      <c r="W13" s="19"/>
      <c r="X13" s="19" t="s">
        <v>191</v>
      </c>
      <c r="Y13" s="27" t="s">
        <v>147</v>
      </c>
      <c r="Z13" s="27" t="s">
        <v>78</v>
      </c>
      <c r="AA13" s="27" t="s">
        <v>78</v>
      </c>
      <c r="AB13" s="27" t="s">
        <v>78</v>
      </c>
      <c r="AC13" s="37" t="s">
        <v>78</v>
      </c>
      <c r="AD13" s="38" t="s">
        <v>78</v>
      </c>
      <c r="AE13" s="36">
        <v>45748</v>
      </c>
      <c r="AF13" s="19" t="s">
        <v>78</v>
      </c>
      <c r="AG13" s="19" t="s">
        <v>78</v>
      </c>
      <c r="AH13" s="19" t="s">
        <v>78</v>
      </c>
      <c r="AI13" s="19" t="s">
        <v>63</v>
      </c>
      <c r="AJ13" s="19" t="s">
        <v>192</v>
      </c>
      <c r="AK13" s="19"/>
      <c r="AL13" s="19"/>
      <c r="AM13" s="19"/>
      <c r="AN13" s="19" t="s">
        <v>65</v>
      </c>
      <c r="AO13" s="23">
        <v>45751.665277777778</v>
      </c>
      <c r="AP13" s="26">
        <f t="shared" si="1"/>
        <v>542</v>
      </c>
    </row>
    <row r="14" spans="1:42" ht="25.5" hidden="1" customHeight="1">
      <c r="A14" s="19" t="s">
        <v>42</v>
      </c>
      <c r="B14" s="19" t="s">
        <v>43</v>
      </c>
      <c r="C14" s="19" t="s">
        <v>129</v>
      </c>
      <c r="D14" s="19" t="s">
        <v>45</v>
      </c>
      <c r="E14" s="19" t="s">
        <v>46</v>
      </c>
      <c r="F14" s="19" t="s">
        <v>193</v>
      </c>
      <c r="G14" s="19" t="s">
        <v>48</v>
      </c>
      <c r="H14" s="19" t="s">
        <v>49</v>
      </c>
      <c r="I14" s="20">
        <v>45751.746527777781</v>
      </c>
      <c r="K14" s="19"/>
      <c r="L14" s="20">
        <v>45751.756944444453</v>
      </c>
      <c r="M14" s="19"/>
      <c r="N14" s="22">
        <f t="shared" si="0"/>
        <v>1.0416666671517305E-2</v>
      </c>
      <c r="O14" s="19" t="s">
        <v>50</v>
      </c>
      <c r="P14" s="19" t="s">
        <v>194</v>
      </c>
      <c r="Q14" s="19" t="s">
        <v>195</v>
      </c>
      <c r="R14" s="19"/>
      <c r="S14" s="19"/>
      <c r="U14" s="19"/>
      <c r="W14" s="19"/>
      <c r="X14" s="19" t="s">
        <v>109</v>
      </c>
      <c r="Y14" s="27" t="s">
        <v>133</v>
      </c>
      <c r="Z14" s="27" t="s">
        <v>196</v>
      </c>
      <c r="AA14" s="27" t="s">
        <v>197</v>
      </c>
      <c r="AB14" s="27" t="s">
        <v>198</v>
      </c>
      <c r="AC14" s="37" t="s">
        <v>199</v>
      </c>
      <c r="AD14" s="38" t="s">
        <v>200</v>
      </c>
      <c r="AE14" s="36">
        <v>45748</v>
      </c>
      <c r="AF14" s="19" t="s">
        <v>89</v>
      </c>
      <c r="AG14" s="19" t="s">
        <v>90</v>
      </c>
      <c r="AH14" s="19" t="s">
        <v>62</v>
      </c>
      <c r="AI14" s="19" t="s">
        <v>63</v>
      </c>
      <c r="AJ14" s="19" t="s">
        <v>201</v>
      </c>
      <c r="AK14" s="19"/>
      <c r="AL14" s="19"/>
      <c r="AM14" s="19"/>
      <c r="AN14" s="19" t="s">
        <v>166</v>
      </c>
      <c r="AO14" s="23">
        <v>45751.746527777781</v>
      </c>
      <c r="AP14" s="26">
        <f t="shared" si="1"/>
        <v>15</v>
      </c>
    </row>
    <row r="15" spans="1:42" ht="25.5" hidden="1" customHeight="1">
      <c r="A15" s="19" t="s">
        <v>42</v>
      </c>
      <c r="B15" s="19" t="s">
        <v>202</v>
      </c>
      <c r="C15" s="19" t="s">
        <v>203</v>
      </c>
      <c r="D15" s="19" t="s">
        <v>45</v>
      </c>
      <c r="E15" s="19" t="s">
        <v>204</v>
      </c>
      <c r="F15" s="19" t="s">
        <v>205</v>
      </c>
      <c r="G15" s="19" t="s">
        <v>48</v>
      </c>
      <c r="H15" s="19" t="s">
        <v>49</v>
      </c>
      <c r="I15" s="20">
        <v>45751.956944444442</v>
      </c>
      <c r="K15" s="19"/>
      <c r="L15" s="20">
        <v>45752.027777777781</v>
      </c>
      <c r="M15" s="19"/>
      <c r="N15" s="22">
        <f t="shared" si="0"/>
        <v>7.0833333338669036E-2</v>
      </c>
      <c r="O15" s="19" t="s">
        <v>50</v>
      </c>
      <c r="P15" s="19" t="s">
        <v>206</v>
      </c>
      <c r="Q15" s="19" t="s">
        <v>207</v>
      </c>
      <c r="R15" s="19"/>
      <c r="S15" s="19"/>
      <c r="U15" s="19"/>
      <c r="W15" s="19"/>
      <c r="X15" s="19" t="s">
        <v>208</v>
      </c>
      <c r="Y15" s="27" t="s">
        <v>54</v>
      </c>
      <c r="Z15" s="27" t="s">
        <v>209</v>
      </c>
      <c r="AA15" s="27" t="s">
        <v>210</v>
      </c>
      <c r="AB15" s="27" t="s">
        <v>211</v>
      </c>
      <c r="AC15" s="37">
        <v>45751.958460648151</v>
      </c>
      <c r="AD15" s="38">
        <v>45751.972349537027</v>
      </c>
      <c r="AE15" s="36">
        <v>45748</v>
      </c>
      <c r="AF15" s="19" t="s">
        <v>89</v>
      </c>
      <c r="AG15" s="19" t="s">
        <v>90</v>
      </c>
      <c r="AH15" s="19" t="s">
        <v>62</v>
      </c>
      <c r="AI15" s="19" t="s">
        <v>63</v>
      </c>
      <c r="AJ15" s="19" t="s">
        <v>212</v>
      </c>
      <c r="AK15" s="19"/>
      <c r="AL15" s="19"/>
      <c r="AM15" s="19"/>
      <c r="AN15" s="19" t="s">
        <v>103</v>
      </c>
      <c r="AO15" s="23">
        <v>45751.956944444442</v>
      </c>
      <c r="AP15" s="26">
        <f t="shared" si="1"/>
        <v>102</v>
      </c>
    </row>
    <row r="16" spans="1:42" ht="25.5" hidden="1" customHeight="1">
      <c r="A16" s="19" t="s">
        <v>42</v>
      </c>
      <c r="B16" s="19" t="s">
        <v>213</v>
      </c>
      <c r="C16" s="19" t="s">
        <v>214</v>
      </c>
      <c r="D16" s="19" t="s">
        <v>45</v>
      </c>
      <c r="E16" s="19" t="s">
        <v>46</v>
      </c>
      <c r="F16" s="19" t="s">
        <v>215</v>
      </c>
      <c r="G16" s="19" t="s">
        <v>48</v>
      </c>
      <c r="H16" s="19" t="s">
        <v>49</v>
      </c>
      <c r="I16" s="20">
        <v>45752.473611111112</v>
      </c>
      <c r="K16" s="19"/>
      <c r="L16" s="20">
        <v>45752.481249999997</v>
      </c>
      <c r="M16" s="19"/>
      <c r="N16" s="22">
        <f t="shared" si="0"/>
        <v>7.6388888846850023E-3</v>
      </c>
      <c r="O16" s="19" t="s">
        <v>50</v>
      </c>
      <c r="P16" s="19" t="s">
        <v>216</v>
      </c>
      <c r="Q16" s="19" t="s">
        <v>217</v>
      </c>
      <c r="R16" s="19"/>
      <c r="S16" s="19"/>
      <c r="U16" s="19"/>
      <c r="W16" s="19"/>
      <c r="X16" s="19" t="s">
        <v>218</v>
      </c>
      <c r="Y16" s="27" t="s">
        <v>133</v>
      </c>
      <c r="Z16" s="27" t="s">
        <v>219</v>
      </c>
      <c r="AA16" s="27" t="s">
        <v>220</v>
      </c>
      <c r="AB16" s="27" t="s">
        <v>221</v>
      </c>
      <c r="AC16" s="37" t="s">
        <v>222</v>
      </c>
      <c r="AD16" s="38" t="s">
        <v>223</v>
      </c>
      <c r="AE16" s="36">
        <v>45748</v>
      </c>
      <c r="AF16" s="19" t="s">
        <v>89</v>
      </c>
      <c r="AG16" s="19" t="s">
        <v>90</v>
      </c>
      <c r="AH16" s="19" t="s">
        <v>62</v>
      </c>
      <c r="AI16" s="19" t="s">
        <v>63</v>
      </c>
      <c r="AJ16" s="19" t="s">
        <v>224</v>
      </c>
      <c r="AK16" s="19"/>
      <c r="AL16" s="19"/>
      <c r="AM16" s="19"/>
      <c r="AN16" s="19" t="s">
        <v>65</v>
      </c>
      <c r="AO16" s="23">
        <v>45752.473611111112</v>
      </c>
      <c r="AP16" s="26">
        <f t="shared" si="1"/>
        <v>11</v>
      </c>
    </row>
    <row r="17" spans="1:42" ht="25.5" hidden="1" customHeight="1">
      <c r="A17" s="19" t="s">
        <v>42</v>
      </c>
      <c r="B17" s="19" t="s">
        <v>186</v>
      </c>
      <c r="C17" s="19" t="s">
        <v>187</v>
      </c>
      <c r="D17" s="19" t="s">
        <v>45</v>
      </c>
      <c r="E17" s="19" t="s">
        <v>225</v>
      </c>
      <c r="F17" s="19" t="s">
        <v>188</v>
      </c>
      <c r="G17" s="19" t="s">
        <v>226</v>
      </c>
      <c r="H17" s="19" t="s">
        <v>49</v>
      </c>
      <c r="I17" s="20">
        <v>45752.540972222218</v>
      </c>
      <c r="K17" s="19"/>
      <c r="L17" s="20">
        <v>45752.862500000003</v>
      </c>
      <c r="M17" s="19"/>
      <c r="N17" s="22">
        <f t="shared" si="0"/>
        <v>0.32152777778537711</v>
      </c>
      <c r="O17" s="19" t="s">
        <v>50</v>
      </c>
      <c r="P17" s="19" t="s">
        <v>227</v>
      </c>
      <c r="Q17" s="19" t="s">
        <v>228</v>
      </c>
      <c r="R17" s="19"/>
      <c r="S17" s="19"/>
      <c r="U17" s="19"/>
      <c r="W17" s="19"/>
      <c r="X17" s="19" t="s">
        <v>191</v>
      </c>
      <c r="Y17" s="27" t="s">
        <v>147</v>
      </c>
      <c r="Z17" s="27" t="s">
        <v>78</v>
      </c>
      <c r="AA17" s="27" t="s">
        <v>78</v>
      </c>
      <c r="AB17" s="27" t="s">
        <v>78</v>
      </c>
      <c r="AC17" s="37" t="s">
        <v>78</v>
      </c>
      <c r="AD17" s="38" t="s">
        <v>229</v>
      </c>
      <c r="AE17" s="36">
        <v>45748</v>
      </c>
      <c r="AF17" s="19" t="s">
        <v>78</v>
      </c>
      <c r="AG17" s="19" t="s">
        <v>78</v>
      </c>
      <c r="AH17" s="19" t="s">
        <v>78</v>
      </c>
      <c r="AI17" s="19" t="s">
        <v>50</v>
      </c>
      <c r="AJ17" s="19" t="s">
        <v>230</v>
      </c>
      <c r="AK17" s="19"/>
      <c r="AL17" s="19"/>
      <c r="AM17" s="19"/>
      <c r="AN17" s="19" t="s">
        <v>65</v>
      </c>
      <c r="AO17" s="23">
        <v>45752.540972222218</v>
      </c>
      <c r="AP17" s="26">
        <f t="shared" si="1"/>
        <v>463</v>
      </c>
    </row>
    <row r="18" spans="1:42" ht="25.5" hidden="1" customHeight="1">
      <c r="A18" s="19" t="s">
        <v>92</v>
      </c>
      <c r="B18" s="19" t="s">
        <v>231</v>
      </c>
      <c r="C18" s="19" t="s">
        <v>232</v>
      </c>
      <c r="D18" s="19" t="s">
        <v>45</v>
      </c>
      <c r="E18" s="19" t="s">
        <v>46</v>
      </c>
      <c r="F18" s="19" t="s">
        <v>233</v>
      </c>
      <c r="G18" s="19" t="s">
        <v>48</v>
      </c>
      <c r="H18" s="19" t="s">
        <v>49</v>
      </c>
      <c r="I18" s="20">
        <v>45752.548611111109</v>
      </c>
      <c r="K18" s="19"/>
      <c r="L18" s="20">
        <v>45752.576388888891</v>
      </c>
      <c r="M18" s="19"/>
      <c r="N18" s="22">
        <f t="shared" si="0"/>
        <v>2.7777777781011537E-2</v>
      </c>
      <c r="O18" s="19" t="s">
        <v>50</v>
      </c>
      <c r="P18" s="19" t="s">
        <v>234</v>
      </c>
      <c r="Q18" s="19" t="s">
        <v>235</v>
      </c>
      <c r="R18" s="19"/>
      <c r="S18" s="19"/>
      <c r="U18" s="19"/>
      <c r="W18" s="19"/>
      <c r="X18" s="19" t="s">
        <v>236</v>
      </c>
      <c r="Y18" s="27" t="s">
        <v>133</v>
      </c>
      <c r="Z18" s="27" t="s">
        <v>55</v>
      </c>
      <c r="AA18" s="27" t="s">
        <v>237</v>
      </c>
      <c r="AB18" s="27" t="s">
        <v>238</v>
      </c>
      <c r="AC18" s="37" t="s">
        <v>239</v>
      </c>
      <c r="AD18" s="38" t="s">
        <v>240</v>
      </c>
      <c r="AE18" s="36">
        <v>45748</v>
      </c>
      <c r="AF18" s="19" t="s">
        <v>89</v>
      </c>
      <c r="AG18" s="19" t="s">
        <v>90</v>
      </c>
      <c r="AH18" s="19" t="s">
        <v>62</v>
      </c>
      <c r="AI18" s="19" t="s">
        <v>63</v>
      </c>
      <c r="AJ18" s="19" t="s">
        <v>241</v>
      </c>
      <c r="AK18" s="19"/>
      <c r="AL18" s="19"/>
      <c r="AM18" s="19"/>
      <c r="AN18" s="19" t="s">
        <v>65</v>
      </c>
      <c r="AO18" s="23">
        <v>45752.548611111109</v>
      </c>
      <c r="AP18" s="26">
        <f t="shared" si="1"/>
        <v>40</v>
      </c>
    </row>
    <row r="19" spans="1:42" ht="25.5" hidden="1" customHeight="1">
      <c r="A19" s="19" t="s">
        <v>92</v>
      </c>
      <c r="B19" s="19" t="s">
        <v>242</v>
      </c>
      <c r="C19" s="19" t="s">
        <v>243</v>
      </c>
      <c r="D19" s="19" t="s">
        <v>45</v>
      </c>
      <c r="E19" s="19" t="s">
        <v>46</v>
      </c>
      <c r="F19" s="19" t="s">
        <v>244</v>
      </c>
      <c r="G19" s="19" t="s">
        <v>48</v>
      </c>
      <c r="H19" s="19" t="s">
        <v>49</v>
      </c>
      <c r="I19" s="20">
        <v>45752.636805555558</v>
      </c>
      <c r="K19" s="19"/>
      <c r="L19" s="20">
        <v>45752.642361111109</v>
      </c>
      <c r="M19" s="19"/>
      <c r="N19" s="22">
        <f t="shared" si="0"/>
        <v>5.5555555518367328E-3</v>
      </c>
      <c r="O19" s="19" t="s">
        <v>50</v>
      </c>
      <c r="P19" s="19" t="s">
        <v>245</v>
      </c>
      <c r="Q19" s="19" t="s">
        <v>246</v>
      </c>
      <c r="R19" s="19"/>
      <c r="S19" s="19"/>
      <c r="U19" s="19"/>
      <c r="W19" s="19"/>
      <c r="X19" s="19" t="s">
        <v>247</v>
      </c>
      <c r="Y19" s="27" t="s">
        <v>54</v>
      </c>
      <c r="Z19" s="27" t="s">
        <v>55</v>
      </c>
      <c r="AA19" s="27" t="s">
        <v>248</v>
      </c>
      <c r="AB19" s="27" t="s">
        <v>249</v>
      </c>
      <c r="AC19" s="37" t="s">
        <v>250</v>
      </c>
      <c r="AD19" s="38" t="s">
        <v>251</v>
      </c>
      <c r="AE19" s="36">
        <v>45748</v>
      </c>
      <c r="AF19" s="19" t="s">
        <v>78</v>
      </c>
      <c r="AG19" s="19" t="s">
        <v>78</v>
      </c>
      <c r="AH19" s="19" t="s">
        <v>78</v>
      </c>
      <c r="AI19" s="19" t="s">
        <v>63</v>
      </c>
      <c r="AJ19" s="19" t="s">
        <v>252</v>
      </c>
      <c r="AK19" s="19"/>
      <c r="AL19" s="19"/>
      <c r="AM19" s="19"/>
      <c r="AN19" s="19" t="s">
        <v>65</v>
      </c>
      <c r="AO19" s="23">
        <v>45752.636805555558</v>
      </c>
      <c r="AP19" s="26">
        <f t="shared" si="1"/>
        <v>8</v>
      </c>
    </row>
    <row r="20" spans="1:42" ht="25.5" hidden="1" customHeight="1">
      <c r="A20" s="19" t="s">
        <v>42</v>
      </c>
      <c r="B20" s="19" t="s">
        <v>253</v>
      </c>
      <c r="C20" s="19" t="s">
        <v>254</v>
      </c>
      <c r="D20" s="19" t="s">
        <v>45</v>
      </c>
      <c r="E20" s="19" t="s">
        <v>46</v>
      </c>
      <c r="F20" s="19" t="s">
        <v>255</v>
      </c>
      <c r="G20" s="19" t="s">
        <v>48</v>
      </c>
      <c r="H20" s="19" t="s">
        <v>49</v>
      </c>
      <c r="I20" s="20">
        <v>45752.697222222218</v>
      </c>
      <c r="K20" s="19"/>
      <c r="L20" s="20">
        <v>45752.736111111109</v>
      </c>
      <c r="M20" s="19"/>
      <c r="N20" s="22">
        <f t="shared" si="0"/>
        <v>3.888888889196096E-2</v>
      </c>
      <c r="O20" s="19" t="s">
        <v>50</v>
      </c>
      <c r="P20" s="19" t="s">
        <v>256</v>
      </c>
      <c r="Q20" s="19" t="s">
        <v>257</v>
      </c>
      <c r="R20" s="19"/>
      <c r="S20" s="19"/>
      <c r="U20" s="19"/>
      <c r="W20" s="19"/>
      <c r="X20" s="19" t="s">
        <v>258</v>
      </c>
      <c r="Y20" s="27" t="s">
        <v>133</v>
      </c>
      <c r="Z20" s="27" t="s">
        <v>259</v>
      </c>
      <c r="AA20" s="27" t="s">
        <v>260</v>
      </c>
      <c r="AB20" s="27" t="s">
        <v>261</v>
      </c>
      <c r="AC20" s="37" t="s">
        <v>262</v>
      </c>
      <c r="AD20" s="38" t="s">
        <v>263</v>
      </c>
      <c r="AE20" s="36">
        <v>45748</v>
      </c>
      <c r="AF20" s="19" t="s">
        <v>60</v>
      </c>
      <c r="AG20" s="19" t="s">
        <v>78</v>
      </c>
      <c r="AH20" s="19" t="s">
        <v>78</v>
      </c>
      <c r="AI20" s="19" t="s">
        <v>63</v>
      </c>
      <c r="AJ20" s="19" t="s">
        <v>264</v>
      </c>
      <c r="AK20" s="19"/>
      <c r="AL20" s="19"/>
      <c r="AM20" s="19"/>
      <c r="AN20" s="19" t="s">
        <v>128</v>
      </c>
      <c r="AO20" s="23">
        <v>45752.697222222218</v>
      </c>
      <c r="AP20" s="26">
        <f t="shared" si="1"/>
        <v>56</v>
      </c>
    </row>
    <row r="21" spans="1:42" ht="25.5" hidden="1" customHeight="1">
      <c r="A21" s="19" t="s">
        <v>42</v>
      </c>
      <c r="C21" s="19" t="s">
        <v>265</v>
      </c>
      <c r="D21" s="19" t="s">
        <v>45</v>
      </c>
      <c r="E21" s="19" t="s">
        <v>46</v>
      </c>
      <c r="F21" s="19" t="s">
        <v>266</v>
      </c>
      <c r="G21" s="19" t="s">
        <v>48</v>
      </c>
      <c r="H21" s="19" t="s">
        <v>49</v>
      </c>
      <c r="I21" s="20">
        <v>45752.698611111111</v>
      </c>
      <c r="K21" s="19"/>
      <c r="L21" s="20">
        <v>45752.815972222219</v>
      </c>
      <c r="M21" s="19"/>
      <c r="N21" s="22">
        <f t="shared" si="0"/>
        <v>0.11736111110803904</v>
      </c>
      <c r="O21" s="19" t="s">
        <v>63</v>
      </c>
      <c r="P21" s="19" t="s">
        <v>267</v>
      </c>
      <c r="Q21" s="19" t="s">
        <v>268</v>
      </c>
      <c r="R21" s="19"/>
      <c r="S21" s="19"/>
      <c r="U21" s="19"/>
      <c r="W21" s="19"/>
      <c r="X21" s="19" t="s">
        <v>269</v>
      </c>
      <c r="Y21" s="27" t="s">
        <v>147</v>
      </c>
      <c r="Z21" s="27" t="s">
        <v>78</v>
      </c>
      <c r="AA21" s="27" t="s">
        <v>78</v>
      </c>
      <c r="AB21" s="27" t="s">
        <v>78</v>
      </c>
      <c r="AC21" s="37" t="s">
        <v>78</v>
      </c>
      <c r="AD21" s="38" t="s">
        <v>229</v>
      </c>
      <c r="AE21" s="36">
        <v>45748</v>
      </c>
      <c r="AF21" s="19" t="s">
        <v>89</v>
      </c>
      <c r="AG21" s="19" t="s">
        <v>90</v>
      </c>
      <c r="AH21" s="19" t="s">
        <v>78</v>
      </c>
      <c r="AI21" s="19" t="s">
        <v>63</v>
      </c>
      <c r="AJ21" s="19" t="s">
        <v>270</v>
      </c>
      <c r="AK21" s="19"/>
      <c r="AL21" s="19"/>
      <c r="AM21" s="19"/>
      <c r="AN21" s="19" t="s">
        <v>65</v>
      </c>
      <c r="AO21" s="23">
        <v>45752.698611111111</v>
      </c>
      <c r="AP21" s="26">
        <f t="shared" si="1"/>
        <v>169</v>
      </c>
    </row>
    <row r="22" spans="1:42" ht="25.5" customHeight="1">
      <c r="A22" s="19" t="s">
        <v>42</v>
      </c>
      <c r="B22" s="19" t="s">
        <v>271</v>
      </c>
      <c r="C22" s="19" t="s">
        <v>272</v>
      </c>
      <c r="D22" s="19" t="s">
        <v>45</v>
      </c>
      <c r="E22" s="19" t="s">
        <v>46</v>
      </c>
      <c r="F22" s="19" t="s">
        <v>273</v>
      </c>
      <c r="G22" s="19" t="s">
        <v>48</v>
      </c>
      <c r="H22" s="19" t="s">
        <v>144</v>
      </c>
      <c r="I22" s="20">
        <v>45753.481249999997</v>
      </c>
      <c r="J22" s="20">
        <v>45753.541666666657</v>
      </c>
      <c r="K22" s="19">
        <v>45753.552083333343</v>
      </c>
      <c r="L22" s="20">
        <v>45753.572916666657</v>
      </c>
      <c r="M22" s="19"/>
      <c r="N22" s="22">
        <f t="shared" si="0"/>
        <v>9.1666666659875773E-2</v>
      </c>
      <c r="O22" s="19" t="s">
        <v>50</v>
      </c>
      <c r="P22" s="19" t="s">
        <v>274</v>
      </c>
      <c r="Q22" s="19" t="s">
        <v>275</v>
      </c>
      <c r="R22" s="19" t="s">
        <v>276</v>
      </c>
      <c r="S22" s="19" t="s">
        <v>277</v>
      </c>
      <c r="T22" s="20">
        <v>45753.660138888888</v>
      </c>
      <c r="U22" s="19">
        <v>45758.628240740742</v>
      </c>
      <c r="V22" s="19" t="s">
        <v>157</v>
      </c>
      <c r="W22" s="19"/>
      <c r="X22" s="19" t="s">
        <v>278</v>
      </c>
      <c r="Y22" s="27" t="s">
        <v>133</v>
      </c>
      <c r="Z22" s="27" t="s">
        <v>279</v>
      </c>
      <c r="AA22" s="27" t="s">
        <v>280</v>
      </c>
      <c r="AB22" s="27" t="s">
        <v>281</v>
      </c>
      <c r="AC22" s="37" t="s">
        <v>282</v>
      </c>
      <c r="AD22" s="38" t="s">
        <v>283</v>
      </c>
      <c r="AE22" s="36">
        <v>45748</v>
      </c>
      <c r="AF22" s="19" t="s">
        <v>89</v>
      </c>
      <c r="AG22" s="19" t="s">
        <v>90</v>
      </c>
      <c r="AH22" s="19" t="s">
        <v>62</v>
      </c>
      <c r="AI22" s="19" t="s">
        <v>63</v>
      </c>
      <c r="AJ22" s="19" t="s">
        <v>284</v>
      </c>
      <c r="AK22" s="19"/>
      <c r="AL22" s="19"/>
      <c r="AM22" s="19"/>
      <c r="AN22" s="19" t="s">
        <v>128</v>
      </c>
      <c r="AO22" s="23">
        <v>45753.481249999997</v>
      </c>
      <c r="AP22" s="26">
        <f t="shared" si="1"/>
        <v>132</v>
      </c>
    </row>
    <row r="23" spans="1:42" ht="25.5" hidden="1" customHeight="1">
      <c r="A23" s="19" t="s">
        <v>285</v>
      </c>
      <c r="B23" s="19" t="s">
        <v>271</v>
      </c>
      <c r="C23" s="19" t="s">
        <v>272</v>
      </c>
      <c r="D23" s="19" t="s">
        <v>45</v>
      </c>
      <c r="E23" s="19" t="s">
        <v>46</v>
      </c>
      <c r="F23" s="19" t="s">
        <v>273</v>
      </c>
      <c r="G23" s="19" t="s">
        <v>226</v>
      </c>
      <c r="H23" s="19" t="s">
        <v>49</v>
      </c>
      <c r="I23" s="20">
        <v>45753.791666666657</v>
      </c>
      <c r="K23" s="19"/>
      <c r="L23" s="20">
        <v>45753.822916666657</v>
      </c>
      <c r="M23" s="19"/>
      <c r="N23" s="22">
        <f t="shared" si="0"/>
        <v>3.125E-2</v>
      </c>
      <c r="O23" s="19" t="s">
        <v>50</v>
      </c>
      <c r="P23" s="19" t="s">
        <v>286</v>
      </c>
      <c r="Q23" s="19" t="s">
        <v>287</v>
      </c>
      <c r="R23" s="19"/>
      <c r="S23" s="19"/>
      <c r="U23" s="19"/>
      <c r="W23" s="19"/>
      <c r="X23" s="19" t="s">
        <v>278</v>
      </c>
      <c r="Y23" s="27" t="s">
        <v>54</v>
      </c>
      <c r="Z23" s="27" t="s">
        <v>288</v>
      </c>
      <c r="AA23" s="27" t="s">
        <v>289</v>
      </c>
      <c r="AB23" s="27" t="s">
        <v>290</v>
      </c>
      <c r="AC23" s="37" t="s">
        <v>291</v>
      </c>
      <c r="AD23" s="38" t="s">
        <v>292</v>
      </c>
      <c r="AE23" s="36">
        <v>45748</v>
      </c>
      <c r="AF23" s="19" t="s">
        <v>293</v>
      </c>
      <c r="AG23" s="19" t="s">
        <v>294</v>
      </c>
      <c r="AH23" s="19" t="s">
        <v>62</v>
      </c>
      <c r="AI23" s="19" t="s">
        <v>50</v>
      </c>
      <c r="AJ23" s="19" t="s">
        <v>295</v>
      </c>
      <c r="AK23" s="19"/>
      <c r="AL23" s="19"/>
      <c r="AM23" s="19"/>
      <c r="AN23" s="19" t="s">
        <v>103</v>
      </c>
      <c r="AO23" s="23">
        <v>45753.791666666657</v>
      </c>
      <c r="AP23" s="26">
        <f t="shared" si="1"/>
        <v>45</v>
      </c>
    </row>
    <row r="24" spans="1:42" ht="25.5" hidden="1" customHeight="1">
      <c r="A24" s="19" t="s">
        <v>42</v>
      </c>
      <c r="B24" s="19" t="s">
        <v>93</v>
      </c>
      <c r="C24" s="19" t="s">
        <v>265</v>
      </c>
      <c r="D24" s="19" t="s">
        <v>45</v>
      </c>
      <c r="E24" s="19" t="s">
        <v>46</v>
      </c>
      <c r="F24" s="19" t="s">
        <v>296</v>
      </c>
      <c r="G24" s="19" t="s">
        <v>48</v>
      </c>
      <c r="H24" s="19" t="s">
        <v>49</v>
      </c>
      <c r="I24" s="20">
        <v>45754.373611111107</v>
      </c>
      <c r="K24" s="19"/>
      <c r="L24" s="20">
        <v>45754.458333333343</v>
      </c>
      <c r="M24" s="19"/>
      <c r="N24" s="22">
        <f t="shared" si="0"/>
        <v>8.4722222236450762E-2</v>
      </c>
      <c r="O24" s="19" t="s">
        <v>63</v>
      </c>
      <c r="P24" s="19" t="s">
        <v>297</v>
      </c>
      <c r="Q24" s="19" t="s">
        <v>298</v>
      </c>
      <c r="R24" s="19" t="s">
        <v>299</v>
      </c>
      <c r="S24" s="19" t="s">
        <v>300</v>
      </c>
      <c r="T24" s="20">
        <v>45756.744675925933</v>
      </c>
      <c r="U24" s="19">
        <v>45758.558333333327</v>
      </c>
      <c r="V24" s="19" t="s">
        <v>157</v>
      </c>
      <c r="W24" s="19"/>
      <c r="X24" s="19" t="s">
        <v>301</v>
      </c>
      <c r="Y24" s="27" t="s">
        <v>54</v>
      </c>
      <c r="Z24" s="27" t="s">
        <v>302</v>
      </c>
      <c r="AA24" s="27" t="s">
        <v>303</v>
      </c>
      <c r="AB24" s="27" t="s">
        <v>304</v>
      </c>
      <c r="AC24" s="37" t="s">
        <v>305</v>
      </c>
      <c r="AD24" s="38" t="s">
        <v>306</v>
      </c>
      <c r="AE24" s="36">
        <v>45748</v>
      </c>
      <c r="AF24" s="19" t="s">
        <v>60</v>
      </c>
      <c r="AG24" s="19" t="s">
        <v>307</v>
      </c>
      <c r="AH24" s="19" t="s">
        <v>164</v>
      </c>
      <c r="AI24" s="19" t="s">
        <v>63</v>
      </c>
      <c r="AJ24" s="19" t="s">
        <v>308</v>
      </c>
      <c r="AK24" s="19"/>
      <c r="AL24" s="19"/>
      <c r="AM24" s="19"/>
      <c r="AN24" s="19" t="s">
        <v>103</v>
      </c>
      <c r="AO24" s="23">
        <v>45754.368055555547</v>
      </c>
      <c r="AP24" s="26">
        <f t="shared" si="1"/>
        <v>122</v>
      </c>
    </row>
    <row r="25" spans="1:42" ht="25.5" hidden="1" customHeight="1">
      <c r="A25" s="19" t="s">
        <v>42</v>
      </c>
      <c r="B25" s="19" t="s">
        <v>309</v>
      </c>
      <c r="C25" s="19" t="s">
        <v>310</v>
      </c>
      <c r="D25" s="19" t="s">
        <v>45</v>
      </c>
      <c r="E25" s="19" t="s">
        <v>46</v>
      </c>
      <c r="F25" s="19" t="s">
        <v>311</v>
      </c>
      <c r="G25" s="19" t="s">
        <v>48</v>
      </c>
      <c r="H25" s="19" t="s">
        <v>49</v>
      </c>
      <c r="I25" s="20">
        <v>45754.533333333333</v>
      </c>
      <c r="K25" s="19"/>
      <c r="L25" s="20">
        <v>45754.555555555547</v>
      </c>
      <c r="M25" s="19"/>
      <c r="N25" s="22">
        <f t="shared" si="0"/>
        <v>2.2222222214622889E-2</v>
      </c>
      <c r="O25" s="19" t="s">
        <v>50</v>
      </c>
      <c r="P25" s="19" t="s">
        <v>312</v>
      </c>
      <c r="Q25" s="19" t="s">
        <v>313</v>
      </c>
      <c r="R25" s="19"/>
      <c r="S25" s="19"/>
      <c r="U25" s="19"/>
      <c r="W25" s="19"/>
      <c r="X25" s="19" t="s">
        <v>314</v>
      </c>
      <c r="Y25" s="27" t="s">
        <v>133</v>
      </c>
      <c r="Z25" s="27" t="s">
        <v>315</v>
      </c>
      <c r="AA25" s="27" t="s">
        <v>316</v>
      </c>
      <c r="AB25" s="27" t="s">
        <v>317</v>
      </c>
      <c r="AC25" s="37" t="s">
        <v>318</v>
      </c>
      <c r="AD25" s="38" t="s">
        <v>319</v>
      </c>
      <c r="AE25" s="36">
        <v>45748</v>
      </c>
      <c r="AF25" s="19" t="s">
        <v>89</v>
      </c>
      <c r="AG25" s="19" t="s">
        <v>90</v>
      </c>
      <c r="AH25" s="19" t="s">
        <v>62</v>
      </c>
      <c r="AI25" s="19" t="s">
        <v>63</v>
      </c>
      <c r="AJ25" s="19" t="s">
        <v>320</v>
      </c>
      <c r="AK25" s="19"/>
      <c r="AL25" s="19"/>
      <c r="AM25" s="19"/>
      <c r="AN25" s="19" t="s">
        <v>128</v>
      </c>
      <c r="AO25" s="23">
        <v>45754.533333333333</v>
      </c>
      <c r="AP25" s="26">
        <f t="shared" si="1"/>
        <v>32</v>
      </c>
    </row>
    <row r="26" spans="1:42" ht="25.5" hidden="1" customHeight="1">
      <c r="A26" s="19" t="s">
        <v>42</v>
      </c>
      <c r="B26" s="19" t="s">
        <v>93</v>
      </c>
      <c r="C26" s="19" t="s">
        <v>265</v>
      </c>
      <c r="D26" s="19" t="s">
        <v>45</v>
      </c>
      <c r="E26" s="19" t="s">
        <v>46</v>
      </c>
      <c r="F26" s="19" t="s">
        <v>296</v>
      </c>
      <c r="G26" s="19" t="s">
        <v>226</v>
      </c>
      <c r="H26" s="19" t="s">
        <v>49</v>
      </c>
      <c r="I26" s="20">
        <v>45754.708333333343</v>
      </c>
      <c r="K26" s="19"/>
      <c r="L26" s="20">
        <v>45754.746527777781</v>
      </c>
      <c r="M26" s="19"/>
      <c r="N26" s="22">
        <f t="shared" si="0"/>
        <v>3.8194444437976927E-2</v>
      </c>
      <c r="O26" s="19" t="s">
        <v>50</v>
      </c>
      <c r="P26" s="19" t="s">
        <v>297</v>
      </c>
      <c r="Q26" s="19" t="s">
        <v>321</v>
      </c>
      <c r="R26" s="19"/>
      <c r="S26" s="19"/>
      <c r="U26" s="19"/>
      <c r="W26" s="19"/>
      <c r="X26" s="19" t="s">
        <v>269</v>
      </c>
      <c r="Y26" s="27" t="s">
        <v>54</v>
      </c>
      <c r="Z26" s="27" t="s">
        <v>322</v>
      </c>
      <c r="AA26" s="27" t="s">
        <v>323</v>
      </c>
      <c r="AB26" s="27" t="s">
        <v>324</v>
      </c>
      <c r="AC26" s="37" t="s">
        <v>325</v>
      </c>
      <c r="AD26" s="38" t="s">
        <v>326</v>
      </c>
      <c r="AE26" s="36">
        <v>45748</v>
      </c>
      <c r="AF26" s="19" t="s">
        <v>60</v>
      </c>
      <c r="AG26" s="19" t="s">
        <v>61</v>
      </c>
      <c r="AH26" s="19" t="s">
        <v>62</v>
      </c>
      <c r="AI26" s="19" t="s">
        <v>63</v>
      </c>
      <c r="AJ26" s="19" t="s">
        <v>327</v>
      </c>
      <c r="AK26" s="19"/>
      <c r="AL26" s="19"/>
      <c r="AM26" s="19"/>
      <c r="AN26" s="19" t="s">
        <v>103</v>
      </c>
      <c r="AO26" s="23">
        <v>45754.708333333343</v>
      </c>
      <c r="AP26" s="26">
        <f t="shared" si="1"/>
        <v>55</v>
      </c>
    </row>
    <row r="27" spans="1:42" ht="25.5" hidden="1" customHeight="1">
      <c r="A27" s="19" t="s">
        <v>42</v>
      </c>
      <c r="B27" s="19" t="s">
        <v>66</v>
      </c>
      <c r="C27" s="19" t="s">
        <v>328</v>
      </c>
      <c r="D27" s="19" t="s">
        <v>45</v>
      </c>
      <c r="E27" s="19" t="s">
        <v>46</v>
      </c>
      <c r="F27" s="19" t="s">
        <v>329</v>
      </c>
      <c r="G27" s="19" t="s">
        <v>48</v>
      </c>
      <c r="H27" s="19" t="s">
        <v>49</v>
      </c>
      <c r="I27" s="20">
        <v>45755.145833333343</v>
      </c>
      <c r="K27" s="19"/>
      <c r="L27" s="20">
        <v>45755.170138888891</v>
      </c>
      <c r="M27" s="19"/>
      <c r="N27" s="22">
        <f t="shared" si="0"/>
        <v>2.4305555547471158E-2</v>
      </c>
      <c r="O27" s="19" t="s">
        <v>50</v>
      </c>
      <c r="P27" s="19" t="s">
        <v>70</v>
      </c>
      <c r="Q27" s="19" t="s">
        <v>330</v>
      </c>
      <c r="R27" s="19"/>
      <c r="S27" s="19"/>
      <c r="U27" s="19"/>
      <c r="W27" s="19"/>
      <c r="X27" s="19" t="s">
        <v>72</v>
      </c>
      <c r="Y27" s="27" t="s">
        <v>54</v>
      </c>
      <c r="Z27" s="27" t="s">
        <v>331</v>
      </c>
      <c r="AA27" s="27" t="s">
        <v>332</v>
      </c>
      <c r="AB27" s="27" t="s">
        <v>333</v>
      </c>
      <c r="AC27" s="37" t="s">
        <v>334</v>
      </c>
      <c r="AD27" s="38" t="s">
        <v>335</v>
      </c>
      <c r="AE27" s="36">
        <v>45748</v>
      </c>
      <c r="AF27" s="19" t="s">
        <v>89</v>
      </c>
      <c r="AG27" s="19" t="s">
        <v>61</v>
      </c>
      <c r="AH27" s="19" t="s">
        <v>62</v>
      </c>
      <c r="AI27" s="19" t="s">
        <v>63</v>
      </c>
      <c r="AJ27" s="19" t="s">
        <v>330</v>
      </c>
      <c r="AK27" s="19"/>
      <c r="AL27" s="19"/>
      <c r="AM27" s="19"/>
      <c r="AN27" s="19" t="s">
        <v>65</v>
      </c>
      <c r="AO27" s="23">
        <v>45755.170138888891</v>
      </c>
      <c r="AP27" s="26">
        <f t="shared" si="1"/>
        <v>35</v>
      </c>
    </row>
    <row r="28" spans="1:42" ht="25.5" hidden="1" customHeight="1">
      <c r="A28" s="19" t="s">
        <v>42</v>
      </c>
      <c r="B28" s="19" t="s">
        <v>93</v>
      </c>
      <c r="C28" s="19" t="s">
        <v>336</v>
      </c>
      <c r="D28" s="19" t="s">
        <v>45</v>
      </c>
      <c r="E28" s="19" t="s">
        <v>46</v>
      </c>
      <c r="F28" s="19" t="s">
        <v>296</v>
      </c>
      <c r="G28" s="19" t="s">
        <v>226</v>
      </c>
      <c r="H28" s="19" t="s">
        <v>49</v>
      </c>
      <c r="I28" s="20">
        <v>45755.270138888889</v>
      </c>
      <c r="K28" s="19"/>
      <c r="L28" s="20">
        <v>45755.400694444441</v>
      </c>
      <c r="M28" s="19"/>
      <c r="N28" s="22">
        <f t="shared" si="0"/>
        <v>0.13055555555183673</v>
      </c>
      <c r="O28" s="19" t="s">
        <v>50</v>
      </c>
      <c r="P28" s="19" t="s">
        <v>297</v>
      </c>
      <c r="Q28" s="19" t="s">
        <v>337</v>
      </c>
      <c r="R28" s="19"/>
      <c r="S28" s="19"/>
      <c r="U28" s="19"/>
      <c r="W28" s="19"/>
      <c r="X28" s="19" t="s">
        <v>314</v>
      </c>
      <c r="Y28" s="27" t="s">
        <v>54</v>
      </c>
      <c r="Z28" s="27" t="s">
        <v>338</v>
      </c>
      <c r="AA28" s="27" t="s">
        <v>339</v>
      </c>
      <c r="AB28" s="27" t="s">
        <v>340</v>
      </c>
      <c r="AC28" s="37" t="s">
        <v>341</v>
      </c>
      <c r="AD28" s="38" t="s">
        <v>342</v>
      </c>
      <c r="AE28" s="36">
        <v>45748</v>
      </c>
      <c r="AF28" s="19" t="s">
        <v>60</v>
      </c>
      <c r="AG28" s="19" t="s">
        <v>307</v>
      </c>
      <c r="AH28" s="19" t="s">
        <v>164</v>
      </c>
      <c r="AI28" s="19" t="s">
        <v>50</v>
      </c>
      <c r="AJ28" s="19" t="s">
        <v>343</v>
      </c>
      <c r="AK28" s="19"/>
      <c r="AL28" s="19"/>
      <c r="AM28" s="19"/>
      <c r="AN28" s="19" t="s">
        <v>103</v>
      </c>
      <c r="AO28" s="23">
        <v>45755.270138888889</v>
      </c>
      <c r="AP28" s="26">
        <f t="shared" si="1"/>
        <v>188</v>
      </c>
    </row>
    <row r="29" spans="1:42" ht="25.5" hidden="1" customHeight="1">
      <c r="A29" s="19" t="s">
        <v>285</v>
      </c>
      <c r="B29" s="19" t="s">
        <v>344</v>
      </c>
      <c r="C29" s="19" t="s">
        <v>118</v>
      </c>
      <c r="D29" s="19" t="s">
        <v>45</v>
      </c>
      <c r="E29" s="19" t="s">
        <v>46</v>
      </c>
      <c r="F29" s="19" t="s">
        <v>345</v>
      </c>
      <c r="G29" s="19" t="s">
        <v>48</v>
      </c>
      <c r="H29" s="19" t="s">
        <v>49</v>
      </c>
      <c r="I29" s="20">
        <v>45755.326388888891</v>
      </c>
      <c r="K29" s="19"/>
      <c r="L29" s="20">
        <v>45755.446527777778</v>
      </c>
      <c r="M29" s="19"/>
      <c r="N29" s="22">
        <f t="shared" si="0"/>
        <v>0.12013888888759539</v>
      </c>
      <c r="O29" s="19" t="s">
        <v>50</v>
      </c>
      <c r="P29" s="19" t="s">
        <v>346</v>
      </c>
      <c r="Q29" s="19" t="s">
        <v>347</v>
      </c>
      <c r="R29" s="19"/>
      <c r="S29" s="19"/>
      <c r="U29" s="19"/>
      <c r="W29" s="19"/>
      <c r="X29" s="19" t="s">
        <v>122</v>
      </c>
      <c r="Y29" s="27" t="s">
        <v>54</v>
      </c>
      <c r="Z29" s="27" t="s">
        <v>348</v>
      </c>
      <c r="AA29" s="27" t="s">
        <v>349</v>
      </c>
      <c r="AB29" s="27" t="s">
        <v>350</v>
      </c>
      <c r="AC29" s="37" t="s">
        <v>351</v>
      </c>
      <c r="AD29" s="38" t="s">
        <v>352</v>
      </c>
      <c r="AE29" s="36">
        <v>45748</v>
      </c>
      <c r="AF29" s="19" t="s">
        <v>293</v>
      </c>
      <c r="AG29" s="19" t="s">
        <v>294</v>
      </c>
      <c r="AH29" s="19" t="s">
        <v>62</v>
      </c>
      <c r="AI29" s="19" t="s">
        <v>63</v>
      </c>
      <c r="AJ29" s="19" t="s">
        <v>353</v>
      </c>
      <c r="AK29" s="19"/>
      <c r="AL29" s="19"/>
      <c r="AM29" s="19"/>
      <c r="AN29" s="19" t="s">
        <v>65</v>
      </c>
      <c r="AO29" s="23">
        <v>45755.307638888888</v>
      </c>
      <c r="AP29" s="26">
        <f t="shared" si="1"/>
        <v>173</v>
      </c>
    </row>
    <row r="30" spans="1:42" ht="25.5" hidden="1" customHeight="1">
      <c r="A30" s="19" t="s">
        <v>42</v>
      </c>
      <c r="B30" s="19" t="s">
        <v>354</v>
      </c>
      <c r="C30" s="19" t="s">
        <v>355</v>
      </c>
      <c r="D30" s="19" t="s">
        <v>45</v>
      </c>
      <c r="E30" s="19" t="s">
        <v>356</v>
      </c>
      <c r="F30" s="19" t="s">
        <v>357</v>
      </c>
      <c r="G30" s="19" t="s">
        <v>48</v>
      </c>
      <c r="H30" s="19" t="s">
        <v>49</v>
      </c>
      <c r="I30" s="20">
        <v>45755.363888888889</v>
      </c>
      <c r="K30" s="19"/>
      <c r="L30" s="20">
        <v>45755.453472222223</v>
      </c>
      <c r="M30" s="19"/>
      <c r="N30" s="22">
        <f t="shared" si="0"/>
        <v>8.9583333334303461E-2</v>
      </c>
      <c r="O30" s="19" t="s">
        <v>50</v>
      </c>
      <c r="P30" s="19" t="s">
        <v>358</v>
      </c>
      <c r="Q30" s="19" t="s">
        <v>359</v>
      </c>
      <c r="R30" s="19"/>
      <c r="S30" s="19"/>
      <c r="U30" s="19"/>
      <c r="W30" s="19"/>
      <c r="X30" s="19" t="s">
        <v>360</v>
      </c>
      <c r="Y30" s="27" t="s">
        <v>133</v>
      </c>
      <c r="Z30" s="27" t="s">
        <v>361</v>
      </c>
      <c r="AA30" s="27" t="s">
        <v>362</v>
      </c>
      <c r="AB30" s="27" t="s">
        <v>363</v>
      </c>
      <c r="AC30" s="37" t="s">
        <v>364</v>
      </c>
      <c r="AD30" s="38" t="s">
        <v>365</v>
      </c>
      <c r="AE30" s="36">
        <v>45748</v>
      </c>
      <c r="AF30" s="19" t="s">
        <v>60</v>
      </c>
      <c r="AG30" s="19" t="s">
        <v>307</v>
      </c>
      <c r="AH30" s="19" t="s">
        <v>164</v>
      </c>
      <c r="AI30" s="19" t="s">
        <v>63</v>
      </c>
      <c r="AJ30" s="19" t="s">
        <v>366</v>
      </c>
      <c r="AK30" s="19"/>
      <c r="AL30" s="19"/>
      <c r="AM30" s="19"/>
      <c r="AN30" s="19" t="s">
        <v>65</v>
      </c>
      <c r="AO30" s="23">
        <v>45755.395138888889</v>
      </c>
      <c r="AP30" s="26">
        <f t="shared" si="1"/>
        <v>129</v>
      </c>
    </row>
    <row r="31" spans="1:42" ht="25.5" hidden="1" customHeight="1">
      <c r="A31" s="19" t="s">
        <v>42</v>
      </c>
      <c r="B31" s="19" t="s">
        <v>367</v>
      </c>
      <c r="C31" s="19" t="s">
        <v>368</v>
      </c>
      <c r="D31" s="19" t="s">
        <v>45</v>
      </c>
      <c r="E31" s="19" t="s">
        <v>46</v>
      </c>
      <c r="F31" s="19" t="s">
        <v>369</v>
      </c>
      <c r="G31" s="19" t="s">
        <v>48</v>
      </c>
      <c r="H31" s="19" t="s">
        <v>49</v>
      </c>
      <c r="I31" s="20">
        <v>45755.629166666673</v>
      </c>
      <c r="K31" s="19"/>
      <c r="L31" s="20">
        <v>45755.64166666667</v>
      </c>
      <c r="M31" s="19"/>
      <c r="N31" s="22">
        <f t="shared" si="0"/>
        <v>1.2499999997089617E-2</v>
      </c>
      <c r="O31" s="19" t="s">
        <v>50</v>
      </c>
      <c r="P31" s="19" t="s">
        <v>370</v>
      </c>
      <c r="Q31" s="19" t="s">
        <v>371</v>
      </c>
      <c r="R31" s="19"/>
      <c r="S31" s="19"/>
      <c r="U31" s="19"/>
      <c r="W31" s="19"/>
      <c r="X31" s="19" t="s">
        <v>372</v>
      </c>
      <c r="Y31" s="27" t="s">
        <v>54</v>
      </c>
      <c r="Z31" s="27" t="s">
        <v>361</v>
      </c>
      <c r="AA31" s="27" t="s">
        <v>373</v>
      </c>
      <c r="AB31" s="27" t="s">
        <v>374</v>
      </c>
      <c r="AC31" s="37" t="s">
        <v>375</v>
      </c>
      <c r="AD31" s="38" t="s">
        <v>376</v>
      </c>
      <c r="AE31" s="36">
        <v>45748</v>
      </c>
      <c r="AF31" s="19" t="s">
        <v>89</v>
      </c>
      <c r="AG31" s="19" t="s">
        <v>90</v>
      </c>
      <c r="AH31" s="19" t="s">
        <v>62</v>
      </c>
      <c r="AI31" s="19" t="s">
        <v>63</v>
      </c>
      <c r="AJ31" s="19" t="s">
        <v>377</v>
      </c>
      <c r="AK31" s="19"/>
      <c r="AL31" s="19"/>
      <c r="AM31" s="19"/>
      <c r="AN31" s="19" t="s">
        <v>65</v>
      </c>
      <c r="AO31" s="23">
        <v>45755.629166666673</v>
      </c>
      <c r="AP31" s="26">
        <f t="shared" si="1"/>
        <v>18</v>
      </c>
    </row>
    <row r="32" spans="1:42" ht="25.5" hidden="1" customHeight="1">
      <c r="A32" s="19" t="s">
        <v>42</v>
      </c>
      <c r="C32" s="19" t="s">
        <v>378</v>
      </c>
      <c r="D32" s="19" t="s">
        <v>45</v>
      </c>
      <c r="E32" s="19" t="s">
        <v>46</v>
      </c>
      <c r="F32" s="19" t="s">
        <v>379</v>
      </c>
      <c r="G32" s="19" t="s">
        <v>48</v>
      </c>
      <c r="H32" s="19" t="s">
        <v>49</v>
      </c>
      <c r="I32" s="20">
        <v>45755.686111111107</v>
      </c>
      <c r="K32" s="19"/>
      <c r="L32" s="20">
        <v>45755.759027777778</v>
      </c>
      <c r="M32" s="19"/>
      <c r="N32" s="22">
        <f t="shared" si="0"/>
        <v>7.2916666671517305E-2</v>
      </c>
      <c r="O32" s="19" t="s">
        <v>63</v>
      </c>
      <c r="P32" s="19" t="s">
        <v>380</v>
      </c>
      <c r="Q32" s="19" t="s">
        <v>381</v>
      </c>
      <c r="R32" s="19"/>
      <c r="S32" s="19"/>
      <c r="U32" s="19"/>
      <c r="W32" s="19"/>
      <c r="X32" s="19" t="s">
        <v>72</v>
      </c>
      <c r="Y32" s="27" t="s">
        <v>147</v>
      </c>
      <c r="Z32" s="27" t="s">
        <v>78</v>
      </c>
      <c r="AA32" s="27" t="s">
        <v>78</v>
      </c>
      <c r="AB32" s="27" t="s">
        <v>78</v>
      </c>
      <c r="AC32" s="37" t="s">
        <v>78</v>
      </c>
      <c r="AD32" s="38" t="s">
        <v>78</v>
      </c>
      <c r="AE32" s="36">
        <v>45748</v>
      </c>
      <c r="AF32" s="19" t="s">
        <v>89</v>
      </c>
      <c r="AG32" s="19" t="s">
        <v>90</v>
      </c>
      <c r="AH32" s="19" t="s">
        <v>62</v>
      </c>
      <c r="AI32" s="19" t="s">
        <v>63</v>
      </c>
      <c r="AJ32" s="19" t="s">
        <v>382</v>
      </c>
      <c r="AK32" s="19"/>
      <c r="AL32" s="19"/>
      <c r="AM32" s="19"/>
      <c r="AN32" s="19" t="s">
        <v>65</v>
      </c>
      <c r="AO32" s="23">
        <v>45755.818749999999</v>
      </c>
      <c r="AP32" s="26">
        <f t="shared" si="1"/>
        <v>105</v>
      </c>
    </row>
    <row r="33" spans="1:42" ht="25.5" hidden="1" customHeight="1">
      <c r="A33" s="19" t="s">
        <v>42</v>
      </c>
      <c r="B33" s="19" t="s">
        <v>383</v>
      </c>
      <c r="C33" s="19" t="s">
        <v>384</v>
      </c>
      <c r="D33" s="19" t="s">
        <v>45</v>
      </c>
      <c r="E33" s="19" t="s">
        <v>46</v>
      </c>
      <c r="F33" s="19" t="s">
        <v>385</v>
      </c>
      <c r="G33" s="19" t="s">
        <v>48</v>
      </c>
      <c r="H33" s="19" t="s">
        <v>49</v>
      </c>
      <c r="I33" s="20">
        <v>45755.708333333343</v>
      </c>
      <c r="K33" s="19"/>
      <c r="L33" s="20">
        <v>45755.805555555547</v>
      </c>
      <c r="M33" s="19"/>
      <c r="N33" s="22">
        <f t="shared" si="0"/>
        <v>9.7222222204436548E-2</v>
      </c>
      <c r="O33" s="19" t="s">
        <v>50</v>
      </c>
      <c r="P33" s="19" t="s">
        <v>386</v>
      </c>
      <c r="Q33" s="19" t="s">
        <v>387</v>
      </c>
      <c r="R33" s="19"/>
      <c r="S33" s="19"/>
      <c r="U33" s="19"/>
      <c r="W33" s="19"/>
      <c r="X33" s="19" t="s">
        <v>109</v>
      </c>
      <c r="Y33" s="27" t="s">
        <v>147</v>
      </c>
      <c r="Z33" s="27" t="s">
        <v>78</v>
      </c>
      <c r="AA33" s="27" t="s">
        <v>78</v>
      </c>
      <c r="AB33" s="27" t="s">
        <v>78</v>
      </c>
      <c r="AC33" s="37" t="s">
        <v>78</v>
      </c>
      <c r="AD33" s="38" t="s">
        <v>78</v>
      </c>
      <c r="AE33" s="36">
        <v>45748</v>
      </c>
      <c r="AF33" s="19" t="s">
        <v>60</v>
      </c>
      <c r="AG33" s="19" t="s">
        <v>78</v>
      </c>
      <c r="AH33" s="19" t="s">
        <v>78</v>
      </c>
      <c r="AI33" s="19" t="s">
        <v>63</v>
      </c>
      <c r="AJ33" s="19" t="s">
        <v>388</v>
      </c>
      <c r="AK33" s="19"/>
      <c r="AL33" s="19"/>
      <c r="AM33" s="19"/>
      <c r="AN33" s="19" t="s">
        <v>103</v>
      </c>
      <c r="AO33" s="23">
        <v>45755.708333333343</v>
      </c>
      <c r="AP33" s="26">
        <f t="shared" si="1"/>
        <v>140</v>
      </c>
    </row>
    <row r="34" spans="1:42" ht="25.5" hidden="1" customHeight="1">
      <c r="A34" s="19" t="s">
        <v>42</v>
      </c>
      <c r="B34" s="19" t="s">
        <v>93</v>
      </c>
      <c r="C34" s="19" t="s">
        <v>336</v>
      </c>
      <c r="D34" s="19" t="s">
        <v>45</v>
      </c>
      <c r="E34" s="19" t="s">
        <v>46</v>
      </c>
      <c r="F34" s="19" t="s">
        <v>296</v>
      </c>
      <c r="G34" s="19" t="s">
        <v>226</v>
      </c>
      <c r="H34" s="19" t="s">
        <v>49</v>
      </c>
      <c r="I34" s="20">
        <v>45755.930555555547</v>
      </c>
      <c r="K34" s="19"/>
      <c r="L34" s="20">
        <v>45756.057638888888</v>
      </c>
      <c r="M34" s="19"/>
      <c r="N34" s="22">
        <f t="shared" si="0"/>
        <v>0.12708333334012423</v>
      </c>
      <c r="O34" s="19" t="s">
        <v>50</v>
      </c>
      <c r="P34" s="19" t="s">
        <v>389</v>
      </c>
      <c r="Q34" s="19" t="s">
        <v>390</v>
      </c>
      <c r="R34" s="19"/>
      <c r="S34" s="19"/>
      <c r="U34" s="19"/>
      <c r="W34" s="19"/>
      <c r="X34" s="19" t="s">
        <v>314</v>
      </c>
      <c r="Y34" s="27" t="s">
        <v>54</v>
      </c>
      <c r="Z34" s="27" t="s">
        <v>391</v>
      </c>
      <c r="AA34" s="27" t="s">
        <v>392</v>
      </c>
      <c r="AB34" s="27" t="s">
        <v>393</v>
      </c>
      <c r="AC34" s="37" t="s">
        <v>394</v>
      </c>
      <c r="AD34" s="38" t="s">
        <v>395</v>
      </c>
      <c r="AE34" s="36">
        <v>45748</v>
      </c>
      <c r="AF34" s="19" t="s">
        <v>60</v>
      </c>
      <c r="AG34" s="19" t="s">
        <v>78</v>
      </c>
      <c r="AH34" s="19" t="s">
        <v>78</v>
      </c>
      <c r="AI34" s="19" t="s">
        <v>50</v>
      </c>
      <c r="AJ34" s="19" t="s">
        <v>396</v>
      </c>
      <c r="AK34" s="19"/>
      <c r="AL34" s="19"/>
      <c r="AM34" s="19"/>
      <c r="AN34" s="19" t="s">
        <v>103</v>
      </c>
      <c r="AO34" s="23">
        <v>45755.930555555547</v>
      </c>
      <c r="AP34" s="26">
        <f t="shared" si="1"/>
        <v>183</v>
      </c>
    </row>
    <row r="35" spans="1:42" ht="25.5" hidden="1" customHeight="1">
      <c r="A35" s="19" t="s">
        <v>42</v>
      </c>
      <c r="B35" s="19" t="s">
        <v>93</v>
      </c>
      <c r="C35" s="19" t="s">
        <v>336</v>
      </c>
      <c r="D35" s="19" t="s">
        <v>45</v>
      </c>
      <c r="E35" s="19" t="s">
        <v>46</v>
      </c>
      <c r="F35" s="19" t="s">
        <v>296</v>
      </c>
      <c r="G35" s="19" t="s">
        <v>226</v>
      </c>
      <c r="H35" s="19" t="s">
        <v>49</v>
      </c>
      <c r="I35" s="20">
        <v>45756.340277777781</v>
      </c>
      <c r="K35" s="19"/>
      <c r="L35" s="20">
        <v>45756.413888888892</v>
      </c>
      <c r="M35" s="19"/>
      <c r="N35" s="22">
        <f t="shared" si="0"/>
        <v>7.3611111110949423E-2</v>
      </c>
      <c r="O35" s="19" t="s">
        <v>50</v>
      </c>
      <c r="P35" s="19" t="s">
        <v>389</v>
      </c>
      <c r="Q35" s="19" t="s">
        <v>397</v>
      </c>
      <c r="R35" s="19" t="s">
        <v>299</v>
      </c>
      <c r="S35" s="19" t="s">
        <v>300</v>
      </c>
      <c r="T35" s="20">
        <v>45756.744675925933</v>
      </c>
      <c r="U35" s="19">
        <v>45758.558333333327</v>
      </c>
      <c r="V35" s="19" t="s">
        <v>157</v>
      </c>
      <c r="W35" s="19"/>
      <c r="X35" s="19" t="s">
        <v>314</v>
      </c>
      <c r="Y35" s="27" t="s">
        <v>54</v>
      </c>
      <c r="Z35" s="27" t="s">
        <v>391</v>
      </c>
      <c r="AA35" s="27" t="s">
        <v>398</v>
      </c>
      <c r="AB35" s="27" t="s">
        <v>399</v>
      </c>
      <c r="AC35" s="37" t="s">
        <v>400</v>
      </c>
      <c r="AD35" s="38" t="s">
        <v>401</v>
      </c>
      <c r="AE35" s="36">
        <v>45748</v>
      </c>
      <c r="AF35" s="19" t="s">
        <v>60</v>
      </c>
      <c r="AG35" s="19" t="s">
        <v>78</v>
      </c>
      <c r="AH35" s="19" t="s">
        <v>78</v>
      </c>
      <c r="AI35" s="19" t="s">
        <v>50</v>
      </c>
      <c r="AJ35" s="19" t="s">
        <v>402</v>
      </c>
      <c r="AK35" s="19"/>
      <c r="AL35" s="19"/>
      <c r="AM35" s="19"/>
      <c r="AN35" s="19" t="s">
        <v>103</v>
      </c>
      <c r="AO35" s="23">
        <v>45756.340277777781</v>
      </c>
      <c r="AP35" s="26">
        <f t="shared" si="1"/>
        <v>106</v>
      </c>
    </row>
    <row r="36" spans="1:42" ht="25.5" hidden="1" customHeight="1">
      <c r="A36" s="19" t="s">
        <v>42</v>
      </c>
      <c r="B36" s="19" t="s">
        <v>403</v>
      </c>
      <c r="C36" s="19" t="s">
        <v>404</v>
      </c>
      <c r="D36" s="19" t="s">
        <v>45</v>
      </c>
      <c r="E36" s="19" t="s">
        <v>405</v>
      </c>
      <c r="F36" s="19" t="s">
        <v>406</v>
      </c>
      <c r="G36" s="19" t="s">
        <v>48</v>
      </c>
      <c r="H36" s="19" t="s">
        <v>49</v>
      </c>
      <c r="I36" s="20">
        <v>45756.435416666667</v>
      </c>
      <c r="K36" s="19"/>
      <c r="L36" s="20">
        <v>45756.541666666657</v>
      </c>
      <c r="M36" s="19"/>
      <c r="N36" s="22">
        <f t="shared" si="0"/>
        <v>0.10624999998981366</v>
      </c>
      <c r="O36" s="19" t="s">
        <v>50</v>
      </c>
      <c r="P36" s="19" t="s">
        <v>407</v>
      </c>
      <c r="Q36" s="19" t="s">
        <v>408</v>
      </c>
      <c r="R36" s="19"/>
      <c r="S36" s="19"/>
      <c r="U36" s="19"/>
      <c r="W36" s="19"/>
      <c r="X36" s="19" t="s">
        <v>109</v>
      </c>
      <c r="Y36" s="27" t="s">
        <v>147</v>
      </c>
      <c r="Z36" s="27" t="s">
        <v>78</v>
      </c>
      <c r="AA36" s="27" t="s">
        <v>78</v>
      </c>
      <c r="AB36" s="27" t="s">
        <v>78</v>
      </c>
      <c r="AC36" s="37" t="s">
        <v>78</v>
      </c>
      <c r="AD36" s="38" t="s">
        <v>229</v>
      </c>
      <c r="AE36" s="36">
        <v>45748</v>
      </c>
      <c r="AF36" s="19" t="s">
        <v>60</v>
      </c>
      <c r="AG36" s="19" t="s">
        <v>78</v>
      </c>
      <c r="AH36" s="19" t="s">
        <v>78</v>
      </c>
      <c r="AI36" s="19" t="s">
        <v>63</v>
      </c>
      <c r="AJ36" s="19" t="s">
        <v>409</v>
      </c>
      <c r="AK36" s="19"/>
      <c r="AL36" s="19"/>
      <c r="AM36" s="19"/>
      <c r="AN36" s="19" t="s">
        <v>103</v>
      </c>
      <c r="AO36" s="23">
        <v>45756.435416666667</v>
      </c>
      <c r="AP36" s="26">
        <f t="shared" si="1"/>
        <v>153</v>
      </c>
    </row>
    <row r="37" spans="1:42" ht="25.5" hidden="1" customHeight="1">
      <c r="A37" s="19" t="s">
        <v>116</v>
      </c>
      <c r="B37" s="19" t="s">
        <v>410</v>
      </c>
      <c r="C37" s="19" t="s">
        <v>105</v>
      </c>
      <c r="D37" s="19" t="s">
        <v>45</v>
      </c>
      <c r="E37" s="19" t="s">
        <v>356</v>
      </c>
      <c r="F37" s="19" t="s">
        <v>411</v>
      </c>
      <c r="G37" s="19" t="s">
        <v>48</v>
      </c>
      <c r="H37" s="19" t="s">
        <v>49</v>
      </c>
      <c r="I37" s="20">
        <v>45756.466666666667</v>
      </c>
      <c r="K37" s="19"/>
      <c r="L37" s="20">
        <v>45756.5625</v>
      </c>
      <c r="M37" s="19"/>
      <c r="N37" s="22">
        <f t="shared" si="0"/>
        <v>9.5833333332848269E-2</v>
      </c>
      <c r="O37" s="19" t="s">
        <v>50</v>
      </c>
      <c r="P37" s="19" t="s">
        <v>412</v>
      </c>
      <c r="Q37" s="19" t="s">
        <v>413</v>
      </c>
      <c r="R37" s="19"/>
      <c r="S37" s="19"/>
      <c r="U37" s="19"/>
      <c r="W37" s="19"/>
      <c r="X37" s="19" t="s">
        <v>109</v>
      </c>
      <c r="Y37" s="27" t="s">
        <v>54</v>
      </c>
      <c r="Z37" s="27" t="s">
        <v>414</v>
      </c>
      <c r="AA37" s="27" t="s">
        <v>415</v>
      </c>
      <c r="AB37" s="27" t="s">
        <v>416</v>
      </c>
      <c r="AC37" s="37">
        <v>45756.484502314823</v>
      </c>
      <c r="AD37" s="38">
        <v>45756.574305555558</v>
      </c>
      <c r="AE37" s="36">
        <v>45748</v>
      </c>
      <c r="AF37" s="19" t="s">
        <v>89</v>
      </c>
      <c r="AG37" s="19" t="s">
        <v>90</v>
      </c>
      <c r="AH37" s="19" t="s">
        <v>62</v>
      </c>
      <c r="AI37" s="19" t="s">
        <v>63</v>
      </c>
      <c r="AJ37" s="19" t="s">
        <v>417</v>
      </c>
      <c r="AK37" s="19"/>
      <c r="AL37" s="19"/>
      <c r="AM37" s="19"/>
      <c r="AN37" s="19" t="s">
        <v>103</v>
      </c>
      <c r="AO37" s="23">
        <v>45756.466666666667</v>
      </c>
      <c r="AP37" s="26">
        <f t="shared" si="1"/>
        <v>138</v>
      </c>
    </row>
    <row r="38" spans="1:42" ht="25.5" hidden="1" customHeight="1">
      <c r="A38" s="19" t="s">
        <v>285</v>
      </c>
      <c r="B38" s="19" t="s">
        <v>418</v>
      </c>
      <c r="C38" s="19" t="s">
        <v>419</v>
      </c>
      <c r="D38" s="19" t="s">
        <v>45</v>
      </c>
      <c r="E38" s="19" t="s">
        <v>46</v>
      </c>
      <c r="F38" s="19" t="s">
        <v>420</v>
      </c>
      <c r="G38" s="19" t="s">
        <v>48</v>
      </c>
      <c r="H38" s="19" t="s">
        <v>49</v>
      </c>
      <c r="I38" s="20">
        <v>45757.663888888892</v>
      </c>
      <c r="K38" s="19"/>
      <c r="L38" s="20">
        <v>45757.694444444453</v>
      </c>
      <c r="M38" s="19"/>
      <c r="N38" s="22">
        <f t="shared" si="0"/>
        <v>3.0555555560567882E-2</v>
      </c>
      <c r="O38" s="19" t="s">
        <v>50</v>
      </c>
      <c r="P38" s="19" t="s">
        <v>421</v>
      </c>
      <c r="Q38" s="19" t="s">
        <v>422</v>
      </c>
      <c r="R38" s="19"/>
      <c r="S38" s="19"/>
      <c r="U38" s="19"/>
      <c r="W38" s="19"/>
      <c r="X38" s="19" t="s">
        <v>423</v>
      </c>
      <c r="Y38" s="27" t="s">
        <v>133</v>
      </c>
      <c r="Z38" s="27" t="s">
        <v>424</v>
      </c>
      <c r="AA38" s="27" t="s">
        <v>425</v>
      </c>
      <c r="AB38" s="27" t="s">
        <v>426</v>
      </c>
      <c r="AC38" s="37" t="s">
        <v>427</v>
      </c>
      <c r="AD38" s="38" t="s">
        <v>428</v>
      </c>
      <c r="AE38" s="36">
        <v>45748</v>
      </c>
      <c r="AF38" s="19" t="s">
        <v>293</v>
      </c>
      <c r="AG38" s="19" t="s">
        <v>307</v>
      </c>
      <c r="AH38" s="19" t="s">
        <v>164</v>
      </c>
      <c r="AI38" s="19" t="s">
        <v>63</v>
      </c>
      <c r="AJ38" s="19" t="s">
        <v>429</v>
      </c>
      <c r="AK38" s="19"/>
      <c r="AL38" s="19"/>
      <c r="AM38" s="19"/>
      <c r="AN38" s="19" t="s">
        <v>65</v>
      </c>
      <c r="AO38" s="23">
        <v>45756.663888888892</v>
      </c>
      <c r="AP38" s="26">
        <f t="shared" si="1"/>
        <v>44</v>
      </c>
    </row>
    <row r="39" spans="1:42" ht="25.5" hidden="1" customHeight="1">
      <c r="A39" s="19" t="s">
        <v>42</v>
      </c>
      <c r="C39" s="19" t="s">
        <v>430</v>
      </c>
      <c r="D39" s="19" t="s">
        <v>45</v>
      </c>
      <c r="E39" s="19" t="s">
        <v>46</v>
      </c>
      <c r="F39" s="19" t="s">
        <v>431</v>
      </c>
      <c r="G39" s="19" t="s">
        <v>48</v>
      </c>
      <c r="H39" s="19" t="s">
        <v>49</v>
      </c>
      <c r="I39" s="20">
        <v>45757.673611111109</v>
      </c>
      <c r="K39" s="19"/>
      <c r="L39" s="20">
        <v>45757.732638888891</v>
      </c>
      <c r="M39" s="19"/>
      <c r="N39" s="22">
        <f t="shared" si="0"/>
        <v>5.9027777781011537E-2</v>
      </c>
      <c r="O39" s="19" t="s">
        <v>50</v>
      </c>
      <c r="P39" s="19" t="s">
        <v>432</v>
      </c>
      <c r="Q39" s="19" t="s">
        <v>433</v>
      </c>
      <c r="R39" s="19"/>
      <c r="S39" s="19"/>
      <c r="U39" s="19"/>
      <c r="W39" s="19"/>
      <c r="X39" s="19" t="s">
        <v>434</v>
      </c>
      <c r="Y39" s="27" t="s">
        <v>54</v>
      </c>
      <c r="Z39" s="27" t="s">
        <v>414</v>
      </c>
      <c r="AA39" s="27" t="s">
        <v>435</v>
      </c>
      <c r="AB39" s="27" t="s">
        <v>436</v>
      </c>
      <c r="AC39" s="37">
        <v>45757.669108796297</v>
      </c>
      <c r="AD39" s="38">
        <v>45757.693055555559</v>
      </c>
      <c r="AE39" s="36">
        <v>45748</v>
      </c>
      <c r="AF39" s="19" t="s">
        <v>89</v>
      </c>
      <c r="AG39" s="19" t="s">
        <v>90</v>
      </c>
      <c r="AH39" s="19" t="s">
        <v>62</v>
      </c>
      <c r="AI39" s="19" t="s">
        <v>63</v>
      </c>
      <c r="AJ39" s="19" t="s">
        <v>437</v>
      </c>
      <c r="AK39" s="19"/>
      <c r="AL39" s="19"/>
      <c r="AM39" s="19"/>
      <c r="AN39" s="19" t="s">
        <v>65</v>
      </c>
      <c r="AO39" s="23">
        <v>45757.6875</v>
      </c>
      <c r="AP39" s="26">
        <f t="shared" si="1"/>
        <v>85</v>
      </c>
    </row>
    <row r="40" spans="1:42" ht="25.5" customHeight="1">
      <c r="A40" s="19" t="s">
        <v>42</v>
      </c>
      <c r="B40" s="19" t="s">
        <v>438</v>
      </c>
      <c r="C40" s="19" t="s">
        <v>439</v>
      </c>
      <c r="D40" s="19" t="s">
        <v>45</v>
      </c>
      <c r="E40" s="19" t="s">
        <v>46</v>
      </c>
      <c r="F40" s="19" t="s">
        <v>440</v>
      </c>
      <c r="G40" s="19" t="s">
        <v>48</v>
      </c>
      <c r="H40" s="19" t="s">
        <v>152</v>
      </c>
      <c r="I40" s="20">
        <v>45757.746527777781</v>
      </c>
      <c r="J40" s="20">
        <v>45757.785416666673</v>
      </c>
      <c r="K40" s="19"/>
      <c r="L40" s="20">
        <v>45757.820138888892</v>
      </c>
      <c r="M40" s="19"/>
      <c r="N40" s="22">
        <f t="shared" si="0"/>
        <v>7.3611111110949423E-2</v>
      </c>
      <c r="O40" s="19" t="s">
        <v>50</v>
      </c>
      <c r="P40" s="19" t="s">
        <v>441</v>
      </c>
      <c r="Q40" s="19" t="s">
        <v>442</v>
      </c>
      <c r="R40" s="19" t="s">
        <v>443</v>
      </c>
      <c r="S40" s="19" t="s">
        <v>444</v>
      </c>
      <c r="T40" s="20">
        <v>45757.899826388893</v>
      </c>
      <c r="U40" s="19">
        <v>45782.527777777781</v>
      </c>
      <c r="V40" s="19" t="s">
        <v>157</v>
      </c>
      <c r="W40" s="19"/>
      <c r="X40" s="19" t="s">
        <v>301</v>
      </c>
      <c r="Y40" s="27" t="s">
        <v>54</v>
      </c>
      <c r="Z40" s="27" t="s">
        <v>445</v>
      </c>
      <c r="AA40" s="27" t="s">
        <v>446</v>
      </c>
      <c r="AB40" s="27" t="s">
        <v>447</v>
      </c>
      <c r="AC40" s="37" t="s">
        <v>448</v>
      </c>
      <c r="AD40" s="38" t="s">
        <v>449</v>
      </c>
      <c r="AE40" s="36">
        <v>45748</v>
      </c>
      <c r="AF40" s="19" t="s">
        <v>89</v>
      </c>
      <c r="AG40" s="19" t="s">
        <v>90</v>
      </c>
      <c r="AH40" s="19" t="s">
        <v>62</v>
      </c>
      <c r="AI40" s="19" t="s">
        <v>63</v>
      </c>
      <c r="AJ40" s="19" t="s">
        <v>450</v>
      </c>
      <c r="AK40" s="19"/>
      <c r="AL40" s="19"/>
      <c r="AM40" s="19"/>
      <c r="AN40" s="19" t="s">
        <v>166</v>
      </c>
      <c r="AO40" s="23">
        <v>45757.759722222218</v>
      </c>
      <c r="AP40" s="26">
        <f t="shared" si="1"/>
        <v>106</v>
      </c>
    </row>
    <row r="41" spans="1:42" ht="25.5" hidden="1" customHeight="1">
      <c r="A41" s="19" t="s">
        <v>42</v>
      </c>
      <c r="B41" s="19" t="s">
        <v>451</v>
      </c>
      <c r="C41" s="19" t="s">
        <v>452</v>
      </c>
      <c r="D41" s="19" t="s">
        <v>45</v>
      </c>
      <c r="E41" s="19" t="s">
        <v>46</v>
      </c>
      <c r="F41" s="19" t="s">
        <v>453</v>
      </c>
      <c r="G41" s="19" t="s">
        <v>48</v>
      </c>
      <c r="H41" s="19" t="s">
        <v>49</v>
      </c>
      <c r="I41" s="20">
        <v>45758.875</v>
      </c>
      <c r="K41" s="19"/>
      <c r="L41" s="20">
        <v>45759.606249999997</v>
      </c>
      <c r="M41" s="19"/>
      <c r="N41" s="22">
        <f t="shared" si="0"/>
        <v>0.73124999999708962</v>
      </c>
      <c r="O41" s="19" t="s">
        <v>50</v>
      </c>
      <c r="P41" s="19" t="s">
        <v>454</v>
      </c>
      <c r="Q41" s="19" t="s">
        <v>455</v>
      </c>
      <c r="R41" s="19" t="s">
        <v>456</v>
      </c>
      <c r="S41" s="19" t="s">
        <v>457</v>
      </c>
      <c r="T41" s="20">
        <v>45759.746527777781</v>
      </c>
      <c r="U41" s="19">
        <v>45765.432638888888</v>
      </c>
      <c r="V41" s="19" t="s">
        <v>157</v>
      </c>
      <c r="W41" s="19"/>
      <c r="X41" s="19" t="s">
        <v>122</v>
      </c>
      <c r="Y41" s="27" t="s">
        <v>147</v>
      </c>
      <c r="Z41" s="27" t="s">
        <v>78</v>
      </c>
      <c r="AA41" s="27" t="s">
        <v>78</v>
      </c>
      <c r="AB41" s="27" t="s">
        <v>78</v>
      </c>
      <c r="AC41" s="37" t="s">
        <v>229</v>
      </c>
      <c r="AD41" s="38" t="s">
        <v>78</v>
      </c>
      <c r="AE41" s="36">
        <v>45748</v>
      </c>
      <c r="AF41" s="19" t="s">
        <v>89</v>
      </c>
      <c r="AG41" s="19" t="s">
        <v>90</v>
      </c>
      <c r="AH41" s="19" t="s">
        <v>62</v>
      </c>
      <c r="AI41" s="19" t="s">
        <v>63</v>
      </c>
      <c r="AJ41" s="19" t="s">
        <v>458</v>
      </c>
      <c r="AK41" s="19"/>
      <c r="AL41" s="19"/>
      <c r="AM41" s="19"/>
      <c r="AN41" s="19" t="s">
        <v>65</v>
      </c>
      <c r="AO41" s="23">
        <v>45758.875</v>
      </c>
      <c r="AP41" s="26">
        <f t="shared" si="1"/>
        <v>1053</v>
      </c>
    </row>
    <row r="42" spans="1:42" ht="25.5" customHeight="1">
      <c r="A42" s="19" t="s">
        <v>42</v>
      </c>
      <c r="B42" s="19" t="s">
        <v>66</v>
      </c>
      <c r="C42" s="19" t="s">
        <v>142</v>
      </c>
      <c r="D42" s="19" t="s">
        <v>45</v>
      </c>
      <c r="E42" s="19" t="s">
        <v>46</v>
      </c>
      <c r="F42" s="19" t="s">
        <v>459</v>
      </c>
      <c r="G42" s="19" t="s">
        <v>48</v>
      </c>
      <c r="H42" s="19" t="s">
        <v>152</v>
      </c>
      <c r="I42" s="20">
        <v>45759.48333333333</v>
      </c>
      <c r="J42" s="20">
        <v>45759.5</v>
      </c>
      <c r="K42" s="19"/>
      <c r="L42" s="20">
        <v>45759.685416666667</v>
      </c>
      <c r="M42" s="19"/>
      <c r="N42" s="22">
        <f t="shared" si="0"/>
        <v>0.20208333333721384</v>
      </c>
      <c r="O42" s="19" t="s">
        <v>50</v>
      </c>
      <c r="P42" s="19" t="s">
        <v>460</v>
      </c>
      <c r="Q42" s="19" t="s">
        <v>461</v>
      </c>
      <c r="R42" s="19"/>
      <c r="S42" s="19"/>
      <c r="U42" s="19"/>
      <c r="W42" s="19"/>
      <c r="X42" s="19" t="s">
        <v>72</v>
      </c>
      <c r="Y42" s="27" t="s">
        <v>133</v>
      </c>
      <c r="Z42" s="27" t="s">
        <v>462</v>
      </c>
      <c r="AA42" s="27" t="s">
        <v>463</v>
      </c>
      <c r="AB42" s="27" t="s">
        <v>464</v>
      </c>
      <c r="AC42" s="37" t="s">
        <v>465</v>
      </c>
      <c r="AD42" s="38" t="s">
        <v>466</v>
      </c>
      <c r="AE42" s="36">
        <v>45748</v>
      </c>
      <c r="AF42" s="19" t="s">
        <v>60</v>
      </c>
      <c r="AG42" s="19" t="s">
        <v>61</v>
      </c>
      <c r="AH42" s="19" t="s">
        <v>62</v>
      </c>
      <c r="AI42" s="19" t="s">
        <v>63</v>
      </c>
      <c r="AJ42" s="19" t="s">
        <v>467</v>
      </c>
      <c r="AK42" s="19"/>
      <c r="AL42" s="19"/>
      <c r="AM42" s="19"/>
      <c r="AN42" s="19" t="s">
        <v>65</v>
      </c>
      <c r="AO42" s="23">
        <v>45759.55972222222</v>
      </c>
      <c r="AP42" s="26">
        <f t="shared" si="1"/>
        <v>291</v>
      </c>
    </row>
    <row r="43" spans="1:42" ht="25.5" hidden="1" customHeight="1">
      <c r="A43" s="19" t="s">
        <v>42</v>
      </c>
      <c r="B43" s="19" t="s">
        <v>451</v>
      </c>
      <c r="C43" s="19" t="s">
        <v>452</v>
      </c>
      <c r="D43" s="19" t="s">
        <v>45</v>
      </c>
      <c r="E43" s="19" t="s">
        <v>46</v>
      </c>
      <c r="F43" s="19" t="s">
        <v>453</v>
      </c>
      <c r="G43" s="19" t="s">
        <v>226</v>
      </c>
      <c r="H43" s="19" t="s">
        <v>49</v>
      </c>
      <c r="I43" s="20">
        <v>45759.706250000003</v>
      </c>
      <c r="K43" s="19"/>
      <c r="L43" s="20">
        <v>45759.736111111109</v>
      </c>
      <c r="M43" s="19"/>
      <c r="N43" s="22">
        <f t="shared" si="0"/>
        <v>2.9861111106583849E-2</v>
      </c>
      <c r="O43" s="19" t="s">
        <v>50</v>
      </c>
      <c r="P43" s="19" t="s">
        <v>454</v>
      </c>
      <c r="Q43" s="19" t="s">
        <v>468</v>
      </c>
      <c r="R43" s="19"/>
      <c r="S43" s="19"/>
      <c r="U43" s="19"/>
      <c r="W43" s="19"/>
      <c r="X43" s="19" t="s">
        <v>122</v>
      </c>
      <c r="Y43" s="27" t="s">
        <v>147</v>
      </c>
      <c r="Z43" s="27" t="s">
        <v>78</v>
      </c>
      <c r="AA43" s="27" t="s">
        <v>78</v>
      </c>
      <c r="AB43" s="27" t="s">
        <v>78</v>
      </c>
      <c r="AC43" s="37" t="s">
        <v>229</v>
      </c>
      <c r="AD43" s="38" t="s">
        <v>78</v>
      </c>
      <c r="AE43" s="36">
        <v>45748</v>
      </c>
      <c r="AF43" s="19" t="s">
        <v>89</v>
      </c>
      <c r="AG43" s="19" t="s">
        <v>90</v>
      </c>
      <c r="AH43" s="19" t="s">
        <v>62</v>
      </c>
      <c r="AI43" s="19" t="s">
        <v>50</v>
      </c>
      <c r="AJ43" s="19" t="s">
        <v>469</v>
      </c>
      <c r="AK43" s="19"/>
      <c r="AL43" s="19"/>
      <c r="AM43" s="19"/>
      <c r="AN43" s="19" t="s">
        <v>65</v>
      </c>
      <c r="AO43" s="23">
        <v>45759.706250000003</v>
      </c>
      <c r="AP43" s="26">
        <f t="shared" si="1"/>
        <v>43</v>
      </c>
    </row>
    <row r="44" spans="1:42" ht="25.5" hidden="1" customHeight="1">
      <c r="A44" s="19" t="s">
        <v>116</v>
      </c>
      <c r="B44" s="19" t="s">
        <v>470</v>
      </c>
      <c r="C44" s="19" t="s">
        <v>471</v>
      </c>
      <c r="D44" s="19" t="s">
        <v>45</v>
      </c>
      <c r="E44" s="19" t="s">
        <v>46</v>
      </c>
      <c r="F44" s="19" t="s">
        <v>472</v>
      </c>
      <c r="G44" s="19" t="s">
        <v>48</v>
      </c>
      <c r="H44" s="19" t="s">
        <v>49</v>
      </c>
      <c r="I44" s="20">
        <v>45759.763888888891</v>
      </c>
      <c r="K44" s="19"/>
      <c r="L44" s="20">
        <v>45759.826388888891</v>
      </c>
      <c r="M44" s="19"/>
      <c r="N44" s="22">
        <f t="shared" si="0"/>
        <v>6.25E-2</v>
      </c>
      <c r="O44" s="19" t="s">
        <v>50</v>
      </c>
      <c r="P44" s="19" t="s">
        <v>473</v>
      </c>
      <c r="Q44" s="19" t="s">
        <v>474</v>
      </c>
      <c r="R44" s="19"/>
      <c r="S44" s="19"/>
      <c r="U44" s="19"/>
      <c r="W44" s="19"/>
      <c r="X44" s="19" t="s">
        <v>475</v>
      </c>
      <c r="Y44" s="27" t="s">
        <v>54</v>
      </c>
      <c r="Z44" s="27" t="s">
        <v>55</v>
      </c>
      <c r="AA44" s="27" t="s">
        <v>476</v>
      </c>
      <c r="AB44" s="27" t="s">
        <v>477</v>
      </c>
      <c r="AC44" s="37" t="s">
        <v>478</v>
      </c>
      <c r="AD44" s="38" t="s">
        <v>479</v>
      </c>
      <c r="AE44" s="36">
        <v>45748</v>
      </c>
      <c r="AF44" s="19" t="s">
        <v>89</v>
      </c>
      <c r="AG44" s="19" t="s">
        <v>61</v>
      </c>
      <c r="AH44" s="19" t="s">
        <v>62</v>
      </c>
      <c r="AI44" s="19" t="s">
        <v>63</v>
      </c>
      <c r="AJ44" s="19" t="s">
        <v>480</v>
      </c>
      <c r="AK44" s="19"/>
      <c r="AL44" s="19"/>
      <c r="AM44" s="19"/>
      <c r="AN44" s="19" t="s">
        <v>103</v>
      </c>
      <c r="AO44" s="23">
        <v>45759.799305555563</v>
      </c>
      <c r="AP44" s="26">
        <f t="shared" si="1"/>
        <v>90</v>
      </c>
    </row>
    <row r="45" spans="1:42" ht="25.5" hidden="1" customHeight="1">
      <c r="A45" s="19" t="s">
        <v>42</v>
      </c>
      <c r="C45" s="19" t="s">
        <v>481</v>
      </c>
      <c r="D45" s="19" t="s">
        <v>45</v>
      </c>
      <c r="E45" s="19" t="s">
        <v>482</v>
      </c>
      <c r="F45" s="19" t="s">
        <v>483</v>
      </c>
      <c r="G45" s="19" t="s">
        <v>48</v>
      </c>
      <c r="H45" s="19" t="s">
        <v>49</v>
      </c>
      <c r="I45" s="20">
        <v>45760.458333333343</v>
      </c>
      <c r="K45" s="19"/>
      <c r="L45" s="20">
        <v>45760.587500000001</v>
      </c>
      <c r="M45" s="19"/>
      <c r="N45" s="22">
        <f t="shared" si="0"/>
        <v>0.12916666665842058</v>
      </c>
      <c r="O45" s="19" t="s">
        <v>63</v>
      </c>
      <c r="P45" s="19" t="s">
        <v>484</v>
      </c>
      <c r="Q45" s="19" t="s">
        <v>485</v>
      </c>
      <c r="R45" s="19"/>
      <c r="S45" s="19"/>
      <c r="U45" s="19"/>
      <c r="W45" s="19"/>
      <c r="X45" s="19" t="s">
        <v>72</v>
      </c>
      <c r="Y45" s="27" t="s">
        <v>147</v>
      </c>
      <c r="Z45" s="27" t="s">
        <v>78</v>
      </c>
      <c r="AA45" s="27" t="s">
        <v>78</v>
      </c>
      <c r="AB45" s="27" t="s">
        <v>78</v>
      </c>
      <c r="AC45" s="37" t="s">
        <v>229</v>
      </c>
      <c r="AD45" s="38" t="s">
        <v>78</v>
      </c>
      <c r="AE45" s="36">
        <v>45748</v>
      </c>
      <c r="AF45" s="19" t="s">
        <v>89</v>
      </c>
      <c r="AG45" s="19" t="s">
        <v>61</v>
      </c>
      <c r="AH45" s="19" t="s">
        <v>62</v>
      </c>
      <c r="AI45" s="19" t="s">
        <v>63</v>
      </c>
      <c r="AJ45" s="19" t="s">
        <v>486</v>
      </c>
      <c r="AK45" s="19"/>
      <c r="AL45" s="19"/>
      <c r="AM45" s="19"/>
      <c r="AN45" s="19" t="s">
        <v>65</v>
      </c>
      <c r="AO45" s="23">
        <v>45760.458333333343</v>
      </c>
      <c r="AP45" s="26">
        <f t="shared" si="1"/>
        <v>186</v>
      </c>
    </row>
    <row r="46" spans="1:42" ht="25.5" hidden="1" customHeight="1">
      <c r="A46" s="19" t="s">
        <v>42</v>
      </c>
      <c r="B46" s="19" t="s">
        <v>487</v>
      </c>
      <c r="C46" s="19" t="s">
        <v>488</v>
      </c>
      <c r="D46" s="19" t="s">
        <v>45</v>
      </c>
      <c r="E46" s="19" t="s">
        <v>46</v>
      </c>
      <c r="F46" s="19" t="s">
        <v>483</v>
      </c>
      <c r="G46" s="19" t="s">
        <v>48</v>
      </c>
      <c r="H46" s="19" t="s">
        <v>49</v>
      </c>
      <c r="I46" s="20">
        <v>45760.826388888891</v>
      </c>
      <c r="K46" s="19"/>
      <c r="L46" s="20">
        <v>45761.043749999997</v>
      </c>
      <c r="M46" s="19"/>
      <c r="N46" s="22">
        <f t="shared" si="0"/>
        <v>0.21736111110658385</v>
      </c>
      <c r="O46" s="19" t="s">
        <v>50</v>
      </c>
      <c r="P46" s="19" t="s">
        <v>489</v>
      </c>
      <c r="Q46" s="19" t="s">
        <v>490</v>
      </c>
      <c r="R46" s="19"/>
      <c r="S46" s="19"/>
      <c r="U46" s="19"/>
      <c r="W46" s="19"/>
      <c r="X46" s="19" t="s">
        <v>491</v>
      </c>
      <c r="Y46" s="27" t="s">
        <v>147</v>
      </c>
      <c r="Z46" s="27" t="s">
        <v>78</v>
      </c>
      <c r="AA46" s="27" t="s">
        <v>78</v>
      </c>
      <c r="AB46" s="27" t="s">
        <v>78</v>
      </c>
      <c r="AC46" s="37" t="s">
        <v>229</v>
      </c>
      <c r="AD46" s="38" t="s">
        <v>78</v>
      </c>
      <c r="AE46" s="36">
        <v>45748</v>
      </c>
      <c r="AF46" s="19" t="s">
        <v>99</v>
      </c>
      <c r="AG46" s="19" t="s">
        <v>100</v>
      </c>
      <c r="AH46" s="19" t="s">
        <v>62</v>
      </c>
      <c r="AI46" s="19" t="s">
        <v>63</v>
      </c>
      <c r="AJ46" s="19" t="s">
        <v>492</v>
      </c>
      <c r="AK46" s="19" t="s">
        <v>493</v>
      </c>
      <c r="AL46" s="19"/>
      <c r="AM46" s="19"/>
      <c r="AN46" s="19" t="s">
        <v>65</v>
      </c>
      <c r="AO46" s="23">
        <v>45760.826388888891</v>
      </c>
      <c r="AP46" s="26">
        <f t="shared" si="1"/>
        <v>313</v>
      </c>
    </row>
    <row r="47" spans="1:42" ht="25.5" hidden="1" customHeight="1">
      <c r="A47" s="19" t="s">
        <v>285</v>
      </c>
      <c r="B47" s="19" t="s">
        <v>494</v>
      </c>
      <c r="C47" s="19" t="s">
        <v>168</v>
      </c>
      <c r="D47" s="19" t="s">
        <v>45</v>
      </c>
      <c r="E47" s="19" t="s">
        <v>46</v>
      </c>
      <c r="F47" s="19" t="s">
        <v>495</v>
      </c>
      <c r="G47" s="19" t="s">
        <v>48</v>
      </c>
      <c r="H47" s="19" t="s">
        <v>49</v>
      </c>
      <c r="I47" s="20">
        <v>45761.385416666657</v>
      </c>
      <c r="K47" s="19"/>
      <c r="L47" s="20">
        <v>45761.444444444453</v>
      </c>
      <c r="M47" s="19"/>
      <c r="N47" s="22">
        <f t="shared" si="0"/>
        <v>5.9027777795563452E-2</v>
      </c>
      <c r="O47" s="19" t="s">
        <v>50</v>
      </c>
      <c r="P47" s="19" t="s">
        <v>496</v>
      </c>
      <c r="Q47" s="19" t="s">
        <v>497</v>
      </c>
      <c r="R47" s="19"/>
      <c r="S47" s="19"/>
      <c r="U47" s="19"/>
      <c r="W47" s="19"/>
      <c r="X47" s="19" t="s">
        <v>122</v>
      </c>
      <c r="Y47" s="27" t="s">
        <v>54</v>
      </c>
      <c r="Z47" s="27" t="s">
        <v>498</v>
      </c>
      <c r="AA47" s="27" t="s">
        <v>499</v>
      </c>
      <c r="AB47" s="27" t="s">
        <v>500</v>
      </c>
      <c r="AC47" s="37" t="s">
        <v>501</v>
      </c>
      <c r="AD47" s="38" t="s">
        <v>502</v>
      </c>
      <c r="AE47" s="36">
        <v>45748</v>
      </c>
      <c r="AF47" s="19" t="s">
        <v>89</v>
      </c>
      <c r="AG47" s="19" t="s">
        <v>90</v>
      </c>
      <c r="AH47" s="19" t="s">
        <v>62</v>
      </c>
      <c r="AI47" s="19" t="s">
        <v>63</v>
      </c>
      <c r="AJ47" s="19" t="s">
        <v>503</v>
      </c>
      <c r="AK47" s="19"/>
      <c r="AL47" s="19"/>
      <c r="AM47" s="19"/>
      <c r="AN47" s="19" t="s">
        <v>65</v>
      </c>
      <c r="AO47" s="23">
        <v>45761.385416666657</v>
      </c>
      <c r="AP47" s="26">
        <f t="shared" si="1"/>
        <v>85</v>
      </c>
    </row>
    <row r="48" spans="1:42" ht="25.5" hidden="1" customHeight="1">
      <c r="A48" s="19" t="s">
        <v>42</v>
      </c>
      <c r="B48" s="19" t="s">
        <v>504</v>
      </c>
      <c r="C48" s="19" t="s">
        <v>505</v>
      </c>
      <c r="D48" s="19" t="s">
        <v>45</v>
      </c>
      <c r="E48" s="19" t="s">
        <v>46</v>
      </c>
      <c r="F48" s="19" t="s">
        <v>506</v>
      </c>
      <c r="G48" s="19" t="s">
        <v>48</v>
      </c>
      <c r="H48" s="19" t="s">
        <v>49</v>
      </c>
      <c r="I48" s="20">
        <v>45761.428472222222</v>
      </c>
      <c r="K48" s="19"/>
      <c r="L48" s="20">
        <v>45762.84375</v>
      </c>
      <c r="M48" s="19"/>
      <c r="N48" s="22">
        <f t="shared" si="0"/>
        <v>1.4152777777781012</v>
      </c>
      <c r="O48" s="19" t="s">
        <v>50</v>
      </c>
      <c r="P48" s="19" t="s">
        <v>507</v>
      </c>
      <c r="Q48" s="19" t="s">
        <v>508</v>
      </c>
      <c r="R48" s="19"/>
      <c r="S48" s="19"/>
      <c r="U48" s="19"/>
      <c r="W48" s="19"/>
      <c r="X48" s="19" t="s">
        <v>509</v>
      </c>
      <c r="Y48" s="27" t="s">
        <v>133</v>
      </c>
      <c r="Z48" s="27" t="s">
        <v>209</v>
      </c>
      <c r="AA48" s="27" t="s">
        <v>510</v>
      </c>
      <c r="AB48" s="27" t="s">
        <v>511</v>
      </c>
      <c r="AC48" s="37" t="s">
        <v>512</v>
      </c>
      <c r="AD48" s="38" t="s">
        <v>513</v>
      </c>
      <c r="AE48" s="36">
        <v>45748</v>
      </c>
      <c r="AF48" s="19" t="s">
        <v>293</v>
      </c>
      <c r="AG48" s="19" t="s">
        <v>307</v>
      </c>
      <c r="AH48" s="19" t="s">
        <v>164</v>
      </c>
      <c r="AI48" s="19" t="s">
        <v>63</v>
      </c>
      <c r="AJ48" s="19" t="s">
        <v>514</v>
      </c>
      <c r="AK48" s="19"/>
      <c r="AL48" s="19"/>
      <c r="AM48" s="19"/>
      <c r="AN48" s="19" t="s">
        <v>65</v>
      </c>
      <c r="AO48" s="23">
        <v>45761.428472222222</v>
      </c>
      <c r="AP48" s="26">
        <f t="shared" si="1"/>
        <v>598</v>
      </c>
    </row>
    <row r="49" spans="1:42" ht="25.5" hidden="1" customHeight="1">
      <c r="A49" s="19" t="s">
        <v>42</v>
      </c>
      <c r="B49" s="19" t="s">
        <v>186</v>
      </c>
      <c r="C49" s="19" t="s">
        <v>187</v>
      </c>
      <c r="D49" s="19" t="s">
        <v>45</v>
      </c>
      <c r="E49" s="19" t="s">
        <v>225</v>
      </c>
      <c r="F49" s="19" t="s">
        <v>515</v>
      </c>
      <c r="G49" s="19" t="s">
        <v>48</v>
      </c>
      <c r="H49" s="19" t="s">
        <v>49</v>
      </c>
      <c r="I49" s="20">
        <v>45762.418749999997</v>
      </c>
      <c r="K49" s="19"/>
      <c r="L49" s="20">
        <v>45762.491666666669</v>
      </c>
      <c r="M49" s="19"/>
      <c r="N49" s="22">
        <f t="shared" si="0"/>
        <v>7.2916666671517305E-2</v>
      </c>
      <c r="O49" s="19" t="s">
        <v>63</v>
      </c>
      <c r="P49" s="19" t="s">
        <v>516</v>
      </c>
      <c r="Q49" s="19" t="s">
        <v>517</v>
      </c>
      <c r="R49" s="19"/>
      <c r="S49" s="19"/>
      <c r="U49" s="19"/>
      <c r="W49" s="19"/>
      <c r="X49" s="19" t="s">
        <v>191</v>
      </c>
      <c r="Y49" s="27" t="s">
        <v>147</v>
      </c>
      <c r="Z49" s="27" t="s">
        <v>78</v>
      </c>
      <c r="AA49" s="27" t="s">
        <v>78</v>
      </c>
      <c r="AB49" s="27" t="s">
        <v>78</v>
      </c>
      <c r="AC49" s="37" t="s">
        <v>78</v>
      </c>
      <c r="AD49" s="38" t="s">
        <v>78</v>
      </c>
      <c r="AE49" s="36">
        <v>45748</v>
      </c>
      <c r="AF49" s="19" t="s">
        <v>78</v>
      </c>
      <c r="AG49" s="19" t="s">
        <v>78</v>
      </c>
      <c r="AH49" s="19" t="s">
        <v>78</v>
      </c>
      <c r="AI49" s="19" t="s">
        <v>63</v>
      </c>
      <c r="AJ49" s="19" t="s">
        <v>518</v>
      </c>
      <c r="AK49" s="19"/>
      <c r="AL49" s="19"/>
      <c r="AM49" s="19"/>
      <c r="AN49" s="19" t="s">
        <v>65</v>
      </c>
      <c r="AO49" s="23">
        <v>45762.418749999997</v>
      </c>
      <c r="AP49" s="26">
        <f t="shared" si="1"/>
        <v>105</v>
      </c>
    </row>
    <row r="50" spans="1:42" ht="25.5" hidden="1" customHeight="1">
      <c r="A50" s="19" t="s">
        <v>42</v>
      </c>
      <c r="B50" s="19" t="s">
        <v>43</v>
      </c>
      <c r="C50" s="19" t="s">
        <v>519</v>
      </c>
      <c r="D50" s="19" t="s">
        <v>45</v>
      </c>
      <c r="E50" s="19" t="s">
        <v>46</v>
      </c>
      <c r="F50" s="19" t="s">
        <v>520</v>
      </c>
      <c r="G50" s="19" t="s">
        <v>48</v>
      </c>
      <c r="H50" s="19" t="s">
        <v>49</v>
      </c>
      <c r="I50" s="20">
        <v>45762.513888888891</v>
      </c>
      <c r="K50" s="19"/>
      <c r="L50" s="20">
        <v>45762.78125</v>
      </c>
      <c r="M50" s="19"/>
      <c r="N50" s="22">
        <f t="shared" si="0"/>
        <v>0.26736111110949423</v>
      </c>
      <c r="O50" s="19" t="s">
        <v>50</v>
      </c>
      <c r="P50" s="19" t="s">
        <v>521</v>
      </c>
      <c r="Q50" s="19" t="s">
        <v>522</v>
      </c>
      <c r="R50" s="19"/>
      <c r="S50" s="19"/>
      <c r="U50" s="19"/>
      <c r="W50" s="19"/>
      <c r="X50" s="19" t="s">
        <v>523</v>
      </c>
      <c r="Y50" s="27" t="s">
        <v>54</v>
      </c>
      <c r="Z50" s="27" t="s">
        <v>414</v>
      </c>
      <c r="AA50" s="27" t="s">
        <v>524</v>
      </c>
      <c r="AB50" s="27" t="s">
        <v>525</v>
      </c>
      <c r="AC50" s="37">
        <v>45762.518750000003</v>
      </c>
      <c r="AD50" s="38">
        <v>45762.543055555558</v>
      </c>
      <c r="AE50" s="36">
        <v>45748</v>
      </c>
      <c r="AF50" s="19" t="s">
        <v>60</v>
      </c>
      <c r="AG50" s="19" t="s">
        <v>78</v>
      </c>
      <c r="AH50" s="19" t="s">
        <v>78</v>
      </c>
      <c r="AI50" s="19" t="s">
        <v>63</v>
      </c>
      <c r="AJ50" s="19" t="s">
        <v>526</v>
      </c>
      <c r="AK50" s="19"/>
      <c r="AL50" s="19"/>
      <c r="AM50" s="19"/>
      <c r="AN50" s="19" t="s">
        <v>103</v>
      </c>
      <c r="AO50" s="23">
        <v>45762.513888888891</v>
      </c>
      <c r="AP50" s="26">
        <f t="shared" si="1"/>
        <v>385</v>
      </c>
    </row>
    <row r="51" spans="1:42" ht="25.5" hidden="1" customHeight="1">
      <c r="A51" s="19" t="s">
        <v>42</v>
      </c>
      <c r="B51" s="19" t="s">
        <v>186</v>
      </c>
      <c r="C51" s="19" t="s">
        <v>187</v>
      </c>
      <c r="D51" s="19" t="s">
        <v>45</v>
      </c>
      <c r="E51" s="19" t="s">
        <v>225</v>
      </c>
      <c r="F51" s="19" t="s">
        <v>515</v>
      </c>
      <c r="G51" s="19" t="s">
        <v>226</v>
      </c>
      <c r="H51" s="19" t="s">
        <v>49</v>
      </c>
      <c r="I51" s="20">
        <v>45762.709027777782</v>
      </c>
      <c r="K51" s="19"/>
      <c r="L51" s="20">
        <v>45763.415277777778</v>
      </c>
      <c r="M51" s="19"/>
      <c r="N51" s="22">
        <f t="shared" si="0"/>
        <v>0.70624999999563443</v>
      </c>
      <c r="O51" s="19" t="s">
        <v>63</v>
      </c>
      <c r="P51" s="19" t="s">
        <v>527</v>
      </c>
      <c r="Q51" s="19" t="s">
        <v>528</v>
      </c>
      <c r="R51" s="19"/>
      <c r="S51" s="19"/>
      <c r="U51" s="19"/>
      <c r="W51" s="19"/>
      <c r="X51" s="19" t="s">
        <v>191</v>
      </c>
      <c r="Y51" s="27" t="s">
        <v>147</v>
      </c>
      <c r="Z51" s="27" t="s">
        <v>78</v>
      </c>
      <c r="AA51" s="27" t="s">
        <v>78</v>
      </c>
      <c r="AB51" s="27" t="s">
        <v>78</v>
      </c>
      <c r="AC51" s="37" t="s">
        <v>78</v>
      </c>
      <c r="AD51" s="38" t="s">
        <v>78</v>
      </c>
      <c r="AE51" s="36">
        <v>45748</v>
      </c>
      <c r="AF51" s="19" t="s">
        <v>60</v>
      </c>
      <c r="AG51" s="19" t="s">
        <v>61</v>
      </c>
      <c r="AH51" s="19" t="s">
        <v>62</v>
      </c>
      <c r="AI51" s="19" t="s">
        <v>50</v>
      </c>
      <c r="AJ51" s="19" t="s">
        <v>529</v>
      </c>
      <c r="AK51" s="19" t="s">
        <v>530</v>
      </c>
      <c r="AL51" s="19"/>
      <c r="AM51" s="19"/>
      <c r="AN51" s="19" t="s">
        <v>65</v>
      </c>
      <c r="AO51" s="23">
        <v>45762.709027777782</v>
      </c>
      <c r="AP51" s="26">
        <f t="shared" si="1"/>
        <v>1017</v>
      </c>
    </row>
    <row r="52" spans="1:42" ht="25.5" hidden="1" customHeight="1">
      <c r="A52" s="19" t="s">
        <v>42</v>
      </c>
      <c r="B52" s="19" t="s">
        <v>470</v>
      </c>
      <c r="C52" s="19" t="s">
        <v>531</v>
      </c>
      <c r="D52" s="19" t="s">
        <v>45</v>
      </c>
      <c r="E52" s="19" t="s">
        <v>46</v>
      </c>
      <c r="F52" s="19" t="s">
        <v>532</v>
      </c>
      <c r="G52" s="19" t="s">
        <v>48</v>
      </c>
      <c r="H52" s="19" t="s">
        <v>49</v>
      </c>
      <c r="I52" s="20">
        <v>45764.248611111107</v>
      </c>
      <c r="K52" s="19"/>
      <c r="L52" s="20">
        <v>45764.390972222223</v>
      </c>
      <c r="M52" s="19"/>
      <c r="N52" s="22">
        <f t="shared" si="0"/>
        <v>0.14236111111677019</v>
      </c>
      <c r="O52" s="19" t="s">
        <v>50</v>
      </c>
      <c r="P52" s="19" t="s">
        <v>533</v>
      </c>
      <c r="Q52" s="19" t="s">
        <v>534</v>
      </c>
      <c r="R52" s="19" t="s">
        <v>535</v>
      </c>
      <c r="S52" s="19" t="s">
        <v>536</v>
      </c>
      <c r="T52" s="20">
        <v>45770.662638888891</v>
      </c>
      <c r="U52" s="19">
        <v>45770.675000000003</v>
      </c>
      <c r="V52" s="19" t="s">
        <v>157</v>
      </c>
      <c r="W52" s="19"/>
      <c r="X52" s="19" t="s">
        <v>537</v>
      </c>
      <c r="Y52" s="27" t="s">
        <v>54</v>
      </c>
      <c r="Z52" s="27" t="s">
        <v>414</v>
      </c>
      <c r="AA52" s="27" t="s">
        <v>538</v>
      </c>
      <c r="AB52" s="27" t="s">
        <v>539</v>
      </c>
      <c r="AC52" s="37">
        <v>45764.298611111109</v>
      </c>
      <c r="AD52" s="38">
        <v>45764.395833333343</v>
      </c>
      <c r="AE52" s="36">
        <v>45748</v>
      </c>
      <c r="AF52" s="19" t="s">
        <v>89</v>
      </c>
      <c r="AG52" s="19" t="s">
        <v>90</v>
      </c>
      <c r="AH52" s="19" t="s">
        <v>62</v>
      </c>
      <c r="AI52" s="19" t="s">
        <v>63</v>
      </c>
      <c r="AJ52" s="19" t="s">
        <v>540</v>
      </c>
      <c r="AK52" s="19"/>
      <c r="AL52" s="19"/>
      <c r="AM52" s="19"/>
      <c r="AN52" s="19" t="s">
        <v>103</v>
      </c>
      <c r="AO52" s="23">
        <v>45764.248611111107</v>
      </c>
      <c r="AP52" s="26">
        <f t="shared" si="1"/>
        <v>205</v>
      </c>
    </row>
    <row r="53" spans="1:42" ht="25.5" hidden="1" customHeight="1">
      <c r="A53" s="19" t="s">
        <v>42</v>
      </c>
      <c r="B53" s="19" t="s">
        <v>541</v>
      </c>
      <c r="C53" s="19" t="s">
        <v>452</v>
      </c>
      <c r="D53" s="19" t="s">
        <v>45</v>
      </c>
      <c r="E53" s="19" t="s">
        <v>46</v>
      </c>
      <c r="F53" s="19" t="s">
        <v>542</v>
      </c>
      <c r="G53" s="19" t="s">
        <v>48</v>
      </c>
      <c r="H53" s="19" t="s">
        <v>49</v>
      </c>
      <c r="I53" s="20">
        <v>45764.46875</v>
      </c>
      <c r="K53" s="19"/>
      <c r="L53" s="20">
        <v>45764.833333333343</v>
      </c>
      <c r="M53" s="19"/>
      <c r="N53" s="22">
        <f t="shared" si="0"/>
        <v>0.36458333334303461</v>
      </c>
      <c r="O53" s="19" t="s">
        <v>50</v>
      </c>
      <c r="P53" s="19" t="s">
        <v>454</v>
      </c>
      <c r="Q53" s="19" t="s">
        <v>543</v>
      </c>
      <c r="R53" s="19"/>
      <c r="S53" s="19"/>
      <c r="U53" s="19"/>
      <c r="W53" s="19"/>
      <c r="X53" s="19" t="s">
        <v>122</v>
      </c>
      <c r="Y53" s="27" t="s">
        <v>147</v>
      </c>
      <c r="Z53" s="27" t="s">
        <v>78</v>
      </c>
      <c r="AA53" s="27" t="s">
        <v>78</v>
      </c>
      <c r="AB53" s="27" t="s">
        <v>78</v>
      </c>
      <c r="AC53" s="37" t="s">
        <v>78</v>
      </c>
      <c r="AD53" s="38" t="s">
        <v>229</v>
      </c>
      <c r="AE53" s="36">
        <v>45748</v>
      </c>
      <c r="AF53" s="19" t="s">
        <v>89</v>
      </c>
      <c r="AG53" s="19" t="s">
        <v>90</v>
      </c>
      <c r="AH53" s="19" t="s">
        <v>62</v>
      </c>
      <c r="AI53" s="19" t="s">
        <v>50</v>
      </c>
      <c r="AJ53" s="19" t="s">
        <v>544</v>
      </c>
      <c r="AK53" s="19"/>
      <c r="AL53" s="19"/>
      <c r="AM53" s="19"/>
      <c r="AN53" s="19" t="s">
        <v>65</v>
      </c>
      <c r="AO53" s="23">
        <v>45764.46875</v>
      </c>
      <c r="AP53" s="26">
        <f t="shared" si="1"/>
        <v>525</v>
      </c>
    </row>
    <row r="54" spans="1:42" ht="25.5" customHeight="1">
      <c r="A54" s="19" t="s">
        <v>42</v>
      </c>
      <c r="B54" s="19" t="s">
        <v>545</v>
      </c>
      <c r="C54" s="19" t="s">
        <v>546</v>
      </c>
      <c r="D54" s="19" t="s">
        <v>45</v>
      </c>
      <c r="E54" s="19" t="s">
        <v>46</v>
      </c>
      <c r="F54" s="19" t="s">
        <v>547</v>
      </c>
      <c r="G54" s="19" t="s">
        <v>48</v>
      </c>
      <c r="H54" s="19" t="s">
        <v>152</v>
      </c>
      <c r="I54" s="20">
        <v>45764.520138888889</v>
      </c>
      <c r="J54" s="20">
        <v>45764.552083333343</v>
      </c>
      <c r="K54" s="19"/>
      <c r="L54" s="20">
        <v>45764.567361111112</v>
      </c>
      <c r="M54" s="19"/>
      <c r="N54" s="22">
        <f t="shared" si="0"/>
        <v>4.7222222223354038E-2</v>
      </c>
      <c r="O54" s="19" t="s">
        <v>50</v>
      </c>
      <c r="P54" s="19" t="s">
        <v>548</v>
      </c>
      <c r="Q54" s="19" t="s">
        <v>549</v>
      </c>
      <c r="R54" s="19" t="s">
        <v>550</v>
      </c>
      <c r="S54" s="19" t="s">
        <v>551</v>
      </c>
      <c r="T54" s="20">
        <v>45764.632314814808</v>
      </c>
      <c r="U54" s="19">
        <v>45770.661111111112</v>
      </c>
      <c r="V54" s="19" t="s">
        <v>157</v>
      </c>
      <c r="W54" s="19"/>
      <c r="X54" s="19" t="s">
        <v>109</v>
      </c>
      <c r="Y54" s="27" t="s">
        <v>54</v>
      </c>
      <c r="Z54" s="27" t="s">
        <v>361</v>
      </c>
      <c r="AA54" s="27" t="s">
        <v>552</v>
      </c>
      <c r="AB54" s="27" t="s">
        <v>553</v>
      </c>
      <c r="AC54" s="37" t="s">
        <v>554</v>
      </c>
      <c r="AD54" s="38" t="s">
        <v>555</v>
      </c>
      <c r="AE54" s="36">
        <v>45748</v>
      </c>
      <c r="AF54" s="19" t="s">
        <v>293</v>
      </c>
      <c r="AG54" s="19" t="s">
        <v>556</v>
      </c>
      <c r="AH54" s="19" t="s">
        <v>62</v>
      </c>
      <c r="AI54" s="19" t="s">
        <v>63</v>
      </c>
      <c r="AJ54" s="19" t="s">
        <v>557</v>
      </c>
      <c r="AK54" s="19"/>
      <c r="AL54" s="19"/>
      <c r="AM54" s="19"/>
      <c r="AN54" s="19" t="s">
        <v>128</v>
      </c>
      <c r="AO54" s="23">
        <v>45764.520138888889</v>
      </c>
      <c r="AP54" s="26">
        <f t="shared" si="1"/>
        <v>68</v>
      </c>
    </row>
    <row r="55" spans="1:42" ht="25.5" hidden="1" customHeight="1">
      <c r="A55" s="19" t="s">
        <v>42</v>
      </c>
      <c r="B55" s="19" t="s">
        <v>558</v>
      </c>
      <c r="C55" s="19" t="s">
        <v>559</v>
      </c>
      <c r="D55" s="19" t="s">
        <v>45</v>
      </c>
      <c r="E55" s="19" t="s">
        <v>46</v>
      </c>
      <c r="F55" s="19" t="s">
        <v>560</v>
      </c>
      <c r="G55" s="19" t="s">
        <v>48</v>
      </c>
      <c r="H55" s="19" t="s">
        <v>49</v>
      </c>
      <c r="I55" s="20">
        <v>45764.545138888891</v>
      </c>
      <c r="K55" s="19"/>
      <c r="L55" s="20">
        <v>45764.576388888891</v>
      </c>
      <c r="M55" s="19"/>
      <c r="N55" s="22">
        <f t="shared" si="0"/>
        <v>3.125E-2</v>
      </c>
      <c r="O55" s="19" t="s">
        <v>50</v>
      </c>
      <c r="P55" s="19" t="s">
        <v>561</v>
      </c>
      <c r="Q55" s="19" t="s">
        <v>562</v>
      </c>
      <c r="R55" s="19"/>
      <c r="S55" s="19"/>
      <c r="U55" s="19"/>
      <c r="W55" s="19"/>
      <c r="X55" s="19" t="s">
        <v>537</v>
      </c>
      <c r="Y55" s="27" t="s">
        <v>54</v>
      </c>
      <c r="Z55" s="27" t="s">
        <v>563</v>
      </c>
      <c r="AA55" s="27" t="s">
        <v>564</v>
      </c>
      <c r="AB55" s="27" t="s">
        <v>565</v>
      </c>
      <c r="AC55" s="37" t="s">
        <v>566</v>
      </c>
      <c r="AD55" s="38" t="s">
        <v>567</v>
      </c>
      <c r="AE55" s="36">
        <v>45748</v>
      </c>
      <c r="AF55" s="19" t="s">
        <v>89</v>
      </c>
      <c r="AG55" s="19" t="s">
        <v>90</v>
      </c>
      <c r="AH55" s="19" t="s">
        <v>62</v>
      </c>
      <c r="AI55" s="19" t="s">
        <v>63</v>
      </c>
      <c r="AJ55" s="19" t="s">
        <v>568</v>
      </c>
      <c r="AK55" s="19"/>
      <c r="AL55" s="19"/>
      <c r="AM55" s="19"/>
      <c r="AN55" s="19" t="s">
        <v>103</v>
      </c>
      <c r="AO55" s="23">
        <v>45764.545138888891</v>
      </c>
      <c r="AP55" s="26">
        <f t="shared" si="1"/>
        <v>45</v>
      </c>
    </row>
    <row r="56" spans="1:42" ht="25.5" hidden="1" customHeight="1">
      <c r="A56" s="19" t="s">
        <v>42</v>
      </c>
      <c r="C56" s="19" t="s">
        <v>430</v>
      </c>
      <c r="D56" s="19" t="s">
        <v>45</v>
      </c>
      <c r="E56" s="19" t="s">
        <v>46</v>
      </c>
      <c r="F56" s="19" t="s">
        <v>569</v>
      </c>
      <c r="G56" s="19" t="s">
        <v>48</v>
      </c>
      <c r="H56" s="19" t="s">
        <v>49</v>
      </c>
      <c r="I56" s="20">
        <v>45764.864583333343</v>
      </c>
      <c r="K56" s="19"/>
      <c r="L56" s="20">
        <v>45764.881944444453</v>
      </c>
      <c r="M56" s="19"/>
      <c r="N56" s="22">
        <f t="shared" si="0"/>
        <v>1.7361111109494232E-2</v>
      </c>
      <c r="O56" s="19" t="s">
        <v>50</v>
      </c>
      <c r="P56" s="19" t="s">
        <v>570</v>
      </c>
      <c r="Q56" s="19" t="s">
        <v>571</v>
      </c>
      <c r="R56" s="19"/>
      <c r="S56" s="19"/>
      <c r="U56" s="19"/>
      <c r="W56" s="19"/>
      <c r="X56" s="19" t="s">
        <v>434</v>
      </c>
      <c r="Y56" s="27" t="s">
        <v>54</v>
      </c>
      <c r="Z56" s="27" t="s">
        <v>123</v>
      </c>
      <c r="AA56" s="27" t="s">
        <v>572</v>
      </c>
      <c r="AB56" s="27" t="s">
        <v>573</v>
      </c>
      <c r="AC56" s="37" t="s">
        <v>574</v>
      </c>
      <c r="AD56" s="38" t="s">
        <v>575</v>
      </c>
      <c r="AE56" s="36">
        <v>45748</v>
      </c>
      <c r="AF56" s="19" t="s">
        <v>89</v>
      </c>
      <c r="AG56" s="19" t="s">
        <v>90</v>
      </c>
      <c r="AH56" s="19" t="s">
        <v>62</v>
      </c>
      <c r="AI56" s="19" t="s">
        <v>63</v>
      </c>
      <c r="AJ56" s="19" t="s">
        <v>576</v>
      </c>
      <c r="AK56" s="19"/>
      <c r="AL56" s="19"/>
      <c r="AM56" s="19"/>
      <c r="AN56" s="19" t="s">
        <v>65</v>
      </c>
      <c r="AO56" s="23">
        <v>45764.875694444447</v>
      </c>
      <c r="AP56" s="26">
        <f t="shared" si="1"/>
        <v>25</v>
      </c>
    </row>
    <row r="57" spans="1:42" ht="25.5" hidden="1" customHeight="1">
      <c r="A57" s="19" t="s">
        <v>42</v>
      </c>
      <c r="B57" s="19" t="s">
        <v>186</v>
      </c>
      <c r="C57" s="19" t="s">
        <v>577</v>
      </c>
      <c r="D57" s="19" t="s">
        <v>45</v>
      </c>
      <c r="E57" s="19" t="s">
        <v>46</v>
      </c>
      <c r="F57" s="19" t="s">
        <v>578</v>
      </c>
      <c r="G57" s="19" t="s">
        <v>48</v>
      </c>
      <c r="H57" s="19" t="s">
        <v>49</v>
      </c>
      <c r="I57" s="20">
        <v>45764.879861111112</v>
      </c>
      <c r="K57" s="19"/>
      <c r="L57" s="20">
        <v>45764.989583333343</v>
      </c>
      <c r="M57" s="19"/>
      <c r="N57" s="22">
        <f t="shared" si="0"/>
        <v>0.10972222223063</v>
      </c>
      <c r="O57" s="19" t="s">
        <v>63</v>
      </c>
      <c r="P57" s="19" t="s">
        <v>579</v>
      </c>
      <c r="Q57" s="19" t="s">
        <v>580</v>
      </c>
      <c r="R57" s="19"/>
      <c r="S57" s="19"/>
      <c r="U57" s="19"/>
      <c r="W57" s="19"/>
      <c r="X57" s="19" t="s">
        <v>191</v>
      </c>
      <c r="Y57" s="27" t="s">
        <v>147</v>
      </c>
      <c r="Z57" s="27" t="s">
        <v>78</v>
      </c>
      <c r="AA57" s="27" t="s">
        <v>78</v>
      </c>
      <c r="AB57" s="27" t="s">
        <v>78</v>
      </c>
      <c r="AC57" s="37" t="s">
        <v>78</v>
      </c>
      <c r="AD57" s="38" t="s">
        <v>229</v>
      </c>
      <c r="AE57" s="36">
        <v>45748</v>
      </c>
      <c r="AF57" s="19" t="s">
        <v>89</v>
      </c>
      <c r="AG57" s="19" t="s">
        <v>90</v>
      </c>
      <c r="AH57" s="19" t="s">
        <v>62</v>
      </c>
      <c r="AI57" s="19" t="s">
        <v>63</v>
      </c>
      <c r="AJ57" s="19" t="s">
        <v>581</v>
      </c>
      <c r="AK57" s="19"/>
      <c r="AL57" s="19"/>
      <c r="AM57" s="19"/>
      <c r="AN57" s="19" t="s">
        <v>65</v>
      </c>
      <c r="AO57" s="23">
        <v>45764.879861111112</v>
      </c>
      <c r="AP57" s="26">
        <f t="shared" si="1"/>
        <v>158</v>
      </c>
    </row>
    <row r="58" spans="1:42" ht="25.5" hidden="1" customHeight="1">
      <c r="A58" s="19" t="s">
        <v>42</v>
      </c>
      <c r="B58" s="19" t="s">
        <v>93</v>
      </c>
      <c r="C58" s="19" t="s">
        <v>336</v>
      </c>
      <c r="D58" s="19" t="s">
        <v>45</v>
      </c>
      <c r="E58" s="19" t="s">
        <v>46</v>
      </c>
      <c r="F58" s="19" t="s">
        <v>582</v>
      </c>
      <c r="G58" s="19" t="s">
        <v>48</v>
      </c>
      <c r="H58" s="19" t="s">
        <v>49</v>
      </c>
      <c r="I58" s="20">
        <v>45765.329861111109</v>
      </c>
      <c r="K58" s="19"/>
      <c r="L58" s="20">
        <v>45765.476388888892</v>
      </c>
      <c r="M58" s="19"/>
      <c r="N58" s="22">
        <f t="shared" si="0"/>
        <v>0.14652777778246673</v>
      </c>
      <c r="O58" s="19" t="s">
        <v>50</v>
      </c>
      <c r="P58" s="19" t="s">
        <v>583</v>
      </c>
      <c r="Q58" s="19" t="s">
        <v>584</v>
      </c>
      <c r="R58" s="19"/>
      <c r="S58" s="19"/>
      <c r="U58" s="19"/>
      <c r="W58" s="19"/>
      <c r="X58" s="19" t="s">
        <v>314</v>
      </c>
      <c r="Y58" s="27" t="s">
        <v>147</v>
      </c>
      <c r="Z58" s="27" t="s">
        <v>78</v>
      </c>
      <c r="AA58" s="27" t="s">
        <v>78</v>
      </c>
      <c r="AB58" s="27" t="s">
        <v>78</v>
      </c>
      <c r="AC58" s="37" t="s">
        <v>78</v>
      </c>
      <c r="AD58" s="38" t="s">
        <v>229</v>
      </c>
      <c r="AE58" s="36">
        <v>45748</v>
      </c>
      <c r="AF58" s="19" t="s">
        <v>99</v>
      </c>
      <c r="AG58" s="19" t="s">
        <v>100</v>
      </c>
      <c r="AH58" s="19" t="s">
        <v>62</v>
      </c>
      <c r="AI58" s="19" t="s">
        <v>63</v>
      </c>
      <c r="AJ58" s="19" t="s">
        <v>585</v>
      </c>
      <c r="AK58" s="19" t="s">
        <v>586</v>
      </c>
      <c r="AL58" s="19"/>
      <c r="AM58" s="19"/>
      <c r="AN58" s="19" t="s">
        <v>103</v>
      </c>
      <c r="AO58" s="23">
        <v>45765.329861111109</v>
      </c>
      <c r="AP58" s="26">
        <f t="shared" si="1"/>
        <v>211</v>
      </c>
    </row>
    <row r="59" spans="1:42" ht="25.5" hidden="1" customHeight="1">
      <c r="A59" s="19" t="s">
        <v>42</v>
      </c>
      <c r="B59" s="19" t="s">
        <v>541</v>
      </c>
      <c r="C59" s="19" t="s">
        <v>452</v>
      </c>
      <c r="D59" s="19" t="s">
        <v>45</v>
      </c>
      <c r="E59" s="19" t="s">
        <v>46</v>
      </c>
      <c r="F59" s="19" t="s">
        <v>587</v>
      </c>
      <c r="G59" s="19" t="s">
        <v>48</v>
      </c>
      <c r="H59" s="19" t="s">
        <v>49</v>
      </c>
      <c r="I59" s="20">
        <v>45765.350694444453</v>
      </c>
      <c r="K59" s="19"/>
      <c r="L59" s="20">
        <v>45765.355555555558</v>
      </c>
      <c r="M59" s="19"/>
      <c r="N59" s="22">
        <f t="shared" si="0"/>
        <v>4.8611111051286571E-3</v>
      </c>
      <c r="O59" s="19" t="s">
        <v>50</v>
      </c>
      <c r="P59" s="19" t="s">
        <v>454</v>
      </c>
      <c r="Q59" s="19" t="s">
        <v>588</v>
      </c>
      <c r="R59" s="19"/>
      <c r="S59" s="19"/>
      <c r="U59" s="19"/>
      <c r="W59" s="19"/>
      <c r="X59" s="19" t="s">
        <v>122</v>
      </c>
      <c r="Y59" s="27" t="s">
        <v>147</v>
      </c>
      <c r="Z59" s="27" t="s">
        <v>78</v>
      </c>
      <c r="AA59" s="27" t="s">
        <v>78</v>
      </c>
      <c r="AB59" s="27" t="s">
        <v>78</v>
      </c>
      <c r="AC59" s="37" t="s">
        <v>78</v>
      </c>
      <c r="AD59" s="38" t="s">
        <v>229</v>
      </c>
      <c r="AE59" s="36">
        <v>45748</v>
      </c>
      <c r="AF59" s="19" t="s">
        <v>78</v>
      </c>
      <c r="AG59" s="19" t="s">
        <v>78</v>
      </c>
      <c r="AH59" s="19" t="s">
        <v>78</v>
      </c>
      <c r="AI59" s="19" t="s">
        <v>50</v>
      </c>
      <c r="AJ59" s="19" t="s">
        <v>589</v>
      </c>
      <c r="AK59" s="19"/>
      <c r="AL59" s="19"/>
      <c r="AM59" s="19"/>
      <c r="AN59" s="19" t="s">
        <v>65</v>
      </c>
      <c r="AO59" s="23">
        <v>45765.350694444453</v>
      </c>
      <c r="AP59" s="26">
        <f t="shared" si="1"/>
        <v>7</v>
      </c>
    </row>
    <row r="60" spans="1:42" ht="25.5" hidden="1" customHeight="1">
      <c r="A60" s="19" t="s">
        <v>42</v>
      </c>
      <c r="C60" s="19" t="s">
        <v>590</v>
      </c>
      <c r="D60" s="19" t="s">
        <v>45</v>
      </c>
      <c r="E60" s="19" t="s">
        <v>46</v>
      </c>
      <c r="F60" s="19" t="s">
        <v>591</v>
      </c>
      <c r="G60" s="19" t="s">
        <v>48</v>
      </c>
      <c r="H60" s="19" t="s">
        <v>49</v>
      </c>
      <c r="I60" s="20">
        <v>45765.397916666669</v>
      </c>
      <c r="K60" s="19"/>
      <c r="L60" s="20">
        <v>45765.541666666657</v>
      </c>
      <c r="M60" s="19"/>
      <c r="N60" s="22">
        <f t="shared" si="0"/>
        <v>0.14374999998835847</v>
      </c>
      <c r="O60" s="19" t="s">
        <v>50</v>
      </c>
      <c r="P60" s="19" t="s">
        <v>592</v>
      </c>
      <c r="Q60" s="19" t="s">
        <v>593</v>
      </c>
      <c r="R60" s="19"/>
      <c r="S60" s="19"/>
      <c r="U60" s="19"/>
      <c r="W60" s="19"/>
      <c r="X60" s="19" t="s">
        <v>122</v>
      </c>
      <c r="Y60" s="27" t="s">
        <v>147</v>
      </c>
      <c r="Z60" s="27" t="s">
        <v>78</v>
      </c>
      <c r="AA60" s="27" t="s">
        <v>78</v>
      </c>
      <c r="AB60" s="27" t="s">
        <v>78</v>
      </c>
      <c r="AC60" s="37" t="s">
        <v>78</v>
      </c>
      <c r="AD60" s="38" t="s">
        <v>229</v>
      </c>
      <c r="AE60" s="36">
        <v>45748</v>
      </c>
      <c r="AF60" s="19" t="s">
        <v>60</v>
      </c>
      <c r="AG60" s="19" t="s">
        <v>61</v>
      </c>
      <c r="AH60" s="19" t="s">
        <v>62</v>
      </c>
      <c r="AI60" s="19" t="s">
        <v>63</v>
      </c>
      <c r="AJ60" s="19" t="s">
        <v>594</v>
      </c>
      <c r="AK60" s="19"/>
      <c r="AL60" s="19"/>
      <c r="AM60" s="19"/>
      <c r="AN60" s="19" t="s">
        <v>65</v>
      </c>
      <c r="AO60" s="23">
        <v>45765.397916666669</v>
      </c>
      <c r="AP60" s="26">
        <f t="shared" si="1"/>
        <v>207</v>
      </c>
    </row>
    <row r="61" spans="1:42" ht="25.5" hidden="1" customHeight="1">
      <c r="A61" s="19" t="s">
        <v>42</v>
      </c>
      <c r="B61" s="19" t="s">
        <v>186</v>
      </c>
      <c r="C61" s="19" t="s">
        <v>577</v>
      </c>
      <c r="D61" s="19" t="s">
        <v>45</v>
      </c>
      <c r="E61" s="19" t="s">
        <v>46</v>
      </c>
      <c r="F61" s="19" t="s">
        <v>595</v>
      </c>
      <c r="G61" s="19" t="s">
        <v>48</v>
      </c>
      <c r="H61" s="19" t="s">
        <v>49</v>
      </c>
      <c r="I61" s="20">
        <v>45765.445833333331</v>
      </c>
      <c r="K61" s="19"/>
      <c r="L61" s="20">
        <v>45765.543055555558</v>
      </c>
      <c r="M61" s="19"/>
      <c r="N61" s="22">
        <f t="shared" si="0"/>
        <v>9.7222222226264421E-2</v>
      </c>
      <c r="O61" s="19" t="s">
        <v>63</v>
      </c>
      <c r="P61" s="19" t="s">
        <v>596</v>
      </c>
      <c r="Q61" s="19" t="s">
        <v>597</v>
      </c>
      <c r="R61" s="19"/>
      <c r="S61" s="19"/>
      <c r="U61" s="19"/>
      <c r="W61" s="19"/>
      <c r="X61" s="19" t="s">
        <v>191</v>
      </c>
      <c r="Y61" s="27" t="s">
        <v>147</v>
      </c>
      <c r="Z61" s="27" t="s">
        <v>78</v>
      </c>
      <c r="AA61" s="27" t="s">
        <v>78</v>
      </c>
      <c r="AB61" s="27" t="s">
        <v>78</v>
      </c>
      <c r="AC61" s="37" t="s">
        <v>78</v>
      </c>
      <c r="AD61" s="38" t="s">
        <v>229</v>
      </c>
      <c r="AE61" s="36">
        <v>45748</v>
      </c>
      <c r="AF61" s="19" t="s">
        <v>89</v>
      </c>
      <c r="AG61" s="19" t="s">
        <v>90</v>
      </c>
      <c r="AH61" s="19" t="s">
        <v>62</v>
      </c>
      <c r="AI61" s="19" t="s">
        <v>50</v>
      </c>
      <c r="AJ61" s="19" t="s">
        <v>598</v>
      </c>
      <c r="AK61" s="19"/>
      <c r="AL61" s="19"/>
      <c r="AM61" s="19"/>
      <c r="AN61" s="19" t="s">
        <v>65</v>
      </c>
      <c r="AO61" s="23">
        <v>45765.445833333331</v>
      </c>
      <c r="AP61" s="26">
        <f t="shared" si="1"/>
        <v>140</v>
      </c>
    </row>
    <row r="62" spans="1:42" ht="25.5" hidden="1" customHeight="1">
      <c r="A62" s="19" t="s">
        <v>116</v>
      </c>
      <c r="B62" s="19" t="s">
        <v>599</v>
      </c>
      <c r="C62" s="19" t="s">
        <v>232</v>
      </c>
      <c r="D62" s="19" t="s">
        <v>45</v>
      </c>
      <c r="E62" s="19" t="s">
        <v>46</v>
      </c>
      <c r="F62" s="19" t="s">
        <v>600</v>
      </c>
      <c r="G62" s="19" t="s">
        <v>48</v>
      </c>
      <c r="H62" s="19" t="s">
        <v>49</v>
      </c>
      <c r="I62" s="20">
        <v>45765.771527777782</v>
      </c>
      <c r="K62" s="19"/>
      <c r="L62" s="20">
        <v>45765.781944444447</v>
      </c>
      <c r="M62" s="19"/>
      <c r="N62" s="22">
        <f t="shared" si="0"/>
        <v>1.0416666664241347E-2</v>
      </c>
      <c r="O62" s="19" t="s">
        <v>50</v>
      </c>
      <c r="P62" s="19" t="s">
        <v>601</v>
      </c>
      <c r="Q62" s="19" t="s">
        <v>602</v>
      </c>
      <c r="R62" s="19"/>
      <c r="S62" s="19"/>
      <c r="U62" s="19"/>
      <c r="W62" s="19"/>
      <c r="X62" s="19" t="s">
        <v>236</v>
      </c>
      <c r="Y62" s="27" t="s">
        <v>54</v>
      </c>
      <c r="Z62" s="27" t="s">
        <v>123</v>
      </c>
      <c r="AA62" s="27" t="s">
        <v>603</v>
      </c>
      <c r="AB62" s="27" t="s">
        <v>604</v>
      </c>
      <c r="AC62" s="37" t="s">
        <v>605</v>
      </c>
      <c r="AD62" s="38" t="s">
        <v>606</v>
      </c>
      <c r="AE62" s="36">
        <v>45748</v>
      </c>
      <c r="AF62" s="19" t="s">
        <v>293</v>
      </c>
      <c r="AG62" s="19" t="s">
        <v>294</v>
      </c>
      <c r="AH62" s="19" t="s">
        <v>62</v>
      </c>
      <c r="AI62" s="19" t="s">
        <v>63</v>
      </c>
      <c r="AJ62" s="19" t="s">
        <v>607</v>
      </c>
      <c r="AK62" s="19"/>
      <c r="AL62" s="19"/>
      <c r="AM62" s="19"/>
      <c r="AN62" s="19" t="s">
        <v>65</v>
      </c>
      <c r="AO62" s="23">
        <v>45765.771527777782</v>
      </c>
      <c r="AP62" s="26">
        <f t="shared" si="1"/>
        <v>15</v>
      </c>
    </row>
    <row r="63" spans="1:42" ht="25.5" hidden="1" customHeight="1">
      <c r="A63" s="19" t="s">
        <v>42</v>
      </c>
      <c r="C63" s="19" t="s">
        <v>105</v>
      </c>
      <c r="D63" s="19" t="s">
        <v>45</v>
      </c>
      <c r="E63" s="19" t="s">
        <v>46</v>
      </c>
      <c r="F63" s="19" t="s">
        <v>608</v>
      </c>
      <c r="G63" s="19" t="s">
        <v>48</v>
      </c>
      <c r="H63" s="19" t="s">
        <v>49</v>
      </c>
      <c r="I63" s="20">
        <v>45766.449305555558</v>
      </c>
      <c r="K63" s="19"/>
      <c r="L63" s="20">
        <v>45766.577777777777</v>
      </c>
      <c r="M63" s="19"/>
      <c r="N63" s="22">
        <f t="shared" si="0"/>
        <v>0.12847222221898846</v>
      </c>
      <c r="O63" s="19" t="s">
        <v>50</v>
      </c>
      <c r="P63" s="19" t="s">
        <v>609</v>
      </c>
      <c r="Q63" s="19" t="s">
        <v>610</v>
      </c>
      <c r="R63" s="19"/>
      <c r="S63" s="19"/>
      <c r="U63" s="19"/>
      <c r="W63" s="19"/>
      <c r="X63" s="19" t="s">
        <v>109</v>
      </c>
      <c r="Y63" s="27" t="s">
        <v>147</v>
      </c>
      <c r="Z63" s="27" t="s">
        <v>78</v>
      </c>
      <c r="AA63" s="27" t="s">
        <v>78</v>
      </c>
      <c r="AB63" s="27" t="s">
        <v>78</v>
      </c>
      <c r="AC63" s="37" t="s">
        <v>78</v>
      </c>
      <c r="AD63" s="38" t="s">
        <v>78</v>
      </c>
      <c r="AE63" s="36">
        <v>45748</v>
      </c>
      <c r="AF63" s="19" t="s">
        <v>89</v>
      </c>
      <c r="AG63" s="19" t="s">
        <v>90</v>
      </c>
      <c r="AH63" s="19" t="s">
        <v>62</v>
      </c>
      <c r="AI63" s="19" t="s">
        <v>63</v>
      </c>
      <c r="AJ63" s="19" t="s">
        <v>611</v>
      </c>
      <c r="AK63" s="19"/>
      <c r="AL63" s="19"/>
      <c r="AM63" s="19"/>
      <c r="AN63" s="19" t="s">
        <v>103</v>
      </c>
      <c r="AO63" s="23">
        <v>45766.449305555558</v>
      </c>
      <c r="AP63" s="26">
        <f t="shared" si="1"/>
        <v>185</v>
      </c>
    </row>
    <row r="64" spans="1:42" ht="25.5" hidden="1" customHeight="1">
      <c r="A64" s="19" t="s">
        <v>42</v>
      </c>
      <c r="C64" s="19" t="s">
        <v>378</v>
      </c>
      <c r="D64" s="19" t="s">
        <v>45</v>
      </c>
      <c r="E64" s="19" t="s">
        <v>46</v>
      </c>
      <c r="F64" s="19" t="s">
        <v>612</v>
      </c>
      <c r="G64" s="19" t="s">
        <v>48</v>
      </c>
      <c r="H64" s="19" t="s">
        <v>49</v>
      </c>
      <c r="I64" s="20">
        <v>45766.486111111109</v>
      </c>
      <c r="K64" s="19"/>
      <c r="L64" s="20">
        <v>45766.576388888891</v>
      </c>
      <c r="M64" s="19"/>
      <c r="N64" s="22">
        <f t="shared" si="0"/>
        <v>9.0277777781011537E-2</v>
      </c>
      <c r="O64" s="19" t="s">
        <v>63</v>
      </c>
      <c r="P64" s="19" t="s">
        <v>613</v>
      </c>
      <c r="Q64" s="19" t="s">
        <v>614</v>
      </c>
      <c r="R64" s="19"/>
      <c r="S64" s="19"/>
      <c r="U64" s="19"/>
      <c r="W64" s="19"/>
      <c r="X64" s="19" t="s">
        <v>72</v>
      </c>
      <c r="Y64" s="27" t="s">
        <v>147</v>
      </c>
      <c r="Z64" s="27" t="s">
        <v>78</v>
      </c>
      <c r="AA64" s="27" t="s">
        <v>78</v>
      </c>
      <c r="AB64" s="27" t="s">
        <v>78</v>
      </c>
      <c r="AC64" s="37" t="s">
        <v>78</v>
      </c>
      <c r="AD64" s="38" t="s">
        <v>78</v>
      </c>
      <c r="AE64" s="36">
        <v>45748</v>
      </c>
      <c r="AF64" s="19" t="s">
        <v>89</v>
      </c>
      <c r="AG64" s="19" t="s">
        <v>90</v>
      </c>
      <c r="AH64" s="19" t="s">
        <v>62</v>
      </c>
      <c r="AI64" s="19" t="s">
        <v>63</v>
      </c>
      <c r="AJ64" s="19" t="s">
        <v>615</v>
      </c>
      <c r="AK64" s="19"/>
      <c r="AL64" s="19"/>
      <c r="AM64" s="19"/>
      <c r="AN64" s="19" t="s">
        <v>65</v>
      </c>
      <c r="AO64" s="23">
        <v>45766.486111111109</v>
      </c>
      <c r="AP64" s="26">
        <f t="shared" si="1"/>
        <v>130</v>
      </c>
    </row>
    <row r="65" spans="1:42" ht="25.5" hidden="1" customHeight="1">
      <c r="A65" s="19" t="s">
        <v>42</v>
      </c>
      <c r="B65" s="19" t="s">
        <v>202</v>
      </c>
      <c r="C65" s="19" t="s">
        <v>616</v>
      </c>
      <c r="D65" s="19" t="s">
        <v>45</v>
      </c>
      <c r="E65" s="19" t="s">
        <v>46</v>
      </c>
      <c r="F65" s="19" t="s">
        <v>617</v>
      </c>
      <c r="G65" s="19" t="s">
        <v>48</v>
      </c>
      <c r="H65" s="19" t="s">
        <v>49</v>
      </c>
      <c r="I65" s="20">
        <v>45768.665277777778</v>
      </c>
      <c r="K65" s="19"/>
      <c r="L65" s="20">
        <v>45768.953472222223</v>
      </c>
      <c r="M65" s="19"/>
      <c r="N65" s="22">
        <f t="shared" si="0"/>
        <v>0.28819444444525288</v>
      </c>
      <c r="O65" s="19" t="s">
        <v>63</v>
      </c>
      <c r="P65" s="19" t="s">
        <v>618</v>
      </c>
      <c r="Q65" s="19" t="s">
        <v>619</v>
      </c>
      <c r="R65" s="19"/>
      <c r="S65" s="19"/>
      <c r="U65" s="19"/>
      <c r="W65" s="19"/>
      <c r="X65" s="19" t="s">
        <v>620</v>
      </c>
      <c r="Y65" s="27" t="s">
        <v>147</v>
      </c>
      <c r="Z65" s="27" t="s">
        <v>78</v>
      </c>
      <c r="AA65" s="27" t="s">
        <v>78</v>
      </c>
      <c r="AB65" s="27" t="s">
        <v>78</v>
      </c>
      <c r="AC65" s="37" t="s">
        <v>78</v>
      </c>
      <c r="AD65" s="38" t="s">
        <v>78</v>
      </c>
      <c r="AE65" s="36">
        <v>45748</v>
      </c>
      <c r="AF65" s="19" t="s">
        <v>89</v>
      </c>
      <c r="AG65" s="19" t="s">
        <v>90</v>
      </c>
      <c r="AH65" s="19" t="s">
        <v>62</v>
      </c>
      <c r="AI65" s="19" t="s">
        <v>63</v>
      </c>
      <c r="AJ65" s="19" t="s">
        <v>621</v>
      </c>
      <c r="AK65" s="19"/>
      <c r="AL65" s="19"/>
      <c r="AM65" s="19"/>
      <c r="AN65" s="19" t="s">
        <v>622</v>
      </c>
      <c r="AO65" s="23">
        <v>45768.665277777778</v>
      </c>
      <c r="AP65" s="26">
        <f t="shared" si="1"/>
        <v>415</v>
      </c>
    </row>
    <row r="66" spans="1:42" ht="25.5" hidden="1" customHeight="1">
      <c r="A66" s="19" t="s">
        <v>116</v>
      </c>
      <c r="B66" s="19" t="s">
        <v>93</v>
      </c>
      <c r="C66" s="19" t="s">
        <v>559</v>
      </c>
      <c r="D66" s="19" t="s">
        <v>45</v>
      </c>
      <c r="E66" s="19" t="s">
        <v>225</v>
      </c>
      <c r="F66" s="19" t="s">
        <v>623</v>
      </c>
      <c r="G66" s="19" t="s">
        <v>48</v>
      </c>
      <c r="H66" s="19" t="s">
        <v>49</v>
      </c>
      <c r="I66" s="20">
        <v>45769.529166666667</v>
      </c>
      <c r="K66" s="19"/>
      <c r="L66" s="20">
        <v>45769.816666666673</v>
      </c>
      <c r="M66" s="19"/>
      <c r="N66" s="22">
        <f t="shared" ref="N66:N129" si="2">L66-I66</f>
        <v>0.28750000000582077</v>
      </c>
      <c r="O66" s="19" t="s">
        <v>50</v>
      </c>
      <c r="P66" s="19" t="s">
        <v>624</v>
      </c>
      <c r="Q66" s="19" t="s">
        <v>625</v>
      </c>
      <c r="R66" s="19"/>
      <c r="S66" s="19"/>
      <c r="U66" s="19"/>
      <c r="W66" s="19"/>
      <c r="X66" s="19" t="s">
        <v>626</v>
      </c>
      <c r="Y66" s="27" t="s">
        <v>54</v>
      </c>
      <c r="Z66" s="27" t="s">
        <v>209</v>
      </c>
      <c r="AA66" s="27" t="s">
        <v>627</v>
      </c>
      <c r="AB66" s="27" t="s">
        <v>628</v>
      </c>
      <c r="AC66" s="37">
        <v>45769.51666666667</v>
      </c>
      <c r="AD66" s="38">
        <v>45769.612500000003</v>
      </c>
      <c r="AE66" s="36">
        <v>45748</v>
      </c>
      <c r="AF66" s="19" t="s">
        <v>89</v>
      </c>
      <c r="AG66" s="19" t="s">
        <v>90</v>
      </c>
      <c r="AH66" s="19" t="s">
        <v>62</v>
      </c>
      <c r="AI66" s="19" t="s">
        <v>63</v>
      </c>
      <c r="AJ66" s="19" t="s">
        <v>629</v>
      </c>
      <c r="AK66" s="19"/>
      <c r="AL66" s="19"/>
      <c r="AM66" s="19"/>
      <c r="AN66" s="19" t="s">
        <v>128</v>
      </c>
      <c r="AO66" s="23">
        <v>45769.529166666667</v>
      </c>
      <c r="AP66" s="26">
        <f t="shared" ref="AP66:AP129" si="3">((HOUR(N66)*60)+MINUTE(N66)+(SECOND(N66)/60))</f>
        <v>414</v>
      </c>
    </row>
    <row r="67" spans="1:42" ht="25.5" hidden="1" customHeight="1">
      <c r="A67" s="19" t="s">
        <v>42</v>
      </c>
      <c r="B67" s="19" t="s">
        <v>630</v>
      </c>
      <c r="C67" s="19" t="s">
        <v>105</v>
      </c>
      <c r="D67" s="19" t="s">
        <v>45</v>
      </c>
      <c r="E67" s="19" t="s">
        <v>46</v>
      </c>
      <c r="F67" s="19" t="s">
        <v>631</v>
      </c>
      <c r="G67" s="19" t="s">
        <v>48</v>
      </c>
      <c r="H67" s="19" t="s">
        <v>49</v>
      </c>
      <c r="I67" s="20">
        <v>45769.577777777777</v>
      </c>
      <c r="K67" s="19"/>
      <c r="L67" s="20">
        <v>45769.611111111109</v>
      </c>
      <c r="M67" s="19"/>
      <c r="N67" s="22">
        <f t="shared" si="2"/>
        <v>3.3333333332848269E-2</v>
      </c>
      <c r="O67" s="19" t="s">
        <v>50</v>
      </c>
      <c r="P67" s="19" t="s">
        <v>632</v>
      </c>
      <c r="Q67" s="19" t="s">
        <v>633</v>
      </c>
      <c r="R67" s="19"/>
      <c r="S67" s="19"/>
      <c r="U67" s="19"/>
      <c r="W67" s="19"/>
      <c r="X67" s="19" t="s">
        <v>109</v>
      </c>
      <c r="Y67" s="27" t="s">
        <v>147</v>
      </c>
      <c r="Z67" s="27" t="s">
        <v>78</v>
      </c>
      <c r="AA67" s="27" t="s">
        <v>78</v>
      </c>
      <c r="AB67" s="27" t="s">
        <v>78</v>
      </c>
      <c r="AC67" s="37" t="s">
        <v>78</v>
      </c>
      <c r="AD67" s="38" t="s">
        <v>229</v>
      </c>
      <c r="AE67" s="36">
        <v>45748</v>
      </c>
      <c r="AF67" s="19" t="s">
        <v>99</v>
      </c>
      <c r="AG67" s="19" t="s">
        <v>100</v>
      </c>
      <c r="AH67" s="19" t="s">
        <v>62</v>
      </c>
      <c r="AI67" s="19" t="s">
        <v>63</v>
      </c>
      <c r="AJ67" s="19" t="s">
        <v>634</v>
      </c>
      <c r="AK67" s="19" t="s">
        <v>635</v>
      </c>
      <c r="AL67" s="19"/>
      <c r="AM67" s="19"/>
      <c r="AN67" s="19" t="s">
        <v>166</v>
      </c>
      <c r="AO67" s="23">
        <v>45769.577777777777</v>
      </c>
      <c r="AP67" s="26">
        <f t="shared" si="3"/>
        <v>48</v>
      </c>
    </row>
    <row r="68" spans="1:42" ht="25.5" customHeight="1">
      <c r="A68" s="19" t="s">
        <v>42</v>
      </c>
      <c r="B68" s="19" t="s">
        <v>66</v>
      </c>
      <c r="C68" s="19" t="s">
        <v>636</v>
      </c>
      <c r="D68" s="19" t="s">
        <v>45</v>
      </c>
      <c r="E68" s="19" t="s">
        <v>46</v>
      </c>
      <c r="F68" s="19" t="s">
        <v>637</v>
      </c>
      <c r="G68" s="19" t="s">
        <v>48</v>
      </c>
      <c r="H68" s="19" t="s">
        <v>69</v>
      </c>
      <c r="I68" s="20">
        <v>45770.738194444442</v>
      </c>
      <c r="K68" s="19">
        <v>45770.739583333343</v>
      </c>
      <c r="L68" s="20">
        <v>45770.750694444447</v>
      </c>
      <c r="M68" s="19"/>
      <c r="N68" s="22">
        <f t="shared" si="2"/>
        <v>1.2500000004365575E-2</v>
      </c>
      <c r="O68" s="19" t="s">
        <v>50</v>
      </c>
      <c r="P68" s="19" t="s">
        <v>638</v>
      </c>
      <c r="Q68" s="19" t="s">
        <v>639</v>
      </c>
      <c r="R68" s="19"/>
      <c r="S68" s="19"/>
      <c r="U68" s="19"/>
      <c r="W68" s="19"/>
      <c r="X68" s="19" t="s">
        <v>72</v>
      </c>
      <c r="Y68" s="27" t="s">
        <v>54</v>
      </c>
      <c r="Z68" s="27" t="s">
        <v>123</v>
      </c>
      <c r="AA68" s="27" t="s">
        <v>640</v>
      </c>
      <c r="AB68" s="27" t="s">
        <v>641</v>
      </c>
      <c r="AC68" s="37">
        <v>45770.75277777778</v>
      </c>
      <c r="AD68" s="38">
        <v>45770.759722222218</v>
      </c>
      <c r="AE68" s="36">
        <v>45748</v>
      </c>
      <c r="AF68" s="19" t="s">
        <v>89</v>
      </c>
      <c r="AG68" s="19" t="s">
        <v>90</v>
      </c>
      <c r="AH68" s="19" t="s">
        <v>62</v>
      </c>
      <c r="AI68" s="19" t="s">
        <v>63</v>
      </c>
      <c r="AJ68" s="19" t="s">
        <v>642</v>
      </c>
      <c r="AK68" s="19"/>
      <c r="AL68" s="19"/>
      <c r="AM68" s="19"/>
      <c r="AN68" s="19" t="s">
        <v>65</v>
      </c>
      <c r="AO68" s="23">
        <v>45770.738194444442</v>
      </c>
      <c r="AP68" s="26">
        <f t="shared" si="3"/>
        <v>18</v>
      </c>
    </row>
    <row r="69" spans="1:42" ht="25.5" customHeight="1">
      <c r="A69" s="19" t="s">
        <v>42</v>
      </c>
      <c r="B69" s="19" t="s">
        <v>643</v>
      </c>
      <c r="C69" s="19" t="s">
        <v>644</v>
      </c>
      <c r="D69" s="19" t="s">
        <v>45</v>
      </c>
      <c r="E69" s="19" t="s">
        <v>46</v>
      </c>
      <c r="F69" s="19" t="s">
        <v>645</v>
      </c>
      <c r="G69" s="19" t="s">
        <v>48</v>
      </c>
      <c r="H69" s="19" t="s">
        <v>152</v>
      </c>
      <c r="I69" s="20">
        <v>45770.740972222222</v>
      </c>
      <c r="J69" s="20">
        <v>45770.77847222222</v>
      </c>
      <c r="K69" s="19"/>
      <c r="L69" s="20">
        <v>45770.79583333333</v>
      </c>
      <c r="M69" s="19"/>
      <c r="N69" s="22">
        <f t="shared" si="2"/>
        <v>5.486111110803904E-2</v>
      </c>
      <c r="O69" s="19" t="s">
        <v>50</v>
      </c>
      <c r="P69" s="19" t="s">
        <v>646</v>
      </c>
      <c r="Q69" s="19" t="s">
        <v>647</v>
      </c>
      <c r="R69" s="19" t="s">
        <v>648</v>
      </c>
      <c r="S69" s="19" t="s">
        <v>649</v>
      </c>
      <c r="T69" s="20">
        <v>45770.852083333331</v>
      </c>
      <c r="U69" s="19">
        <v>45775.645138888889</v>
      </c>
      <c r="V69" s="19" t="s">
        <v>157</v>
      </c>
      <c r="W69" s="19"/>
      <c r="X69" s="19" t="s">
        <v>650</v>
      </c>
      <c r="Y69" s="27" t="s">
        <v>54</v>
      </c>
      <c r="Z69" s="27" t="s">
        <v>651</v>
      </c>
      <c r="AA69" s="27" t="s">
        <v>652</v>
      </c>
      <c r="AB69" s="27" t="s">
        <v>653</v>
      </c>
      <c r="AC69" s="37" t="s">
        <v>654</v>
      </c>
      <c r="AD69" s="38" t="s">
        <v>655</v>
      </c>
      <c r="AE69" s="36">
        <v>45748</v>
      </c>
      <c r="AF69" s="19" t="s">
        <v>89</v>
      </c>
      <c r="AG69" s="19" t="s">
        <v>656</v>
      </c>
      <c r="AH69" s="19" t="s">
        <v>62</v>
      </c>
      <c r="AI69" s="19" t="s">
        <v>63</v>
      </c>
      <c r="AJ69" s="19" t="s">
        <v>657</v>
      </c>
      <c r="AK69" s="19"/>
      <c r="AL69" s="19"/>
      <c r="AM69" s="19"/>
      <c r="AN69" s="19" t="s">
        <v>166</v>
      </c>
      <c r="AO69" s="23">
        <v>45770.740972222222</v>
      </c>
      <c r="AP69" s="26">
        <f t="shared" si="3"/>
        <v>79</v>
      </c>
    </row>
    <row r="70" spans="1:42" ht="25.5" hidden="1" customHeight="1">
      <c r="A70" s="19" t="s">
        <v>42</v>
      </c>
      <c r="C70" s="19" t="s">
        <v>658</v>
      </c>
      <c r="D70" s="19" t="s">
        <v>45</v>
      </c>
      <c r="E70" s="19" t="s">
        <v>46</v>
      </c>
      <c r="F70" s="19" t="s">
        <v>659</v>
      </c>
      <c r="G70" s="19" t="s">
        <v>48</v>
      </c>
      <c r="H70" s="19" t="s">
        <v>49</v>
      </c>
      <c r="I70" s="20">
        <v>45770.90347222222</v>
      </c>
      <c r="K70" s="19"/>
      <c r="L70" s="20">
        <v>45770.9375</v>
      </c>
      <c r="M70" s="19"/>
      <c r="N70" s="22">
        <f t="shared" si="2"/>
        <v>3.4027777779556345E-2</v>
      </c>
      <c r="O70" s="19" t="s">
        <v>63</v>
      </c>
      <c r="P70" s="19" t="s">
        <v>660</v>
      </c>
      <c r="Q70" s="19" t="s">
        <v>661</v>
      </c>
      <c r="R70" s="19"/>
      <c r="S70" s="19"/>
      <c r="U70" s="19"/>
      <c r="W70" s="19"/>
      <c r="X70" s="19" t="s">
        <v>662</v>
      </c>
      <c r="Y70" s="27" t="s">
        <v>147</v>
      </c>
      <c r="Z70" s="27" t="s">
        <v>78</v>
      </c>
      <c r="AA70" s="27" t="s">
        <v>78</v>
      </c>
      <c r="AB70" s="27" t="s">
        <v>78</v>
      </c>
      <c r="AC70" s="37" t="s">
        <v>78</v>
      </c>
      <c r="AD70" s="38" t="s">
        <v>78</v>
      </c>
      <c r="AE70" s="36">
        <v>45748</v>
      </c>
      <c r="AF70" s="19" t="s">
        <v>89</v>
      </c>
      <c r="AG70" s="19" t="s">
        <v>90</v>
      </c>
      <c r="AH70" s="19" t="s">
        <v>62</v>
      </c>
      <c r="AI70" s="19" t="s">
        <v>63</v>
      </c>
      <c r="AJ70" s="19" t="s">
        <v>663</v>
      </c>
      <c r="AK70" s="19"/>
      <c r="AL70" s="19"/>
      <c r="AM70" s="19"/>
      <c r="AN70" s="19" t="s">
        <v>65</v>
      </c>
      <c r="AO70" s="23">
        <v>45770.90347222222</v>
      </c>
      <c r="AP70" s="26">
        <f t="shared" si="3"/>
        <v>49</v>
      </c>
    </row>
    <row r="71" spans="1:42" ht="25.5" customHeight="1">
      <c r="A71" s="19" t="s">
        <v>42</v>
      </c>
      <c r="C71" s="19" t="s">
        <v>664</v>
      </c>
      <c r="D71" s="19" t="s">
        <v>45</v>
      </c>
      <c r="E71" s="19" t="s">
        <v>46</v>
      </c>
      <c r="F71" s="19" t="s">
        <v>665</v>
      </c>
      <c r="G71" s="19" t="s">
        <v>48</v>
      </c>
      <c r="H71" s="19" t="s">
        <v>152</v>
      </c>
      <c r="I71" s="20">
        <v>45770.969444444447</v>
      </c>
      <c r="J71" s="20">
        <v>45770.972222222219</v>
      </c>
      <c r="K71" s="19"/>
      <c r="L71" s="20">
        <v>45771.017361111109</v>
      </c>
      <c r="M71" s="19"/>
      <c r="N71" s="22">
        <f t="shared" si="2"/>
        <v>4.7916666662786156E-2</v>
      </c>
      <c r="O71" s="19" t="s">
        <v>63</v>
      </c>
      <c r="P71" s="19" t="s">
        <v>666</v>
      </c>
      <c r="Q71" s="19" t="s">
        <v>667</v>
      </c>
      <c r="R71" s="19"/>
      <c r="S71" s="19"/>
      <c r="U71" s="19"/>
      <c r="W71" s="19"/>
      <c r="X71" s="19" t="s">
        <v>72</v>
      </c>
      <c r="Y71" s="27" t="s">
        <v>147</v>
      </c>
      <c r="Z71" s="27" t="s">
        <v>78</v>
      </c>
      <c r="AA71" s="27" t="s">
        <v>78</v>
      </c>
      <c r="AB71" s="27" t="s">
        <v>78</v>
      </c>
      <c r="AC71" s="37" t="s">
        <v>78</v>
      </c>
      <c r="AD71" s="38" t="s">
        <v>78</v>
      </c>
      <c r="AE71" s="36">
        <v>45748</v>
      </c>
      <c r="AF71" s="19" t="s">
        <v>99</v>
      </c>
      <c r="AG71" s="19" t="s">
        <v>100</v>
      </c>
      <c r="AH71" s="19" t="s">
        <v>62</v>
      </c>
      <c r="AI71" s="19" t="s">
        <v>63</v>
      </c>
      <c r="AJ71" s="19" t="s">
        <v>668</v>
      </c>
      <c r="AK71" s="19" t="s">
        <v>669</v>
      </c>
      <c r="AL71" s="19"/>
      <c r="AM71" s="19"/>
      <c r="AN71" s="19" t="s">
        <v>65</v>
      </c>
      <c r="AO71" s="23">
        <v>45770.01458333333</v>
      </c>
      <c r="AP71" s="26">
        <f t="shared" si="3"/>
        <v>69</v>
      </c>
    </row>
    <row r="72" spans="1:42" ht="25.5" hidden="1" customHeight="1">
      <c r="A72" s="19" t="s">
        <v>285</v>
      </c>
      <c r="B72" s="19" t="s">
        <v>670</v>
      </c>
      <c r="C72" s="19" t="s">
        <v>671</v>
      </c>
      <c r="D72" s="19" t="s">
        <v>45</v>
      </c>
      <c r="E72" s="19" t="s">
        <v>46</v>
      </c>
      <c r="F72" s="19" t="s">
        <v>672</v>
      </c>
      <c r="G72" s="19" t="s">
        <v>48</v>
      </c>
      <c r="H72" s="19" t="s">
        <v>49</v>
      </c>
      <c r="I72" s="20">
        <v>45771.431944444441</v>
      </c>
      <c r="K72" s="19"/>
      <c r="L72" s="20">
        <v>45771.631944444453</v>
      </c>
      <c r="M72" s="19"/>
      <c r="N72" s="22">
        <f t="shared" si="2"/>
        <v>0.20000000001164153</v>
      </c>
      <c r="O72" s="19" t="s">
        <v>50</v>
      </c>
      <c r="P72" s="19" t="s">
        <v>673</v>
      </c>
      <c r="Q72" s="19" t="s">
        <v>674</v>
      </c>
      <c r="R72" s="19"/>
      <c r="S72" s="19"/>
      <c r="U72" s="19"/>
      <c r="W72" s="19"/>
      <c r="X72" s="19" t="s">
        <v>675</v>
      </c>
      <c r="Y72" s="27" t="s">
        <v>133</v>
      </c>
      <c r="Z72" s="27" t="s">
        <v>676</v>
      </c>
      <c r="AA72" s="27" t="s">
        <v>677</v>
      </c>
      <c r="AB72" s="27" t="s">
        <v>678</v>
      </c>
      <c r="AC72" s="37" t="s">
        <v>679</v>
      </c>
      <c r="AD72" s="38" t="s">
        <v>680</v>
      </c>
      <c r="AE72" s="36">
        <v>45748</v>
      </c>
      <c r="AF72" s="19" t="s">
        <v>293</v>
      </c>
      <c r="AG72" s="19" t="s">
        <v>294</v>
      </c>
      <c r="AH72" s="19" t="s">
        <v>62</v>
      </c>
      <c r="AI72" s="19" t="s">
        <v>63</v>
      </c>
      <c r="AJ72" s="19" t="s">
        <v>681</v>
      </c>
      <c r="AK72" s="19"/>
      <c r="AL72" s="19"/>
      <c r="AM72" s="19"/>
      <c r="AN72" s="19" t="s">
        <v>65</v>
      </c>
      <c r="AO72" s="23">
        <v>45771.431944444441</v>
      </c>
      <c r="AP72" s="26">
        <f t="shared" si="3"/>
        <v>288</v>
      </c>
    </row>
    <row r="73" spans="1:42" ht="25.5" customHeight="1">
      <c r="A73" s="19" t="s">
        <v>42</v>
      </c>
      <c r="C73" s="19" t="s">
        <v>682</v>
      </c>
      <c r="D73" s="19" t="s">
        <v>45</v>
      </c>
      <c r="E73" s="19" t="s">
        <v>46</v>
      </c>
      <c r="F73" s="19" t="s">
        <v>683</v>
      </c>
      <c r="G73" s="19" t="s">
        <v>48</v>
      </c>
      <c r="H73" s="19" t="s">
        <v>69</v>
      </c>
      <c r="I73" s="20">
        <v>45771.467361111107</v>
      </c>
      <c r="K73" s="19">
        <v>45771.5</v>
      </c>
      <c r="L73" s="20">
        <v>45771.572916666657</v>
      </c>
      <c r="M73" s="19"/>
      <c r="N73" s="22">
        <f t="shared" si="2"/>
        <v>0.10555555555038154</v>
      </c>
      <c r="O73" s="19" t="s">
        <v>50</v>
      </c>
      <c r="P73" s="19" t="s">
        <v>684</v>
      </c>
      <c r="Q73" s="19" t="s">
        <v>685</v>
      </c>
      <c r="R73" s="19"/>
      <c r="S73" s="19"/>
      <c r="U73" s="19"/>
      <c r="W73" s="19"/>
      <c r="X73" s="19" t="s">
        <v>72</v>
      </c>
      <c r="Y73" s="27" t="s">
        <v>147</v>
      </c>
      <c r="Z73" s="27" t="s">
        <v>78</v>
      </c>
      <c r="AA73" s="27" t="s">
        <v>78</v>
      </c>
      <c r="AB73" s="27" t="s">
        <v>78</v>
      </c>
      <c r="AC73" s="37" t="s">
        <v>78</v>
      </c>
      <c r="AD73" s="38" t="s">
        <v>78</v>
      </c>
      <c r="AE73" s="36">
        <v>45748</v>
      </c>
      <c r="AF73" s="19" t="s">
        <v>99</v>
      </c>
      <c r="AG73" s="19" t="s">
        <v>100</v>
      </c>
      <c r="AH73" s="19" t="s">
        <v>62</v>
      </c>
      <c r="AI73" s="19" t="s">
        <v>63</v>
      </c>
      <c r="AJ73" s="19" t="s">
        <v>686</v>
      </c>
      <c r="AK73" s="19" t="s">
        <v>687</v>
      </c>
      <c r="AL73" s="19"/>
      <c r="AM73" s="19"/>
      <c r="AN73" s="19" t="s">
        <v>65</v>
      </c>
      <c r="AO73" s="23">
        <v>45771.467361111107</v>
      </c>
      <c r="AP73" s="26">
        <f t="shared" si="3"/>
        <v>152</v>
      </c>
    </row>
    <row r="74" spans="1:42" ht="25.5" hidden="1" customHeight="1">
      <c r="A74" s="19" t="s">
        <v>42</v>
      </c>
      <c r="B74" s="19" t="s">
        <v>688</v>
      </c>
      <c r="C74" s="19" t="s">
        <v>689</v>
      </c>
      <c r="D74" s="19" t="s">
        <v>45</v>
      </c>
      <c r="E74" s="19" t="s">
        <v>46</v>
      </c>
      <c r="F74" s="19" t="s">
        <v>690</v>
      </c>
      <c r="G74" s="19" t="s">
        <v>48</v>
      </c>
      <c r="H74" s="19" t="s">
        <v>49</v>
      </c>
      <c r="I74" s="20">
        <v>45771.520833333343</v>
      </c>
      <c r="K74" s="19"/>
      <c r="L74" s="20">
        <v>45771.574305555558</v>
      </c>
      <c r="M74" s="19"/>
      <c r="N74" s="22">
        <f t="shared" si="2"/>
        <v>5.3472222214622889E-2</v>
      </c>
      <c r="O74" s="19" t="s">
        <v>50</v>
      </c>
      <c r="P74" s="19" t="s">
        <v>691</v>
      </c>
      <c r="Q74" s="19" t="s">
        <v>692</v>
      </c>
      <c r="R74" s="19"/>
      <c r="S74" s="19"/>
      <c r="U74" s="19"/>
      <c r="W74" s="19"/>
      <c r="X74" s="19" t="s">
        <v>693</v>
      </c>
      <c r="Y74" s="27" t="s">
        <v>54</v>
      </c>
      <c r="Z74" s="27" t="s">
        <v>694</v>
      </c>
      <c r="AA74" s="27" t="s">
        <v>695</v>
      </c>
      <c r="AB74" s="27" t="s">
        <v>696</v>
      </c>
      <c r="AC74" s="37" t="s">
        <v>697</v>
      </c>
      <c r="AD74" s="38" t="s">
        <v>698</v>
      </c>
      <c r="AE74" s="36">
        <v>45748</v>
      </c>
      <c r="AF74" s="19" t="s">
        <v>78</v>
      </c>
      <c r="AG74" s="19" t="s">
        <v>78</v>
      </c>
      <c r="AH74" s="19" t="s">
        <v>78</v>
      </c>
      <c r="AI74" s="19" t="s">
        <v>63</v>
      </c>
      <c r="AJ74" s="19" t="s">
        <v>699</v>
      </c>
      <c r="AK74" s="19" t="s">
        <v>700</v>
      </c>
      <c r="AL74" s="19"/>
      <c r="AM74" s="19"/>
      <c r="AN74" s="19" t="s">
        <v>65</v>
      </c>
      <c r="AO74" s="23">
        <v>45771.520833333343</v>
      </c>
      <c r="AP74" s="26">
        <f t="shared" si="3"/>
        <v>77</v>
      </c>
    </row>
    <row r="75" spans="1:42" ht="25.5" hidden="1" customHeight="1">
      <c r="A75" s="19" t="s">
        <v>42</v>
      </c>
      <c r="C75" s="19" t="s">
        <v>701</v>
      </c>
      <c r="D75" s="19" t="s">
        <v>45</v>
      </c>
      <c r="E75" s="19" t="s">
        <v>46</v>
      </c>
      <c r="F75" s="19" t="s">
        <v>702</v>
      </c>
      <c r="G75" s="19" t="s">
        <v>48</v>
      </c>
      <c r="H75" s="19" t="s">
        <v>49</v>
      </c>
      <c r="I75" s="20">
        <v>45771.736111111109</v>
      </c>
      <c r="K75" s="19"/>
      <c r="L75" s="20">
        <v>45771.796527777777</v>
      </c>
      <c r="M75" s="19"/>
      <c r="N75" s="22">
        <f t="shared" si="2"/>
        <v>6.0416666667151731E-2</v>
      </c>
      <c r="O75" s="19" t="s">
        <v>63</v>
      </c>
      <c r="P75" s="19" t="s">
        <v>703</v>
      </c>
      <c r="Q75" s="19" t="s">
        <v>704</v>
      </c>
      <c r="R75" s="19"/>
      <c r="S75" s="19"/>
      <c r="U75" s="19"/>
      <c r="W75" s="19"/>
      <c r="X75" s="19" t="s">
        <v>705</v>
      </c>
      <c r="Y75" s="27" t="s">
        <v>133</v>
      </c>
      <c r="Z75" s="27" t="s">
        <v>123</v>
      </c>
      <c r="AA75" s="27" t="s">
        <v>706</v>
      </c>
      <c r="AB75" s="27" t="s">
        <v>707</v>
      </c>
      <c r="AC75" s="37" t="s">
        <v>708</v>
      </c>
      <c r="AD75" s="38" t="s">
        <v>709</v>
      </c>
      <c r="AE75" s="36">
        <v>45748</v>
      </c>
      <c r="AF75" s="19" t="s">
        <v>60</v>
      </c>
      <c r="AG75" s="19" t="s">
        <v>61</v>
      </c>
      <c r="AH75" s="19" t="s">
        <v>62</v>
      </c>
      <c r="AI75" s="19" t="s">
        <v>63</v>
      </c>
      <c r="AJ75" s="19" t="s">
        <v>710</v>
      </c>
      <c r="AK75" s="19"/>
      <c r="AL75" s="19"/>
      <c r="AM75" s="19"/>
      <c r="AN75" s="19" t="s">
        <v>103</v>
      </c>
      <c r="AO75" s="23">
        <f>I75</f>
        <v>45771.736111111109</v>
      </c>
      <c r="AP75" s="26">
        <f t="shared" si="3"/>
        <v>87</v>
      </c>
    </row>
    <row r="76" spans="1:42" ht="25.5" hidden="1" customHeight="1">
      <c r="A76" s="19" t="s">
        <v>42</v>
      </c>
      <c r="C76" s="19" t="s">
        <v>404</v>
      </c>
      <c r="D76" s="19" t="s">
        <v>45</v>
      </c>
      <c r="E76" s="19" t="s">
        <v>46</v>
      </c>
      <c r="F76" s="19" t="s">
        <v>711</v>
      </c>
      <c r="G76" s="19" t="s">
        <v>48</v>
      </c>
      <c r="H76" s="19" t="s">
        <v>49</v>
      </c>
      <c r="I76" s="20">
        <v>45771.809027777781</v>
      </c>
      <c r="K76" s="19"/>
      <c r="L76" s="20">
        <v>45771.828472222223</v>
      </c>
      <c r="M76" s="19"/>
      <c r="N76" s="22">
        <f t="shared" si="2"/>
        <v>1.9444444442342501E-2</v>
      </c>
      <c r="O76" s="19" t="s">
        <v>63</v>
      </c>
      <c r="P76" s="19" t="s">
        <v>712</v>
      </c>
      <c r="Q76" s="19" t="s">
        <v>713</v>
      </c>
      <c r="R76" s="19"/>
      <c r="S76" s="19"/>
      <c r="U76" s="19"/>
      <c r="W76" s="19"/>
      <c r="X76" s="19" t="s">
        <v>109</v>
      </c>
      <c r="Y76" s="27" t="s">
        <v>133</v>
      </c>
      <c r="Z76" s="27" t="s">
        <v>123</v>
      </c>
      <c r="AA76" s="27" t="s">
        <v>714</v>
      </c>
      <c r="AB76" s="27" t="s">
        <v>715</v>
      </c>
      <c r="AC76" s="37">
        <v>45771.777777777781</v>
      </c>
      <c r="AD76" s="38">
        <v>45771.781944444447</v>
      </c>
      <c r="AE76" s="36">
        <v>45748</v>
      </c>
      <c r="AF76" s="19" t="s">
        <v>89</v>
      </c>
      <c r="AG76" s="19" t="s">
        <v>126</v>
      </c>
      <c r="AH76" s="19" t="s">
        <v>62</v>
      </c>
      <c r="AI76" s="19" t="s">
        <v>63</v>
      </c>
      <c r="AJ76" s="19" t="s">
        <v>716</v>
      </c>
      <c r="AK76" s="19"/>
      <c r="AL76" s="19"/>
      <c r="AM76" s="19"/>
      <c r="AN76" s="19" t="s">
        <v>65</v>
      </c>
      <c r="AO76" s="23">
        <v>45771.809027777781</v>
      </c>
      <c r="AP76" s="26">
        <f t="shared" si="3"/>
        <v>28</v>
      </c>
    </row>
    <row r="77" spans="1:42" ht="25.5" hidden="1" customHeight="1">
      <c r="A77" s="19" t="s">
        <v>285</v>
      </c>
      <c r="C77" s="19" t="s">
        <v>717</v>
      </c>
      <c r="D77" s="19" t="s">
        <v>45</v>
      </c>
      <c r="E77" s="19" t="s">
        <v>46</v>
      </c>
      <c r="F77" s="19" t="s">
        <v>718</v>
      </c>
      <c r="G77" s="19" t="s">
        <v>48</v>
      </c>
      <c r="H77" s="19" t="s">
        <v>49</v>
      </c>
      <c r="I77" s="20">
        <v>45771.895833333343</v>
      </c>
      <c r="K77" s="19"/>
      <c r="L77" s="20">
        <v>45771.943055555559</v>
      </c>
      <c r="M77" s="19"/>
      <c r="N77" s="22">
        <f t="shared" si="2"/>
        <v>4.722222221607808E-2</v>
      </c>
      <c r="O77" s="19" t="s">
        <v>63</v>
      </c>
      <c r="P77" s="19" t="s">
        <v>719</v>
      </c>
      <c r="Q77" s="19" t="s">
        <v>720</v>
      </c>
      <c r="R77" s="19"/>
      <c r="S77" s="19"/>
      <c r="U77" s="19"/>
      <c r="W77" s="19"/>
      <c r="X77" s="19" t="s">
        <v>721</v>
      </c>
      <c r="Y77" s="27" t="s">
        <v>133</v>
      </c>
      <c r="Z77" s="27" t="s">
        <v>361</v>
      </c>
      <c r="AA77" s="27" t="s">
        <v>722</v>
      </c>
      <c r="AB77" s="27" t="s">
        <v>723</v>
      </c>
      <c r="AC77" s="37" t="s">
        <v>724</v>
      </c>
      <c r="AD77" s="38" t="s">
        <v>725</v>
      </c>
      <c r="AE77" s="36">
        <v>45748</v>
      </c>
      <c r="AF77" s="19" t="s">
        <v>99</v>
      </c>
      <c r="AG77" s="19" t="s">
        <v>100</v>
      </c>
      <c r="AH77" s="19" t="s">
        <v>62</v>
      </c>
      <c r="AI77" s="19" t="s">
        <v>63</v>
      </c>
      <c r="AJ77" s="19" t="s">
        <v>726</v>
      </c>
      <c r="AK77" s="19" t="s">
        <v>727</v>
      </c>
      <c r="AL77" s="19"/>
      <c r="AM77" s="19"/>
      <c r="AN77" s="19" t="s">
        <v>65</v>
      </c>
      <c r="AO77" s="23">
        <v>45771.90625</v>
      </c>
      <c r="AP77" s="26">
        <f t="shared" si="3"/>
        <v>68</v>
      </c>
    </row>
    <row r="78" spans="1:42" ht="25.5" hidden="1" customHeight="1">
      <c r="A78" s="19" t="s">
        <v>42</v>
      </c>
      <c r="C78" s="19" t="s">
        <v>728</v>
      </c>
      <c r="D78" s="19" t="s">
        <v>45</v>
      </c>
      <c r="E78" s="19" t="s">
        <v>46</v>
      </c>
      <c r="F78" s="19" t="s">
        <v>729</v>
      </c>
      <c r="G78" s="19" t="s">
        <v>48</v>
      </c>
      <c r="H78" s="19" t="s">
        <v>49</v>
      </c>
      <c r="I78" s="20">
        <v>45772.335416666669</v>
      </c>
      <c r="K78" s="19"/>
      <c r="L78" s="20">
        <v>45772.348611111112</v>
      </c>
      <c r="M78" s="19"/>
      <c r="N78" s="22">
        <f t="shared" si="2"/>
        <v>1.3194444443797693E-2</v>
      </c>
      <c r="O78" s="19" t="s">
        <v>63</v>
      </c>
      <c r="P78" s="19" t="s">
        <v>730</v>
      </c>
      <c r="Q78" s="19" t="s">
        <v>731</v>
      </c>
      <c r="R78" s="19"/>
      <c r="S78" s="19"/>
      <c r="U78" s="19"/>
      <c r="W78" s="19"/>
      <c r="X78" s="19" t="s">
        <v>72</v>
      </c>
      <c r="Y78" s="27" t="s">
        <v>147</v>
      </c>
      <c r="Z78" s="27" t="s">
        <v>78</v>
      </c>
      <c r="AA78" s="27" t="s">
        <v>78</v>
      </c>
      <c r="AB78" s="27" t="s">
        <v>78</v>
      </c>
      <c r="AC78" s="37" t="s">
        <v>78</v>
      </c>
      <c r="AD78" s="38" t="s">
        <v>78</v>
      </c>
      <c r="AE78" s="36">
        <v>45748</v>
      </c>
      <c r="AF78" s="19" t="s">
        <v>89</v>
      </c>
      <c r="AG78" s="19" t="s">
        <v>90</v>
      </c>
      <c r="AH78" s="19" t="s">
        <v>62</v>
      </c>
      <c r="AI78" s="19" t="s">
        <v>63</v>
      </c>
      <c r="AJ78" s="19" t="s">
        <v>732</v>
      </c>
      <c r="AK78" s="19" t="s">
        <v>733</v>
      </c>
      <c r="AL78" s="19"/>
      <c r="AM78" s="19"/>
      <c r="AN78" s="19" t="s">
        <v>65</v>
      </c>
      <c r="AO78" s="23">
        <v>45772.335416666669</v>
      </c>
      <c r="AP78" s="26">
        <f t="shared" si="3"/>
        <v>19</v>
      </c>
    </row>
    <row r="79" spans="1:42" ht="25.5" hidden="1" customHeight="1">
      <c r="A79" s="19" t="s">
        <v>42</v>
      </c>
      <c r="B79" s="19" t="s">
        <v>186</v>
      </c>
      <c r="C79" s="19" t="s">
        <v>577</v>
      </c>
      <c r="D79" s="19" t="s">
        <v>45</v>
      </c>
      <c r="E79" s="19" t="s">
        <v>46</v>
      </c>
      <c r="F79" s="19" t="s">
        <v>734</v>
      </c>
      <c r="G79" s="19" t="s">
        <v>48</v>
      </c>
      <c r="H79" s="19" t="s">
        <v>49</v>
      </c>
      <c r="I79" s="20">
        <v>45772.365972222222</v>
      </c>
      <c r="K79" s="19"/>
      <c r="L79" s="20">
        <v>45772.530555555553</v>
      </c>
      <c r="M79" s="19"/>
      <c r="N79" s="22">
        <f t="shared" si="2"/>
        <v>0.16458333333139308</v>
      </c>
      <c r="O79" s="19" t="s">
        <v>63</v>
      </c>
      <c r="P79" s="19" t="s">
        <v>735</v>
      </c>
      <c r="Q79" s="19" t="s">
        <v>736</v>
      </c>
      <c r="R79" s="19"/>
      <c r="S79" s="19"/>
      <c r="U79" s="19"/>
      <c r="W79" s="19"/>
      <c r="X79" s="19" t="s">
        <v>191</v>
      </c>
      <c r="Y79" s="27" t="s">
        <v>147</v>
      </c>
      <c r="Z79" s="27" t="s">
        <v>78</v>
      </c>
      <c r="AA79" s="27" t="s">
        <v>78</v>
      </c>
      <c r="AB79" s="27" t="s">
        <v>78</v>
      </c>
      <c r="AC79" s="37" t="s">
        <v>78</v>
      </c>
      <c r="AD79" s="38" t="s">
        <v>78</v>
      </c>
      <c r="AE79" s="36">
        <v>45748</v>
      </c>
      <c r="AF79" s="19" t="s">
        <v>89</v>
      </c>
      <c r="AG79" s="19" t="s">
        <v>90</v>
      </c>
      <c r="AH79" s="19" t="s">
        <v>62</v>
      </c>
      <c r="AI79" s="19" t="s">
        <v>63</v>
      </c>
      <c r="AJ79" s="19" t="s">
        <v>737</v>
      </c>
      <c r="AK79" s="19"/>
      <c r="AL79" s="19"/>
      <c r="AM79" s="19"/>
      <c r="AN79" s="19" t="s">
        <v>65</v>
      </c>
      <c r="AO79" s="23">
        <v>45772.365972222222</v>
      </c>
      <c r="AP79" s="26">
        <f t="shared" si="3"/>
        <v>237</v>
      </c>
    </row>
    <row r="80" spans="1:42" ht="25.5" customHeight="1">
      <c r="A80" s="19" t="s">
        <v>42</v>
      </c>
      <c r="B80" s="19" t="s">
        <v>738</v>
      </c>
      <c r="C80" s="19" t="s">
        <v>739</v>
      </c>
      <c r="D80" s="19" t="s">
        <v>45</v>
      </c>
      <c r="E80" s="19" t="s">
        <v>46</v>
      </c>
      <c r="F80" s="19" t="s">
        <v>740</v>
      </c>
      <c r="G80" s="19" t="s">
        <v>48</v>
      </c>
      <c r="H80" s="19" t="s">
        <v>152</v>
      </c>
      <c r="I80" s="20">
        <v>45773.322916666657</v>
      </c>
      <c r="J80" s="20">
        <v>45773.392361111109</v>
      </c>
      <c r="K80" s="19"/>
      <c r="L80" s="20">
        <v>45773.420138888891</v>
      </c>
      <c r="M80" s="19"/>
      <c r="N80" s="22">
        <f t="shared" si="2"/>
        <v>9.7222222233540379E-2</v>
      </c>
      <c r="O80" s="19" t="s">
        <v>50</v>
      </c>
      <c r="P80" s="19" t="s">
        <v>741</v>
      </c>
      <c r="Q80" s="19" t="s">
        <v>742</v>
      </c>
      <c r="R80" s="19" t="s">
        <v>743</v>
      </c>
      <c r="S80" s="19" t="s">
        <v>744</v>
      </c>
      <c r="T80" s="20">
        <v>45773.509027777778</v>
      </c>
      <c r="U80" s="19" t="s">
        <v>745</v>
      </c>
      <c r="V80" s="19" t="s">
        <v>157</v>
      </c>
      <c r="W80" s="19"/>
      <c r="X80" s="19" t="s">
        <v>746</v>
      </c>
      <c r="Y80" s="27" t="s">
        <v>54</v>
      </c>
      <c r="Z80" s="27" t="s">
        <v>123</v>
      </c>
      <c r="AA80" s="27" t="s">
        <v>747</v>
      </c>
      <c r="AB80" s="27" t="s">
        <v>748</v>
      </c>
      <c r="AC80" s="37" t="s">
        <v>749</v>
      </c>
      <c r="AD80" s="38" t="s">
        <v>750</v>
      </c>
      <c r="AE80" s="36">
        <v>45748</v>
      </c>
      <c r="AF80" s="19" t="s">
        <v>89</v>
      </c>
      <c r="AG80" s="19" t="s">
        <v>90</v>
      </c>
      <c r="AH80" s="19" t="s">
        <v>62</v>
      </c>
      <c r="AI80" s="19" t="s">
        <v>63</v>
      </c>
      <c r="AJ80" s="19" t="s">
        <v>751</v>
      </c>
      <c r="AK80" s="19"/>
      <c r="AL80" s="19"/>
      <c r="AM80" s="19"/>
      <c r="AN80" s="19" t="s">
        <v>103</v>
      </c>
      <c r="AO80" s="23">
        <v>45773.322916666657</v>
      </c>
      <c r="AP80" s="26">
        <f t="shared" si="3"/>
        <v>140</v>
      </c>
    </row>
    <row r="81" spans="1:42" ht="25.5" hidden="1" customHeight="1">
      <c r="A81" s="19" t="s">
        <v>42</v>
      </c>
      <c r="C81" s="19" t="s">
        <v>752</v>
      </c>
      <c r="D81" s="19" t="s">
        <v>45</v>
      </c>
      <c r="E81" s="19" t="s">
        <v>46</v>
      </c>
      <c r="F81" s="19" t="s">
        <v>753</v>
      </c>
      <c r="G81" s="19" t="s">
        <v>48</v>
      </c>
      <c r="H81" s="19" t="s">
        <v>49</v>
      </c>
      <c r="I81" s="20">
        <v>45773.364583333343</v>
      </c>
      <c r="K81" s="19"/>
      <c r="L81" s="20">
        <v>45773.436111111107</v>
      </c>
      <c r="M81" s="19"/>
      <c r="N81" s="22">
        <f t="shared" si="2"/>
        <v>7.1527777763549238E-2</v>
      </c>
      <c r="O81" s="19" t="s">
        <v>50</v>
      </c>
      <c r="P81" s="19" t="s">
        <v>754</v>
      </c>
      <c r="Q81" s="19" t="s">
        <v>755</v>
      </c>
      <c r="R81" s="19"/>
      <c r="S81" s="19"/>
      <c r="U81" s="19"/>
      <c r="W81" s="19"/>
      <c r="X81" s="19" t="s">
        <v>72</v>
      </c>
      <c r="Y81" s="27" t="s">
        <v>147</v>
      </c>
      <c r="Z81" s="27" t="s">
        <v>78</v>
      </c>
      <c r="AA81" s="27" t="s">
        <v>78</v>
      </c>
      <c r="AB81" s="27" t="s">
        <v>78</v>
      </c>
      <c r="AC81" s="37" t="s">
        <v>78</v>
      </c>
      <c r="AD81" s="38" t="s">
        <v>78</v>
      </c>
      <c r="AE81" s="36">
        <v>45748</v>
      </c>
      <c r="AF81" s="19" t="s">
        <v>89</v>
      </c>
      <c r="AG81" s="19" t="s">
        <v>90</v>
      </c>
      <c r="AH81" s="19" t="s">
        <v>62</v>
      </c>
      <c r="AI81" s="19" t="s">
        <v>63</v>
      </c>
      <c r="AJ81" s="19" t="s">
        <v>756</v>
      </c>
      <c r="AK81" s="19"/>
      <c r="AL81" s="19"/>
      <c r="AM81" s="19"/>
      <c r="AN81" s="19" t="s">
        <v>65</v>
      </c>
      <c r="AO81" s="23">
        <v>45773.412499999999</v>
      </c>
      <c r="AP81" s="26">
        <f t="shared" si="3"/>
        <v>103</v>
      </c>
    </row>
    <row r="82" spans="1:42" ht="25.5" hidden="1" customHeight="1">
      <c r="A82" s="19" t="s">
        <v>116</v>
      </c>
      <c r="B82" s="19" t="s">
        <v>757</v>
      </c>
      <c r="C82" s="19" t="s">
        <v>758</v>
      </c>
      <c r="D82" s="19" t="s">
        <v>45</v>
      </c>
      <c r="E82" s="19" t="s">
        <v>46</v>
      </c>
      <c r="F82" s="19" t="s">
        <v>759</v>
      </c>
      <c r="G82" s="19" t="s">
        <v>48</v>
      </c>
      <c r="H82" s="19" t="s">
        <v>49</v>
      </c>
      <c r="I82" s="20">
        <v>45774.337500000001</v>
      </c>
      <c r="K82" s="19"/>
      <c r="L82" s="20">
        <v>45774.534722222219</v>
      </c>
      <c r="M82" s="19"/>
      <c r="N82" s="22">
        <f t="shared" si="2"/>
        <v>0.19722222221753327</v>
      </c>
      <c r="O82" s="19" t="s">
        <v>50</v>
      </c>
      <c r="P82" s="19" t="s">
        <v>760</v>
      </c>
      <c r="Q82" s="19" t="s">
        <v>761</v>
      </c>
      <c r="R82" s="19"/>
      <c r="S82" s="19"/>
      <c r="U82" s="19"/>
      <c r="W82" s="19"/>
      <c r="X82" s="19" t="s">
        <v>762</v>
      </c>
      <c r="Y82" s="27" t="s">
        <v>54</v>
      </c>
      <c r="Z82" s="27" t="s">
        <v>763</v>
      </c>
      <c r="AA82" s="27" t="s">
        <v>764</v>
      </c>
      <c r="AB82" s="27" t="s">
        <v>765</v>
      </c>
      <c r="AC82" s="37" t="s">
        <v>766</v>
      </c>
      <c r="AD82" s="38" t="s">
        <v>767</v>
      </c>
      <c r="AE82" s="36">
        <v>45748</v>
      </c>
      <c r="AF82" s="19" t="s">
        <v>99</v>
      </c>
      <c r="AG82" s="19" t="s">
        <v>768</v>
      </c>
      <c r="AH82" s="19" t="s">
        <v>62</v>
      </c>
      <c r="AI82" s="19" t="s">
        <v>63</v>
      </c>
      <c r="AJ82" s="19" t="s">
        <v>769</v>
      </c>
      <c r="AK82" s="19" t="s">
        <v>770</v>
      </c>
      <c r="AL82" s="19"/>
      <c r="AM82" s="19"/>
      <c r="AN82" s="19" t="s">
        <v>103</v>
      </c>
      <c r="AO82" s="23">
        <v>45774.375</v>
      </c>
      <c r="AP82" s="26">
        <f t="shared" si="3"/>
        <v>284</v>
      </c>
    </row>
    <row r="83" spans="1:42" ht="25.5" hidden="1" customHeight="1">
      <c r="A83" s="19" t="s">
        <v>285</v>
      </c>
      <c r="B83" s="19" t="s">
        <v>599</v>
      </c>
      <c r="C83" s="19" t="s">
        <v>452</v>
      </c>
      <c r="D83" s="19" t="s">
        <v>45</v>
      </c>
      <c r="E83" s="19" t="s">
        <v>46</v>
      </c>
      <c r="F83" s="19" t="s">
        <v>771</v>
      </c>
      <c r="G83" s="19" t="s">
        <v>48</v>
      </c>
      <c r="H83" s="19" t="s">
        <v>49</v>
      </c>
      <c r="I83" s="20">
        <v>45775.154166666667</v>
      </c>
      <c r="K83" s="19"/>
      <c r="L83" s="20">
        <v>45775.246527777781</v>
      </c>
      <c r="M83" s="19"/>
      <c r="N83" s="22">
        <f t="shared" si="2"/>
        <v>9.2361111113859806E-2</v>
      </c>
      <c r="O83" s="19" t="s">
        <v>50</v>
      </c>
      <c r="P83" s="19" t="s">
        <v>772</v>
      </c>
      <c r="Q83" s="19" t="s">
        <v>773</v>
      </c>
      <c r="R83" s="19"/>
      <c r="S83" s="19"/>
      <c r="U83" s="19"/>
      <c r="W83" s="19"/>
      <c r="X83" s="19" t="s">
        <v>122</v>
      </c>
      <c r="Y83" s="27" t="s">
        <v>147</v>
      </c>
      <c r="Z83" s="27" t="s">
        <v>78</v>
      </c>
      <c r="AA83" s="27" t="s">
        <v>78</v>
      </c>
      <c r="AB83" s="27" t="s">
        <v>78</v>
      </c>
      <c r="AC83" s="37" t="s">
        <v>78</v>
      </c>
      <c r="AD83" s="38" t="s">
        <v>78</v>
      </c>
      <c r="AE83" s="36">
        <v>45748</v>
      </c>
      <c r="AF83" s="19" t="s">
        <v>89</v>
      </c>
      <c r="AG83" s="19" t="s">
        <v>90</v>
      </c>
      <c r="AH83" s="19" t="s">
        <v>62</v>
      </c>
      <c r="AI83" s="19" t="s">
        <v>63</v>
      </c>
      <c r="AJ83" s="19" t="s">
        <v>774</v>
      </c>
      <c r="AK83" s="19"/>
      <c r="AL83" s="19"/>
      <c r="AM83" s="19"/>
      <c r="AN83" s="19" t="s">
        <v>65</v>
      </c>
      <c r="AO83" s="23">
        <v>45775.154166666667</v>
      </c>
      <c r="AP83" s="26">
        <f t="shared" si="3"/>
        <v>133</v>
      </c>
    </row>
    <row r="84" spans="1:42" ht="25.5" hidden="1" customHeight="1">
      <c r="A84" s="19" t="s">
        <v>42</v>
      </c>
      <c r="B84" s="19" t="s">
        <v>504</v>
      </c>
      <c r="C84" s="19" t="s">
        <v>775</v>
      </c>
      <c r="D84" s="19" t="s">
        <v>45</v>
      </c>
      <c r="E84" s="19" t="s">
        <v>46</v>
      </c>
      <c r="F84" s="19" t="s">
        <v>776</v>
      </c>
      <c r="G84" s="19" t="s">
        <v>48</v>
      </c>
      <c r="H84" s="19" t="s">
        <v>49</v>
      </c>
      <c r="I84" s="20">
        <v>45775.375</v>
      </c>
      <c r="K84" s="19"/>
      <c r="L84" s="20">
        <v>45775.946527777778</v>
      </c>
      <c r="M84" s="19"/>
      <c r="N84" s="22">
        <f t="shared" si="2"/>
        <v>0.57152777777810115</v>
      </c>
      <c r="O84" s="19" t="s">
        <v>50</v>
      </c>
      <c r="P84" s="19" t="s">
        <v>777</v>
      </c>
      <c r="Q84" s="19" t="s">
        <v>778</v>
      </c>
      <c r="R84" s="19"/>
      <c r="S84" s="19"/>
      <c r="U84" s="19"/>
      <c r="W84" s="19"/>
      <c r="X84" s="19" t="s">
        <v>509</v>
      </c>
      <c r="Y84" s="27" t="s">
        <v>147</v>
      </c>
      <c r="Z84" s="27" t="s">
        <v>78</v>
      </c>
      <c r="AA84" s="27" t="s">
        <v>78</v>
      </c>
      <c r="AB84" s="27" t="s">
        <v>78</v>
      </c>
      <c r="AC84" s="37" t="s">
        <v>78</v>
      </c>
      <c r="AD84" s="38" t="s">
        <v>78</v>
      </c>
      <c r="AE84" s="36">
        <v>45748</v>
      </c>
      <c r="AF84" s="19" t="s">
        <v>293</v>
      </c>
      <c r="AG84" s="19" t="s">
        <v>307</v>
      </c>
      <c r="AH84" s="19" t="s">
        <v>62</v>
      </c>
      <c r="AI84" s="19" t="s">
        <v>63</v>
      </c>
      <c r="AJ84" s="19" t="s">
        <v>779</v>
      </c>
      <c r="AK84" s="19"/>
      <c r="AL84" s="19"/>
      <c r="AM84" s="19"/>
      <c r="AN84" s="19" t="s">
        <v>65</v>
      </c>
      <c r="AO84" s="23">
        <v>45775.375</v>
      </c>
      <c r="AP84" s="26">
        <f t="shared" si="3"/>
        <v>823</v>
      </c>
    </row>
    <row r="85" spans="1:42" ht="25.5" hidden="1" customHeight="1">
      <c r="A85" s="19" t="s">
        <v>42</v>
      </c>
      <c r="C85" s="19" t="s">
        <v>780</v>
      </c>
      <c r="D85" s="19" t="s">
        <v>45</v>
      </c>
      <c r="E85" s="19" t="s">
        <v>46</v>
      </c>
      <c r="F85" s="19" t="s">
        <v>781</v>
      </c>
      <c r="G85" s="19" t="s">
        <v>48</v>
      </c>
      <c r="H85" s="19" t="s">
        <v>49</v>
      </c>
      <c r="I85" s="20">
        <v>45775.430555555547</v>
      </c>
      <c r="K85" s="19"/>
      <c r="L85" s="20">
        <v>45775.479166666657</v>
      </c>
      <c r="M85" s="19"/>
      <c r="N85" s="22">
        <f t="shared" si="2"/>
        <v>4.8611111109494232E-2</v>
      </c>
      <c r="O85" s="19" t="s">
        <v>63</v>
      </c>
      <c r="P85" s="19" t="s">
        <v>782</v>
      </c>
      <c r="Q85" s="19" t="s">
        <v>783</v>
      </c>
      <c r="R85" s="19"/>
      <c r="S85" s="19"/>
      <c r="U85" s="19"/>
      <c r="W85" s="19"/>
      <c r="X85" s="19" t="s">
        <v>72</v>
      </c>
      <c r="Y85" s="27" t="s">
        <v>54</v>
      </c>
      <c r="Z85" s="27" t="s">
        <v>784</v>
      </c>
      <c r="AA85" s="27" t="s">
        <v>785</v>
      </c>
      <c r="AB85" s="27" t="s">
        <v>786</v>
      </c>
      <c r="AC85" s="37" t="s">
        <v>787</v>
      </c>
      <c r="AD85" s="38" t="s">
        <v>788</v>
      </c>
      <c r="AE85" s="36">
        <v>45748</v>
      </c>
      <c r="AF85" s="19" t="s">
        <v>60</v>
      </c>
      <c r="AG85" s="19" t="s">
        <v>78</v>
      </c>
      <c r="AH85" s="19" t="s">
        <v>78</v>
      </c>
      <c r="AI85" s="19" t="s">
        <v>63</v>
      </c>
      <c r="AJ85" s="19" t="s">
        <v>789</v>
      </c>
      <c r="AK85" s="19"/>
      <c r="AL85" s="19"/>
      <c r="AM85" s="19"/>
      <c r="AN85" s="19" t="s">
        <v>65</v>
      </c>
      <c r="AO85" s="23">
        <v>45775.472916666673</v>
      </c>
      <c r="AP85" s="26">
        <f t="shared" si="3"/>
        <v>70</v>
      </c>
    </row>
    <row r="86" spans="1:42" ht="25.5" hidden="1" customHeight="1">
      <c r="A86" s="19" t="s">
        <v>42</v>
      </c>
      <c r="B86" s="19" t="s">
        <v>43</v>
      </c>
      <c r="C86" s="19" t="s">
        <v>790</v>
      </c>
      <c r="D86" s="19" t="s">
        <v>45</v>
      </c>
      <c r="E86" s="19" t="s">
        <v>46</v>
      </c>
      <c r="F86" s="19" t="s">
        <v>791</v>
      </c>
      <c r="G86" s="19" t="s">
        <v>48</v>
      </c>
      <c r="H86" s="19" t="s">
        <v>49</v>
      </c>
      <c r="I86" s="20">
        <v>45775.5</v>
      </c>
      <c r="K86" s="19"/>
      <c r="L86" s="20">
        <v>45775.534722222219</v>
      </c>
      <c r="M86" s="19"/>
      <c r="N86" s="22">
        <f t="shared" si="2"/>
        <v>3.4722222218988463E-2</v>
      </c>
      <c r="O86" s="19" t="s">
        <v>50</v>
      </c>
      <c r="P86" s="19" t="s">
        <v>792</v>
      </c>
      <c r="Q86" s="19" t="s">
        <v>793</v>
      </c>
      <c r="R86" s="19"/>
      <c r="S86" s="19"/>
      <c r="U86" s="19"/>
      <c r="W86" s="19"/>
      <c r="X86" s="19" t="s">
        <v>794</v>
      </c>
      <c r="Y86" s="27" t="s">
        <v>54</v>
      </c>
      <c r="Z86" s="27" t="s">
        <v>784</v>
      </c>
      <c r="AA86" s="27" t="s">
        <v>795</v>
      </c>
      <c r="AB86" s="27" t="s">
        <v>796</v>
      </c>
      <c r="AC86" s="37" t="s">
        <v>797</v>
      </c>
      <c r="AD86" s="38" t="s">
        <v>798</v>
      </c>
      <c r="AE86" s="36">
        <v>45748</v>
      </c>
      <c r="AF86" s="19" t="s">
        <v>60</v>
      </c>
      <c r="AG86" s="19" t="s">
        <v>78</v>
      </c>
      <c r="AH86" s="19" t="s">
        <v>78</v>
      </c>
      <c r="AI86" s="19" t="s">
        <v>63</v>
      </c>
      <c r="AJ86" s="19" t="s">
        <v>799</v>
      </c>
      <c r="AK86" s="19"/>
      <c r="AL86" s="19"/>
      <c r="AM86" s="19"/>
      <c r="AN86" s="19" t="s">
        <v>103</v>
      </c>
      <c r="AO86" s="23">
        <v>45775.5</v>
      </c>
      <c r="AP86" s="26">
        <f t="shared" si="3"/>
        <v>50</v>
      </c>
    </row>
    <row r="87" spans="1:42" ht="25.5" customHeight="1">
      <c r="A87" s="19" t="s">
        <v>42</v>
      </c>
      <c r="B87" s="19" t="s">
        <v>66</v>
      </c>
      <c r="C87" s="19" t="s">
        <v>800</v>
      </c>
      <c r="D87" s="19" t="s">
        <v>45</v>
      </c>
      <c r="E87" s="19" t="s">
        <v>46</v>
      </c>
      <c r="F87" s="19" t="s">
        <v>801</v>
      </c>
      <c r="G87" s="19" t="s">
        <v>48</v>
      </c>
      <c r="H87" s="19" t="s">
        <v>69</v>
      </c>
      <c r="I87" s="20">
        <v>45775.510416666657</v>
      </c>
      <c r="K87" s="19">
        <v>45775.541666666657</v>
      </c>
      <c r="L87" s="20">
        <v>45775.590277777781</v>
      </c>
      <c r="M87" s="19"/>
      <c r="N87" s="22">
        <f t="shared" si="2"/>
        <v>7.9861111124046147E-2</v>
      </c>
      <c r="O87" s="19" t="s">
        <v>63</v>
      </c>
      <c r="P87" s="19" t="s">
        <v>802</v>
      </c>
      <c r="Q87" s="19" t="s">
        <v>803</v>
      </c>
      <c r="R87" s="19"/>
      <c r="S87" s="19"/>
      <c r="U87" s="19"/>
      <c r="W87" s="19"/>
      <c r="X87" s="19" t="s">
        <v>72</v>
      </c>
      <c r="Y87" s="27" t="s">
        <v>54</v>
      </c>
      <c r="Z87" s="27" t="s">
        <v>78</v>
      </c>
      <c r="AA87" s="27" t="s">
        <v>795</v>
      </c>
      <c r="AB87" s="27" t="s">
        <v>804</v>
      </c>
      <c r="AC87" s="37" t="s">
        <v>805</v>
      </c>
      <c r="AD87" s="38" t="s">
        <v>806</v>
      </c>
      <c r="AE87" s="36">
        <v>45748</v>
      </c>
      <c r="AF87" s="19" t="s">
        <v>78</v>
      </c>
      <c r="AG87" s="19" t="s">
        <v>78</v>
      </c>
      <c r="AH87" s="19" t="s">
        <v>78</v>
      </c>
      <c r="AI87" s="19" t="s">
        <v>63</v>
      </c>
      <c r="AJ87" s="19" t="s">
        <v>807</v>
      </c>
      <c r="AK87" s="19"/>
      <c r="AL87" s="19"/>
      <c r="AM87" s="19"/>
      <c r="AN87" s="19" t="s">
        <v>65</v>
      </c>
      <c r="AO87" s="23">
        <v>45775.53125</v>
      </c>
      <c r="AP87" s="26">
        <f t="shared" si="3"/>
        <v>115</v>
      </c>
    </row>
    <row r="88" spans="1:42" ht="25.5" hidden="1" customHeight="1">
      <c r="A88" s="19" t="s">
        <v>116</v>
      </c>
      <c r="B88" s="19" t="s">
        <v>231</v>
      </c>
      <c r="C88" s="19" t="s">
        <v>232</v>
      </c>
      <c r="D88" s="19" t="s">
        <v>45</v>
      </c>
      <c r="E88" s="19" t="s">
        <v>46</v>
      </c>
      <c r="F88" s="19" t="s">
        <v>808</v>
      </c>
      <c r="G88" s="19" t="s">
        <v>48</v>
      </c>
      <c r="H88" s="19" t="s">
        <v>49</v>
      </c>
      <c r="I88" s="20">
        <v>45775.697916666657</v>
      </c>
      <c r="K88" s="19"/>
      <c r="L88" s="20">
        <v>45775.715277777781</v>
      </c>
      <c r="M88" s="19"/>
      <c r="N88" s="22">
        <f t="shared" si="2"/>
        <v>1.7361111124046147E-2</v>
      </c>
      <c r="O88" s="19" t="s">
        <v>50</v>
      </c>
      <c r="P88" s="19" t="s">
        <v>809</v>
      </c>
      <c r="Q88" s="19" t="s">
        <v>810</v>
      </c>
      <c r="R88" s="19"/>
      <c r="S88" s="19"/>
      <c r="U88" s="19"/>
      <c r="W88" s="19"/>
      <c r="X88" s="19" t="s">
        <v>236</v>
      </c>
      <c r="Y88" s="27" t="s">
        <v>54</v>
      </c>
      <c r="Z88" s="27" t="s">
        <v>811</v>
      </c>
      <c r="AA88" s="27" t="s">
        <v>812</v>
      </c>
      <c r="AB88" s="27" t="s">
        <v>813</v>
      </c>
      <c r="AC88" s="37" t="s">
        <v>814</v>
      </c>
      <c r="AD88" s="38" t="s">
        <v>815</v>
      </c>
      <c r="AE88" s="36">
        <v>45748</v>
      </c>
      <c r="AF88" s="19" t="s">
        <v>89</v>
      </c>
      <c r="AG88" s="19" t="s">
        <v>90</v>
      </c>
      <c r="AH88" s="19" t="s">
        <v>62</v>
      </c>
      <c r="AI88" s="19" t="s">
        <v>63</v>
      </c>
      <c r="AJ88" s="19" t="s">
        <v>816</v>
      </c>
      <c r="AK88" s="19"/>
      <c r="AL88" s="19"/>
      <c r="AM88" s="19"/>
      <c r="AN88" s="19" t="s">
        <v>65</v>
      </c>
      <c r="AO88" s="23">
        <v>45775.697916666657</v>
      </c>
      <c r="AP88" s="26">
        <f t="shared" si="3"/>
        <v>25</v>
      </c>
    </row>
    <row r="89" spans="1:42" ht="25.5" hidden="1" customHeight="1">
      <c r="A89" s="19" t="s">
        <v>42</v>
      </c>
      <c r="B89" s="19" t="s">
        <v>817</v>
      </c>
      <c r="C89" s="19" t="s">
        <v>818</v>
      </c>
      <c r="D89" s="19" t="s">
        <v>45</v>
      </c>
      <c r="E89" s="19" t="s">
        <v>46</v>
      </c>
      <c r="F89" s="19" t="s">
        <v>819</v>
      </c>
      <c r="G89" s="19" t="s">
        <v>48</v>
      </c>
      <c r="H89" s="19" t="s">
        <v>49</v>
      </c>
      <c r="I89" s="20">
        <v>45775.913194444453</v>
      </c>
      <c r="K89" s="19"/>
      <c r="L89" s="20">
        <v>45775.9375</v>
      </c>
      <c r="M89" s="19"/>
      <c r="N89" s="22">
        <f t="shared" si="2"/>
        <v>2.4305555547471158E-2</v>
      </c>
      <c r="O89" s="19" t="s">
        <v>50</v>
      </c>
      <c r="P89" s="19" t="s">
        <v>820</v>
      </c>
      <c r="Q89" s="19" t="s">
        <v>821</v>
      </c>
      <c r="R89" s="19"/>
      <c r="S89" s="19"/>
      <c r="U89" s="19"/>
      <c r="W89" s="19"/>
      <c r="X89" s="19" t="s">
        <v>822</v>
      </c>
      <c r="Y89" s="27" t="s">
        <v>54</v>
      </c>
      <c r="Z89" s="27" t="s">
        <v>823</v>
      </c>
      <c r="AA89" s="27" t="s">
        <v>824</v>
      </c>
      <c r="AB89" s="27" t="s">
        <v>825</v>
      </c>
      <c r="AC89" s="37" t="s">
        <v>826</v>
      </c>
      <c r="AD89" s="38" t="s">
        <v>827</v>
      </c>
      <c r="AE89" s="36">
        <v>45748</v>
      </c>
      <c r="AF89" s="19" t="s">
        <v>89</v>
      </c>
      <c r="AG89" s="19" t="s">
        <v>90</v>
      </c>
      <c r="AH89" s="19" t="s">
        <v>62</v>
      </c>
      <c r="AI89" s="19" t="s">
        <v>63</v>
      </c>
      <c r="AJ89" s="19" t="s">
        <v>828</v>
      </c>
      <c r="AK89" s="19"/>
      <c r="AL89" s="19"/>
      <c r="AM89" s="19"/>
      <c r="AN89" s="19" t="s">
        <v>128</v>
      </c>
      <c r="AO89" s="23">
        <v>45775.913194444453</v>
      </c>
      <c r="AP89" s="26">
        <f t="shared" si="3"/>
        <v>35</v>
      </c>
    </row>
    <row r="90" spans="1:42" ht="25.5" hidden="1" customHeight="1">
      <c r="A90" s="19" t="s">
        <v>285</v>
      </c>
      <c r="B90" s="19" t="s">
        <v>186</v>
      </c>
      <c r="C90" s="19" t="s">
        <v>577</v>
      </c>
      <c r="D90" s="19" t="s">
        <v>45</v>
      </c>
      <c r="E90" s="19" t="s">
        <v>46</v>
      </c>
      <c r="F90" s="19" t="s">
        <v>829</v>
      </c>
      <c r="G90" s="19" t="s">
        <v>48</v>
      </c>
      <c r="H90" s="19" t="s">
        <v>49</v>
      </c>
      <c r="I90" s="20">
        <v>45776.190972222219</v>
      </c>
      <c r="K90" s="19"/>
      <c r="L90" s="20">
        <v>45776.25</v>
      </c>
      <c r="M90" s="19"/>
      <c r="N90" s="22">
        <f t="shared" si="2"/>
        <v>5.9027777781011537E-2</v>
      </c>
      <c r="O90" s="19" t="s">
        <v>63</v>
      </c>
      <c r="P90" s="19" t="s">
        <v>830</v>
      </c>
      <c r="Q90" s="19" t="s">
        <v>831</v>
      </c>
      <c r="R90" s="19"/>
      <c r="S90" s="19"/>
      <c r="U90" s="19"/>
      <c r="W90" s="19"/>
      <c r="X90" s="19" t="s">
        <v>191</v>
      </c>
      <c r="Y90" s="27" t="s">
        <v>133</v>
      </c>
      <c r="Z90" s="27" t="s">
        <v>123</v>
      </c>
      <c r="AA90" s="27" t="s">
        <v>832</v>
      </c>
      <c r="AB90" s="27" t="s">
        <v>833</v>
      </c>
      <c r="AC90" s="37">
        <v>45776.1875</v>
      </c>
      <c r="AD90" s="38">
        <v>45776.207638888889</v>
      </c>
      <c r="AE90" s="36">
        <v>45748</v>
      </c>
      <c r="AF90" s="19" t="s">
        <v>293</v>
      </c>
      <c r="AG90" s="19" t="s">
        <v>294</v>
      </c>
      <c r="AH90" s="19" t="s">
        <v>62</v>
      </c>
      <c r="AI90" s="19" t="s">
        <v>63</v>
      </c>
      <c r="AJ90" s="19" t="s">
        <v>737</v>
      </c>
      <c r="AK90" s="19"/>
      <c r="AL90" s="19"/>
      <c r="AM90" s="19"/>
      <c r="AN90" s="19" t="s">
        <v>65</v>
      </c>
      <c r="AO90" s="23">
        <v>45776.190972222219</v>
      </c>
      <c r="AP90" s="26">
        <f t="shared" si="3"/>
        <v>85</v>
      </c>
    </row>
    <row r="91" spans="1:42" ht="25.5" hidden="1" customHeight="1">
      <c r="A91" s="19" t="s">
        <v>116</v>
      </c>
      <c r="B91" s="19" t="s">
        <v>93</v>
      </c>
      <c r="C91" s="19" t="s">
        <v>834</v>
      </c>
      <c r="D91" s="19" t="s">
        <v>45</v>
      </c>
      <c r="E91" s="19" t="s">
        <v>225</v>
      </c>
      <c r="F91" s="19" t="s">
        <v>835</v>
      </c>
      <c r="G91" s="19" t="s">
        <v>48</v>
      </c>
      <c r="H91" s="19" t="s">
        <v>49</v>
      </c>
      <c r="I91" s="20">
        <v>45776.26458333333</v>
      </c>
      <c r="K91" s="19"/>
      <c r="L91" s="20">
        <v>45776.34097222222</v>
      </c>
      <c r="M91" s="19"/>
      <c r="N91" s="22">
        <f t="shared" si="2"/>
        <v>7.6388888890505768E-2</v>
      </c>
      <c r="O91" s="19" t="s">
        <v>50</v>
      </c>
      <c r="P91" s="19" t="s">
        <v>836</v>
      </c>
      <c r="Q91" s="19" t="s">
        <v>837</v>
      </c>
      <c r="R91" s="19"/>
      <c r="S91" s="19"/>
      <c r="U91" s="19"/>
      <c r="W91" s="19"/>
      <c r="X91" s="19" t="s">
        <v>98</v>
      </c>
      <c r="Y91" s="27" t="s">
        <v>133</v>
      </c>
      <c r="Z91" s="27" t="s">
        <v>838</v>
      </c>
      <c r="AA91" s="27" t="s">
        <v>839</v>
      </c>
      <c r="AB91" s="27" t="s">
        <v>840</v>
      </c>
      <c r="AC91" s="37" t="s">
        <v>841</v>
      </c>
      <c r="AD91" s="38" t="s">
        <v>842</v>
      </c>
      <c r="AE91" s="36">
        <v>45748</v>
      </c>
      <c r="AF91" s="19" t="s">
        <v>89</v>
      </c>
      <c r="AG91" s="19" t="s">
        <v>126</v>
      </c>
      <c r="AH91" s="19" t="s">
        <v>62</v>
      </c>
      <c r="AI91" s="19" t="s">
        <v>63</v>
      </c>
      <c r="AJ91" s="19" t="s">
        <v>843</v>
      </c>
      <c r="AK91" s="19"/>
      <c r="AL91" s="19"/>
      <c r="AM91" s="19"/>
      <c r="AN91" s="19" t="s">
        <v>65</v>
      </c>
      <c r="AO91" s="23">
        <v>45776.26458333333</v>
      </c>
      <c r="AP91" s="26">
        <f t="shared" si="3"/>
        <v>110</v>
      </c>
    </row>
    <row r="92" spans="1:42" ht="25.5" hidden="1" customHeight="1">
      <c r="A92" s="19" t="s">
        <v>42</v>
      </c>
      <c r="B92" s="19" t="s">
        <v>117</v>
      </c>
      <c r="C92" s="19" t="s">
        <v>844</v>
      </c>
      <c r="D92" s="19" t="s">
        <v>45</v>
      </c>
      <c r="E92" s="19" t="s">
        <v>46</v>
      </c>
      <c r="F92" s="19" t="s">
        <v>845</v>
      </c>
      <c r="G92" s="19" t="s">
        <v>48</v>
      </c>
      <c r="H92" s="19" t="s">
        <v>49</v>
      </c>
      <c r="I92" s="20">
        <v>45776.31527777778</v>
      </c>
      <c r="K92" s="19"/>
      <c r="L92" s="20">
        <v>45776.334722222222</v>
      </c>
      <c r="M92" s="19"/>
      <c r="N92" s="22">
        <f t="shared" si="2"/>
        <v>1.9444444442342501E-2</v>
      </c>
      <c r="O92" s="19" t="s">
        <v>50</v>
      </c>
      <c r="P92" s="19" t="s">
        <v>846</v>
      </c>
      <c r="Q92" s="19" t="s">
        <v>847</v>
      </c>
      <c r="R92" s="19"/>
      <c r="S92" s="19"/>
      <c r="U92" s="19"/>
      <c r="W92" s="19"/>
      <c r="X92" s="19" t="s">
        <v>848</v>
      </c>
      <c r="Y92" s="27" t="s">
        <v>54</v>
      </c>
      <c r="Z92" s="27" t="s">
        <v>209</v>
      </c>
      <c r="AA92" s="27" t="s">
        <v>849</v>
      </c>
      <c r="AB92" s="27" t="s">
        <v>850</v>
      </c>
      <c r="AC92" s="37" t="s">
        <v>851</v>
      </c>
      <c r="AD92" s="38" t="s">
        <v>852</v>
      </c>
      <c r="AE92" s="36">
        <v>45748</v>
      </c>
      <c r="AF92" s="19" t="s">
        <v>89</v>
      </c>
      <c r="AG92" s="19" t="s">
        <v>90</v>
      </c>
      <c r="AH92" s="19" t="s">
        <v>62</v>
      </c>
      <c r="AI92" s="19" t="s">
        <v>63</v>
      </c>
      <c r="AJ92" s="19" t="s">
        <v>853</v>
      </c>
      <c r="AK92" s="19"/>
      <c r="AL92" s="19"/>
      <c r="AM92" s="19"/>
      <c r="AN92" s="19" t="s">
        <v>103</v>
      </c>
      <c r="AO92" s="23">
        <v>45776.31527777778</v>
      </c>
      <c r="AP92" s="26">
        <f t="shared" si="3"/>
        <v>28</v>
      </c>
    </row>
    <row r="93" spans="1:42" ht="25.5" hidden="1" customHeight="1">
      <c r="A93" s="19" t="s">
        <v>42</v>
      </c>
      <c r="B93" s="19" t="s">
        <v>854</v>
      </c>
      <c r="C93" s="19" t="s">
        <v>855</v>
      </c>
      <c r="D93" s="19" t="s">
        <v>45</v>
      </c>
      <c r="E93" s="19" t="s">
        <v>46</v>
      </c>
      <c r="F93" s="19" t="s">
        <v>856</v>
      </c>
      <c r="G93" s="19" t="s">
        <v>48</v>
      </c>
      <c r="H93" s="19" t="s">
        <v>49</v>
      </c>
      <c r="I93" s="20">
        <v>45777.499305555553</v>
      </c>
      <c r="K93" s="19"/>
      <c r="L93" s="20">
        <v>45777.556250000001</v>
      </c>
      <c r="M93" s="19"/>
      <c r="N93" s="22">
        <f t="shared" si="2"/>
        <v>5.6944444448163267E-2</v>
      </c>
      <c r="O93" s="19" t="s">
        <v>50</v>
      </c>
      <c r="P93" s="19" t="s">
        <v>857</v>
      </c>
      <c r="Q93" s="19" t="s">
        <v>858</v>
      </c>
      <c r="R93" s="19"/>
      <c r="S93" s="19"/>
      <c r="U93" s="19"/>
      <c r="W93" s="19"/>
      <c r="X93" s="19" t="s">
        <v>109</v>
      </c>
      <c r="Y93" s="27" t="s">
        <v>54</v>
      </c>
      <c r="Z93" s="27" t="s">
        <v>123</v>
      </c>
      <c r="AA93" s="27" t="s">
        <v>859</v>
      </c>
      <c r="AB93" s="27" t="s">
        <v>860</v>
      </c>
      <c r="AC93" s="37">
        <v>45777.507789351846</v>
      </c>
      <c r="AD93" s="38" t="s">
        <v>861</v>
      </c>
      <c r="AE93" s="36">
        <v>45748</v>
      </c>
      <c r="AF93" s="19" t="s">
        <v>89</v>
      </c>
      <c r="AG93" s="19" t="s">
        <v>90</v>
      </c>
      <c r="AH93" s="19" t="s">
        <v>62</v>
      </c>
      <c r="AI93" s="19" t="s">
        <v>63</v>
      </c>
      <c r="AJ93" s="19" t="s">
        <v>862</v>
      </c>
      <c r="AK93" s="19"/>
      <c r="AL93" s="19"/>
      <c r="AM93" s="19"/>
      <c r="AN93" s="19" t="s">
        <v>103</v>
      </c>
      <c r="AO93" s="23">
        <v>45777.499305555553</v>
      </c>
      <c r="AP93" s="26">
        <f t="shared" si="3"/>
        <v>82</v>
      </c>
    </row>
    <row r="94" spans="1:42" ht="25.5" hidden="1" customHeight="1">
      <c r="A94" s="19" t="s">
        <v>42</v>
      </c>
      <c r="B94" s="19" t="s">
        <v>66</v>
      </c>
      <c r="C94" s="19" t="s">
        <v>863</v>
      </c>
      <c r="D94" s="19" t="s">
        <v>45</v>
      </c>
      <c r="E94" s="19" t="s">
        <v>46</v>
      </c>
      <c r="F94" s="19" t="s">
        <v>864</v>
      </c>
      <c r="G94" s="19" t="s">
        <v>48</v>
      </c>
      <c r="H94" s="19" t="s">
        <v>49</v>
      </c>
      <c r="I94" s="20">
        <v>45779.361111111109</v>
      </c>
      <c r="K94" s="19"/>
      <c r="L94" s="20">
        <v>45780.0625</v>
      </c>
      <c r="M94" s="19"/>
      <c r="N94" s="22">
        <f t="shared" si="2"/>
        <v>0.70138888889050577</v>
      </c>
      <c r="O94" s="19" t="s">
        <v>50</v>
      </c>
      <c r="P94" s="19" t="s">
        <v>865</v>
      </c>
      <c r="Q94" s="19" t="s">
        <v>866</v>
      </c>
      <c r="R94" s="19"/>
      <c r="S94" s="19"/>
      <c r="U94" s="19"/>
      <c r="W94" s="19"/>
      <c r="X94" s="19" t="s">
        <v>72</v>
      </c>
      <c r="Y94" s="27" t="s">
        <v>147</v>
      </c>
      <c r="Z94" s="27" t="s">
        <v>78</v>
      </c>
      <c r="AA94" s="27" t="s">
        <v>78</v>
      </c>
      <c r="AB94" s="27" t="s">
        <v>78</v>
      </c>
      <c r="AC94" s="37" t="s">
        <v>78</v>
      </c>
      <c r="AD94" s="38" t="s">
        <v>78</v>
      </c>
      <c r="AE94" s="36">
        <v>45778</v>
      </c>
      <c r="AF94" s="19" t="s">
        <v>89</v>
      </c>
      <c r="AG94" s="19" t="s">
        <v>90</v>
      </c>
      <c r="AH94" s="19" t="s">
        <v>62</v>
      </c>
      <c r="AI94" s="19" t="s">
        <v>63</v>
      </c>
      <c r="AJ94" s="19" t="s">
        <v>867</v>
      </c>
      <c r="AK94" s="19"/>
      <c r="AL94" s="19"/>
      <c r="AM94" s="19"/>
      <c r="AN94" s="19" t="s">
        <v>65</v>
      </c>
      <c r="AO94" s="23">
        <v>45779.798611111109</v>
      </c>
      <c r="AP94" s="26">
        <f t="shared" si="3"/>
        <v>1010</v>
      </c>
    </row>
    <row r="95" spans="1:42" ht="25.5" hidden="1" customHeight="1">
      <c r="A95" s="19" t="s">
        <v>42</v>
      </c>
      <c r="C95" s="19" t="s">
        <v>868</v>
      </c>
      <c r="D95" s="19" t="s">
        <v>45</v>
      </c>
      <c r="E95" s="19" t="s">
        <v>46</v>
      </c>
      <c r="F95" s="19" t="s">
        <v>869</v>
      </c>
      <c r="G95" s="19" t="s">
        <v>48</v>
      </c>
      <c r="H95" s="19" t="s">
        <v>49</v>
      </c>
      <c r="I95" s="20">
        <v>45779.538194444453</v>
      </c>
      <c r="K95" s="19"/>
      <c r="L95" s="20">
        <v>45779.645138888889</v>
      </c>
      <c r="M95" s="19"/>
      <c r="N95" s="22">
        <f t="shared" si="2"/>
        <v>0.10694444443652174</v>
      </c>
      <c r="O95" s="19" t="s">
        <v>63</v>
      </c>
      <c r="P95" s="19" t="s">
        <v>870</v>
      </c>
      <c r="Q95" s="19" t="s">
        <v>871</v>
      </c>
      <c r="R95" s="19" t="s">
        <v>872</v>
      </c>
      <c r="S95" s="19" t="s">
        <v>873</v>
      </c>
      <c r="T95" s="20">
        <v>45780.584722222222</v>
      </c>
      <c r="U95" s="19">
        <v>45790.753472222219</v>
      </c>
      <c r="V95" s="19" t="s">
        <v>157</v>
      </c>
      <c r="W95" s="19"/>
      <c r="X95" s="19" t="s">
        <v>746</v>
      </c>
      <c r="Y95" s="27" t="s">
        <v>54</v>
      </c>
      <c r="Z95" s="27" t="s">
        <v>209</v>
      </c>
      <c r="AA95" s="27" t="s">
        <v>874</v>
      </c>
      <c r="AB95" s="27" t="s">
        <v>875</v>
      </c>
      <c r="AC95" s="37">
        <v>45778.433333333327</v>
      </c>
      <c r="AD95" s="38">
        <v>45778.436805555553</v>
      </c>
      <c r="AE95" s="36">
        <v>45778</v>
      </c>
      <c r="AF95" s="19" t="s">
        <v>89</v>
      </c>
      <c r="AG95" s="19" t="s">
        <v>90</v>
      </c>
      <c r="AH95" s="19" t="s">
        <v>62</v>
      </c>
      <c r="AI95" s="19" t="s">
        <v>63</v>
      </c>
      <c r="AJ95" s="19" t="s">
        <v>876</v>
      </c>
      <c r="AK95" s="19"/>
      <c r="AL95" s="19"/>
      <c r="AM95" s="19"/>
      <c r="AN95" s="19" t="s">
        <v>103</v>
      </c>
      <c r="AO95" s="23">
        <v>45779.538194444453</v>
      </c>
      <c r="AP95" s="26">
        <f t="shared" si="3"/>
        <v>154</v>
      </c>
    </row>
    <row r="96" spans="1:42" ht="25.5" hidden="1" customHeight="1">
      <c r="A96" s="19" t="s">
        <v>285</v>
      </c>
      <c r="B96" s="19" t="s">
        <v>470</v>
      </c>
      <c r="C96" s="19" t="s">
        <v>471</v>
      </c>
      <c r="D96" s="19" t="s">
        <v>45</v>
      </c>
      <c r="E96" s="19" t="s">
        <v>877</v>
      </c>
      <c r="F96" s="19" t="s">
        <v>878</v>
      </c>
      <c r="G96" s="19" t="s">
        <v>48</v>
      </c>
      <c r="H96" s="19" t="s">
        <v>49</v>
      </c>
      <c r="I96" s="20">
        <v>45779.597916666673</v>
      </c>
      <c r="K96" s="19"/>
      <c r="L96" s="20">
        <v>45779.622916666667</v>
      </c>
      <c r="M96" s="19"/>
      <c r="N96" s="22">
        <f t="shared" si="2"/>
        <v>2.4999999994179234E-2</v>
      </c>
      <c r="O96" s="19" t="s">
        <v>50</v>
      </c>
      <c r="P96" s="19" t="s">
        <v>879</v>
      </c>
      <c r="Q96" s="19" t="s">
        <v>880</v>
      </c>
      <c r="R96" s="19"/>
      <c r="S96" s="19"/>
      <c r="U96" s="19"/>
      <c r="W96" s="19"/>
      <c r="X96" s="19" t="s">
        <v>475</v>
      </c>
      <c r="Y96" s="27" t="s">
        <v>54</v>
      </c>
      <c r="Z96" s="27" t="s">
        <v>209</v>
      </c>
      <c r="AA96" s="27" t="s">
        <v>881</v>
      </c>
      <c r="AB96" s="27" t="s">
        <v>882</v>
      </c>
      <c r="AC96" s="37" t="s">
        <v>883</v>
      </c>
      <c r="AD96" s="38" t="s">
        <v>884</v>
      </c>
      <c r="AE96" s="36">
        <v>45778</v>
      </c>
      <c r="AF96" s="19" t="s">
        <v>89</v>
      </c>
      <c r="AG96" s="19" t="s">
        <v>90</v>
      </c>
      <c r="AH96" s="19" t="s">
        <v>62</v>
      </c>
      <c r="AI96" s="19" t="s">
        <v>63</v>
      </c>
      <c r="AJ96" s="19" t="s">
        <v>885</v>
      </c>
      <c r="AK96" s="19"/>
      <c r="AL96" s="19"/>
      <c r="AM96" s="19"/>
      <c r="AN96" s="19" t="s">
        <v>103</v>
      </c>
      <c r="AO96" s="23">
        <v>45779.597916666673</v>
      </c>
      <c r="AP96" s="26">
        <f t="shared" si="3"/>
        <v>36</v>
      </c>
    </row>
    <row r="97" spans="1:42" ht="25.5" hidden="1" customHeight="1">
      <c r="A97" s="19" t="s">
        <v>285</v>
      </c>
      <c r="B97" s="19" t="s">
        <v>186</v>
      </c>
      <c r="C97" s="19" t="s">
        <v>886</v>
      </c>
      <c r="D97" s="19" t="s">
        <v>45</v>
      </c>
      <c r="E97" s="19" t="s">
        <v>46</v>
      </c>
      <c r="F97" s="19" t="s">
        <v>887</v>
      </c>
      <c r="G97" s="19" t="s">
        <v>48</v>
      </c>
      <c r="H97" s="19" t="s">
        <v>49</v>
      </c>
      <c r="I97" s="20">
        <v>45780.3125</v>
      </c>
      <c r="K97" s="19"/>
      <c r="L97" s="20">
        <v>45780.416666666657</v>
      </c>
      <c r="M97" s="19"/>
      <c r="N97" s="22">
        <f t="shared" si="2"/>
        <v>0.10416666665696539</v>
      </c>
      <c r="O97" s="19" t="s">
        <v>50</v>
      </c>
      <c r="P97" s="19" t="s">
        <v>888</v>
      </c>
      <c r="Q97" s="19" t="s">
        <v>889</v>
      </c>
      <c r="R97" s="19"/>
      <c r="S97" s="19"/>
      <c r="U97" s="19"/>
      <c r="W97" s="19"/>
      <c r="X97" s="19" t="s">
        <v>191</v>
      </c>
      <c r="Y97" s="27" t="s">
        <v>147</v>
      </c>
      <c r="Z97" s="27" t="s">
        <v>78</v>
      </c>
      <c r="AA97" s="27" t="s">
        <v>78</v>
      </c>
      <c r="AB97" s="27" t="s">
        <v>78</v>
      </c>
      <c r="AC97" s="37" t="s">
        <v>78</v>
      </c>
      <c r="AD97" s="38" t="s">
        <v>78</v>
      </c>
      <c r="AE97" s="36">
        <v>45778</v>
      </c>
      <c r="AF97" s="19" t="s">
        <v>293</v>
      </c>
      <c r="AG97" s="19" t="s">
        <v>294</v>
      </c>
      <c r="AH97" s="19" t="s">
        <v>62</v>
      </c>
      <c r="AI97" s="19" t="s">
        <v>63</v>
      </c>
      <c r="AJ97" s="19" t="s">
        <v>890</v>
      </c>
      <c r="AK97" s="19"/>
      <c r="AL97" s="19"/>
      <c r="AM97" s="19"/>
      <c r="AN97" s="19" t="s">
        <v>622</v>
      </c>
      <c r="AO97" s="23">
        <v>45780.3125</v>
      </c>
      <c r="AP97" s="26">
        <f t="shared" si="3"/>
        <v>150</v>
      </c>
    </row>
    <row r="98" spans="1:42" ht="25.5" hidden="1" customHeight="1">
      <c r="A98" s="19" t="s">
        <v>42</v>
      </c>
      <c r="B98" s="19" t="s">
        <v>891</v>
      </c>
      <c r="C98" s="19" t="s">
        <v>892</v>
      </c>
      <c r="D98" s="19" t="s">
        <v>45</v>
      </c>
      <c r="E98" s="19" t="s">
        <v>46</v>
      </c>
      <c r="F98" s="19" t="s">
        <v>893</v>
      </c>
      <c r="G98" s="19" t="s">
        <v>48</v>
      </c>
      <c r="H98" s="19" t="s">
        <v>49</v>
      </c>
      <c r="I98" s="20">
        <v>45780.322916666657</v>
      </c>
      <c r="K98" s="19"/>
      <c r="L98" s="20">
        <v>45780.34375</v>
      </c>
      <c r="M98" s="19"/>
      <c r="N98" s="22">
        <f t="shared" si="2"/>
        <v>2.083333334303461E-2</v>
      </c>
      <c r="O98" s="19" t="s">
        <v>63</v>
      </c>
      <c r="P98" s="19" t="s">
        <v>894</v>
      </c>
      <c r="Q98" s="19" t="s">
        <v>895</v>
      </c>
      <c r="R98" s="19"/>
      <c r="S98" s="19"/>
      <c r="U98" s="19"/>
      <c r="W98" s="19"/>
      <c r="X98" s="19" t="s">
        <v>98</v>
      </c>
      <c r="Y98" s="27" t="s">
        <v>147</v>
      </c>
      <c r="Z98" s="27" t="s">
        <v>78</v>
      </c>
      <c r="AA98" s="27" t="s">
        <v>78</v>
      </c>
      <c r="AB98" s="27" t="s">
        <v>78</v>
      </c>
      <c r="AC98" s="37" t="s">
        <v>78</v>
      </c>
      <c r="AD98" s="38" t="s">
        <v>78</v>
      </c>
      <c r="AE98" s="36">
        <v>45778</v>
      </c>
      <c r="AF98" s="19" t="s">
        <v>89</v>
      </c>
      <c r="AG98" s="19" t="s">
        <v>90</v>
      </c>
      <c r="AH98" s="19" t="s">
        <v>62</v>
      </c>
      <c r="AI98" s="19" t="s">
        <v>63</v>
      </c>
      <c r="AJ98" s="19" t="s">
        <v>896</v>
      </c>
      <c r="AK98" s="19"/>
      <c r="AL98" s="19"/>
      <c r="AM98" s="19"/>
      <c r="AN98" s="19" t="s">
        <v>65</v>
      </c>
      <c r="AO98" s="23">
        <v>45780.322916666657</v>
      </c>
      <c r="AP98" s="26">
        <f t="shared" si="3"/>
        <v>30</v>
      </c>
    </row>
    <row r="99" spans="1:42" ht="25.5" hidden="1" customHeight="1">
      <c r="A99" s="19" t="s">
        <v>285</v>
      </c>
      <c r="B99" s="19" t="s">
        <v>186</v>
      </c>
      <c r="C99" s="19" t="s">
        <v>886</v>
      </c>
      <c r="D99" s="19" t="s">
        <v>45</v>
      </c>
      <c r="E99" s="19" t="s">
        <v>46</v>
      </c>
      <c r="F99" s="19" t="s">
        <v>887</v>
      </c>
      <c r="G99" s="19" t="s">
        <v>226</v>
      </c>
      <c r="H99" s="19" t="s">
        <v>49</v>
      </c>
      <c r="I99" s="20">
        <v>45780.716666666667</v>
      </c>
      <c r="K99" s="19"/>
      <c r="L99" s="20">
        <v>45780.8125</v>
      </c>
      <c r="M99" s="19"/>
      <c r="N99" s="22">
        <f t="shared" si="2"/>
        <v>9.5833333332848269E-2</v>
      </c>
      <c r="O99" s="19" t="s">
        <v>50</v>
      </c>
      <c r="P99" s="19" t="s">
        <v>897</v>
      </c>
      <c r="Q99" s="19" t="s">
        <v>898</v>
      </c>
      <c r="R99" s="19"/>
      <c r="S99" s="19"/>
      <c r="U99" s="19"/>
      <c r="W99" s="19"/>
      <c r="X99" s="19" t="s">
        <v>191</v>
      </c>
      <c r="Y99" s="27" t="s">
        <v>147</v>
      </c>
      <c r="Z99" s="27" t="s">
        <v>78</v>
      </c>
      <c r="AA99" s="27" t="s">
        <v>78</v>
      </c>
      <c r="AB99" s="27" t="s">
        <v>78</v>
      </c>
      <c r="AC99" s="37" t="s">
        <v>78</v>
      </c>
      <c r="AD99" s="38" t="s">
        <v>78</v>
      </c>
      <c r="AE99" s="36">
        <v>45778</v>
      </c>
      <c r="AF99" s="19" t="s">
        <v>293</v>
      </c>
      <c r="AG99" s="19" t="s">
        <v>294</v>
      </c>
      <c r="AH99" s="19" t="s">
        <v>62</v>
      </c>
      <c r="AI99" s="19" t="s">
        <v>50</v>
      </c>
      <c r="AJ99" s="19" t="s">
        <v>899</v>
      </c>
      <c r="AK99" s="19"/>
      <c r="AL99" s="19"/>
      <c r="AM99" s="19"/>
      <c r="AN99" s="19" t="s">
        <v>622</v>
      </c>
      <c r="AO99" s="23">
        <v>45780.716666666667</v>
      </c>
      <c r="AP99" s="26">
        <f t="shared" si="3"/>
        <v>138</v>
      </c>
    </row>
    <row r="100" spans="1:42" ht="25.5" hidden="1" customHeight="1">
      <c r="A100" s="19" t="s">
        <v>285</v>
      </c>
      <c r="B100" s="19" t="s">
        <v>186</v>
      </c>
      <c r="C100" s="19" t="s">
        <v>886</v>
      </c>
      <c r="D100" s="19" t="s">
        <v>45</v>
      </c>
      <c r="E100" s="19" t="s">
        <v>46</v>
      </c>
      <c r="F100" s="19" t="s">
        <v>887</v>
      </c>
      <c r="G100" s="19" t="s">
        <v>226</v>
      </c>
      <c r="H100" s="19" t="s">
        <v>49</v>
      </c>
      <c r="I100" s="20">
        <v>45781.602777777778</v>
      </c>
      <c r="K100" s="19"/>
      <c r="L100" s="20">
        <v>45781.666666666657</v>
      </c>
      <c r="M100" s="19"/>
      <c r="N100" s="22">
        <f t="shared" si="2"/>
        <v>6.3888888878864236E-2</v>
      </c>
      <c r="O100" s="19" t="s">
        <v>50</v>
      </c>
      <c r="P100" s="19" t="s">
        <v>897</v>
      </c>
      <c r="Q100" s="19" t="s">
        <v>900</v>
      </c>
      <c r="R100" s="19"/>
      <c r="S100" s="19"/>
      <c r="U100" s="19"/>
      <c r="W100" s="19"/>
      <c r="X100" s="19" t="s">
        <v>191</v>
      </c>
      <c r="Y100" s="27" t="s">
        <v>147</v>
      </c>
      <c r="Z100" s="27" t="s">
        <v>78</v>
      </c>
      <c r="AA100" s="27" t="s">
        <v>78</v>
      </c>
      <c r="AB100" s="27" t="s">
        <v>78</v>
      </c>
      <c r="AC100" s="37" t="s">
        <v>78</v>
      </c>
      <c r="AD100" s="38" t="s">
        <v>78</v>
      </c>
      <c r="AE100" s="36">
        <v>45778</v>
      </c>
      <c r="AF100" s="19" t="s">
        <v>293</v>
      </c>
      <c r="AG100" s="19" t="s">
        <v>294</v>
      </c>
      <c r="AH100" s="19" t="s">
        <v>62</v>
      </c>
      <c r="AI100" s="19" t="s">
        <v>50</v>
      </c>
      <c r="AJ100" s="19" t="s">
        <v>899</v>
      </c>
      <c r="AK100" s="19"/>
      <c r="AL100" s="19"/>
      <c r="AM100" s="19"/>
      <c r="AN100" s="19" t="s">
        <v>65</v>
      </c>
      <c r="AO100" s="23">
        <v>45781.602777777778</v>
      </c>
      <c r="AP100" s="26">
        <f t="shared" si="3"/>
        <v>92</v>
      </c>
    </row>
    <row r="101" spans="1:42" ht="25.5" hidden="1" customHeight="1">
      <c r="A101" s="19" t="s">
        <v>42</v>
      </c>
      <c r="B101" s="19" t="s">
        <v>66</v>
      </c>
      <c r="C101" s="19" t="s">
        <v>901</v>
      </c>
      <c r="D101" s="19" t="s">
        <v>45</v>
      </c>
      <c r="E101" s="19" t="s">
        <v>46</v>
      </c>
      <c r="F101" s="19" t="s">
        <v>902</v>
      </c>
      <c r="G101" s="19" t="s">
        <v>48</v>
      </c>
      <c r="H101" s="19" t="s">
        <v>49</v>
      </c>
      <c r="I101" s="20">
        <v>45782</v>
      </c>
      <c r="K101" s="19"/>
      <c r="L101" s="20">
        <v>45782.150694444441</v>
      </c>
      <c r="M101" s="19"/>
      <c r="N101" s="22">
        <f t="shared" si="2"/>
        <v>0.15069444444088731</v>
      </c>
      <c r="O101" s="19" t="s">
        <v>63</v>
      </c>
      <c r="P101" s="19" t="s">
        <v>903</v>
      </c>
      <c r="Q101" s="19" t="s">
        <v>904</v>
      </c>
      <c r="R101" s="19"/>
      <c r="S101" s="19"/>
      <c r="U101" s="19"/>
      <c r="W101" s="19"/>
      <c r="X101" s="19" t="s">
        <v>72</v>
      </c>
      <c r="Y101" s="27" t="s">
        <v>147</v>
      </c>
      <c r="Z101" s="27" t="s">
        <v>78</v>
      </c>
      <c r="AA101" s="27" t="s">
        <v>78</v>
      </c>
      <c r="AB101" s="27" t="s">
        <v>78</v>
      </c>
      <c r="AC101" s="37" t="s">
        <v>78</v>
      </c>
      <c r="AD101" s="38" t="s">
        <v>78</v>
      </c>
      <c r="AE101" s="36">
        <v>45778</v>
      </c>
      <c r="AF101" s="19" t="s">
        <v>78</v>
      </c>
      <c r="AG101" s="19" t="s">
        <v>78</v>
      </c>
      <c r="AH101" s="19" t="s">
        <v>78</v>
      </c>
      <c r="AI101" s="19" t="s">
        <v>63</v>
      </c>
      <c r="AJ101" s="19" t="s">
        <v>905</v>
      </c>
      <c r="AK101" s="19"/>
      <c r="AL101" s="19"/>
      <c r="AM101" s="19"/>
      <c r="AN101" s="19" t="s">
        <v>65</v>
      </c>
      <c r="AO101" s="23">
        <v>45782.120138888888</v>
      </c>
      <c r="AP101" s="26">
        <f t="shared" si="3"/>
        <v>217</v>
      </c>
    </row>
    <row r="102" spans="1:42" ht="25.5" hidden="1" customHeight="1">
      <c r="A102" s="19" t="s">
        <v>285</v>
      </c>
      <c r="B102" s="19" t="s">
        <v>186</v>
      </c>
      <c r="C102" s="19" t="s">
        <v>577</v>
      </c>
      <c r="D102" s="19" t="s">
        <v>45</v>
      </c>
      <c r="E102" s="19" t="s">
        <v>46</v>
      </c>
      <c r="F102" s="19" t="s">
        <v>906</v>
      </c>
      <c r="G102" s="19" t="s">
        <v>48</v>
      </c>
      <c r="H102" s="19" t="s">
        <v>49</v>
      </c>
      <c r="I102" s="20">
        <v>45782.449305555558</v>
      </c>
      <c r="K102" s="19"/>
      <c r="L102" s="20">
        <v>45782.488888888889</v>
      </c>
      <c r="M102" s="19"/>
      <c r="N102" s="22">
        <f t="shared" si="2"/>
        <v>3.9583333331393078E-2</v>
      </c>
      <c r="O102" s="19" t="s">
        <v>63</v>
      </c>
      <c r="P102" s="19" t="s">
        <v>596</v>
      </c>
      <c r="Q102" s="19" t="s">
        <v>907</v>
      </c>
      <c r="R102" s="19"/>
      <c r="S102" s="19"/>
      <c r="U102" s="19"/>
      <c r="W102" s="19"/>
      <c r="X102" s="19" t="s">
        <v>191</v>
      </c>
      <c r="Y102" s="27" t="s">
        <v>147</v>
      </c>
      <c r="Z102" s="27" t="s">
        <v>78</v>
      </c>
      <c r="AA102" s="27" t="s">
        <v>78</v>
      </c>
      <c r="AB102" s="27" t="s">
        <v>78</v>
      </c>
      <c r="AC102" s="37" t="s">
        <v>78</v>
      </c>
      <c r="AD102" s="38" t="s">
        <v>78</v>
      </c>
      <c r="AE102" s="36">
        <v>45778</v>
      </c>
      <c r="AF102" s="19" t="s">
        <v>293</v>
      </c>
      <c r="AG102" s="19" t="s">
        <v>294</v>
      </c>
      <c r="AH102" s="19" t="s">
        <v>62</v>
      </c>
      <c r="AI102" s="19" t="s">
        <v>63</v>
      </c>
      <c r="AJ102" s="19" t="s">
        <v>908</v>
      </c>
      <c r="AK102" s="19"/>
      <c r="AL102" s="19"/>
      <c r="AM102" s="19"/>
      <c r="AN102" s="19" t="s">
        <v>65</v>
      </c>
      <c r="AO102" s="23">
        <v>45782.449305555558</v>
      </c>
      <c r="AP102" s="26">
        <f t="shared" si="3"/>
        <v>57</v>
      </c>
    </row>
    <row r="103" spans="1:42" ht="25.5" hidden="1" customHeight="1">
      <c r="A103" s="19" t="s">
        <v>42</v>
      </c>
      <c r="B103" s="19" t="s">
        <v>909</v>
      </c>
      <c r="C103" s="19" t="s">
        <v>336</v>
      </c>
      <c r="D103" s="19" t="s">
        <v>45</v>
      </c>
      <c r="E103" s="19" t="s">
        <v>46</v>
      </c>
      <c r="F103" s="19" t="s">
        <v>910</v>
      </c>
      <c r="G103" s="19" t="s">
        <v>48</v>
      </c>
      <c r="H103" s="19" t="s">
        <v>49</v>
      </c>
      <c r="I103" s="20">
        <v>45783.239583333343</v>
      </c>
      <c r="K103" s="19"/>
      <c r="L103" s="20">
        <v>45783.395833333343</v>
      </c>
      <c r="M103" s="19"/>
      <c r="N103" s="22">
        <f t="shared" si="2"/>
        <v>0.15625</v>
      </c>
      <c r="O103" s="19" t="s">
        <v>50</v>
      </c>
      <c r="P103" s="19" t="s">
        <v>911</v>
      </c>
      <c r="Q103" s="19" t="s">
        <v>912</v>
      </c>
      <c r="R103" s="19" t="s">
        <v>913</v>
      </c>
      <c r="S103" s="19" t="s">
        <v>914</v>
      </c>
      <c r="T103" s="20">
        <v>45783.486805555563</v>
      </c>
      <c r="U103" s="19">
        <v>45784.498611111107</v>
      </c>
      <c r="V103" s="19" t="s">
        <v>157</v>
      </c>
      <c r="W103" s="19"/>
      <c r="X103" s="19" t="s">
        <v>314</v>
      </c>
      <c r="Y103" s="27" t="s">
        <v>54</v>
      </c>
      <c r="Z103" s="27" t="s">
        <v>915</v>
      </c>
      <c r="AA103" s="27" t="s">
        <v>916</v>
      </c>
      <c r="AB103" s="27" t="s">
        <v>917</v>
      </c>
      <c r="AC103" s="37" t="s">
        <v>918</v>
      </c>
      <c r="AD103" s="38" t="s">
        <v>919</v>
      </c>
      <c r="AE103" s="36">
        <v>45778</v>
      </c>
      <c r="AF103" s="19" t="s">
        <v>89</v>
      </c>
      <c r="AG103" s="19" t="s">
        <v>90</v>
      </c>
      <c r="AH103" s="19" t="s">
        <v>62</v>
      </c>
      <c r="AI103" s="19" t="s">
        <v>63</v>
      </c>
      <c r="AJ103" s="19" t="s">
        <v>920</v>
      </c>
      <c r="AK103" s="19" t="s">
        <v>921</v>
      </c>
      <c r="AL103" s="19"/>
      <c r="AM103" s="19"/>
      <c r="AN103" s="19" t="s">
        <v>103</v>
      </c>
      <c r="AO103" s="23">
        <v>45783.239583333343</v>
      </c>
      <c r="AP103" s="26">
        <f t="shared" si="3"/>
        <v>225</v>
      </c>
    </row>
    <row r="104" spans="1:42" ht="25.5" customHeight="1">
      <c r="A104" s="19" t="s">
        <v>42</v>
      </c>
      <c r="B104" s="19" t="s">
        <v>66</v>
      </c>
      <c r="C104" s="19" t="s">
        <v>922</v>
      </c>
      <c r="D104" s="19" t="s">
        <v>45</v>
      </c>
      <c r="E104" s="19" t="s">
        <v>46</v>
      </c>
      <c r="F104" s="19" t="s">
        <v>923</v>
      </c>
      <c r="G104" s="19" t="s">
        <v>48</v>
      </c>
      <c r="H104" s="19" t="s">
        <v>144</v>
      </c>
      <c r="I104" s="20">
        <v>45783.25</v>
      </c>
      <c r="J104" s="20">
        <v>45783.343055555553</v>
      </c>
      <c r="K104" s="19">
        <v>45783.343055555553</v>
      </c>
      <c r="L104" s="20">
        <v>45783.645833333343</v>
      </c>
      <c r="M104" s="19"/>
      <c r="N104" s="22">
        <f t="shared" si="2"/>
        <v>0.39583333334303461</v>
      </c>
      <c r="O104" s="19" t="s">
        <v>50</v>
      </c>
      <c r="P104" s="19" t="s">
        <v>924</v>
      </c>
      <c r="Q104" s="19" t="s">
        <v>925</v>
      </c>
      <c r="R104" s="19"/>
      <c r="S104" s="19"/>
      <c r="U104" s="19"/>
      <c r="W104" s="19"/>
      <c r="X104" s="19" t="s">
        <v>72</v>
      </c>
      <c r="Y104" s="27" t="s">
        <v>147</v>
      </c>
      <c r="Z104" s="27" t="s">
        <v>78</v>
      </c>
      <c r="AA104" s="27" t="s">
        <v>78</v>
      </c>
      <c r="AB104" s="27" t="s">
        <v>78</v>
      </c>
      <c r="AC104" s="37" t="s">
        <v>78</v>
      </c>
      <c r="AD104" s="38" t="s">
        <v>78</v>
      </c>
      <c r="AE104" s="36">
        <v>45778</v>
      </c>
      <c r="AF104" s="19" t="s">
        <v>99</v>
      </c>
      <c r="AG104" s="19" t="s">
        <v>100</v>
      </c>
      <c r="AH104" s="19" t="s">
        <v>62</v>
      </c>
      <c r="AI104" s="19" t="s">
        <v>63</v>
      </c>
      <c r="AJ104" s="19" t="s">
        <v>926</v>
      </c>
      <c r="AK104" s="19"/>
      <c r="AL104" s="19"/>
      <c r="AM104" s="19"/>
      <c r="AN104" s="19" t="s">
        <v>65</v>
      </c>
      <c r="AO104" s="23">
        <v>45783.324999999997</v>
      </c>
      <c r="AP104" s="26">
        <f t="shared" si="3"/>
        <v>570</v>
      </c>
    </row>
    <row r="105" spans="1:42" ht="25.5" hidden="1" customHeight="1">
      <c r="A105" s="19" t="s">
        <v>42</v>
      </c>
      <c r="B105" s="19" t="s">
        <v>309</v>
      </c>
      <c r="C105" s="19" t="s">
        <v>310</v>
      </c>
      <c r="D105" s="19" t="s">
        <v>45</v>
      </c>
      <c r="E105" s="19" t="s">
        <v>46</v>
      </c>
      <c r="F105" s="19" t="s">
        <v>927</v>
      </c>
      <c r="G105" s="19" t="s">
        <v>48</v>
      </c>
      <c r="H105" s="19" t="s">
        <v>49</v>
      </c>
      <c r="I105" s="20">
        <v>45783.357638888891</v>
      </c>
      <c r="K105" s="19"/>
      <c r="L105" s="20">
        <v>45783.541666666657</v>
      </c>
      <c r="M105" s="19"/>
      <c r="N105" s="22">
        <f t="shared" si="2"/>
        <v>0.18402777776645962</v>
      </c>
      <c r="O105" s="19" t="s">
        <v>50</v>
      </c>
      <c r="P105" s="19" t="s">
        <v>928</v>
      </c>
      <c r="Q105" s="19" t="s">
        <v>929</v>
      </c>
      <c r="R105" s="19"/>
      <c r="S105" s="19"/>
      <c r="U105" s="19"/>
      <c r="W105" s="19"/>
      <c r="X105" s="19" t="s">
        <v>314</v>
      </c>
      <c r="Y105" s="27" t="s">
        <v>133</v>
      </c>
      <c r="Z105" s="27" t="s">
        <v>930</v>
      </c>
      <c r="AA105" s="27" t="s">
        <v>931</v>
      </c>
      <c r="AB105" s="27" t="s">
        <v>932</v>
      </c>
      <c r="AC105" s="37" t="s">
        <v>933</v>
      </c>
      <c r="AD105" s="38" t="s">
        <v>934</v>
      </c>
      <c r="AE105" s="36">
        <v>45778</v>
      </c>
      <c r="AF105" s="19" t="s">
        <v>60</v>
      </c>
      <c r="AG105" s="19" t="s">
        <v>61</v>
      </c>
      <c r="AH105" s="19" t="s">
        <v>62</v>
      </c>
      <c r="AI105" s="19" t="s">
        <v>63</v>
      </c>
      <c r="AJ105" s="19" t="s">
        <v>935</v>
      </c>
      <c r="AK105" s="19"/>
      <c r="AL105" s="19"/>
      <c r="AM105" s="19"/>
      <c r="AN105" s="19" t="s">
        <v>65</v>
      </c>
      <c r="AO105" s="23">
        <v>45783.479166666657</v>
      </c>
      <c r="AP105" s="26">
        <f t="shared" si="3"/>
        <v>265</v>
      </c>
    </row>
    <row r="106" spans="1:42" ht="25.5" customHeight="1">
      <c r="A106" s="19" t="s">
        <v>42</v>
      </c>
      <c r="B106" s="19" t="s">
        <v>936</v>
      </c>
      <c r="C106" s="19" t="s">
        <v>937</v>
      </c>
      <c r="D106" s="19" t="s">
        <v>45</v>
      </c>
      <c r="E106" s="19" t="s">
        <v>46</v>
      </c>
      <c r="F106" s="19" t="s">
        <v>938</v>
      </c>
      <c r="G106" s="19" t="s">
        <v>48</v>
      </c>
      <c r="H106" s="19" t="s">
        <v>152</v>
      </c>
      <c r="I106" s="20">
        <v>45783.35833333333</v>
      </c>
      <c r="J106" s="20">
        <v>45783.407638888893</v>
      </c>
      <c r="K106" s="19"/>
      <c r="L106" s="20">
        <v>45783.416666666657</v>
      </c>
      <c r="M106" s="19"/>
      <c r="N106" s="22">
        <f t="shared" si="2"/>
        <v>5.8333333327027503E-2</v>
      </c>
      <c r="O106" s="19" t="s">
        <v>50</v>
      </c>
      <c r="P106" s="19" t="s">
        <v>939</v>
      </c>
      <c r="Q106" s="19" t="s">
        <v>940</v>
      </c>
      <c r="R106" s="19" t="s">
        <v>941</v>
      </c>
      <c r="S106" s="19" t="s">
        <v>942</v>
      </c>
      <c r="T106" s="20">
        <v>45783.305555555547</v>
      </c>
      <c r="U106" s="19">
        <v>45797.59375</v>
      </c>
      <c r="V106" s="19" t="s">
        <v>157</v>
      </c>
      <c r="W106" s="19"/>
      <c r="X106" s="19" t="s">
        <v>943</v>
      </c>
      <c r="Y106" s="27" t="s">
        <v>54</v>
      </c>
      <c r="Z106" s="27" t="s">
        <v>944</v>
      </c>
      <c r="AA106" s="27" t="s">
        <v>945</v>
      </c>
      <c r="AB106" s="27" t="s">
        <v>946</v>
      </c>
      <c r="AC106" s="37" t="s">
        <v>947</v>
      </c>
      <c r="AD106" s="38" t="s">
        <v>948</v>
      </c>
      <c r="AE106" s="36">
        <v>45778</v>
      </c>
      <c r="AF106" s="19" t="s">
        <v>89</v>
      </c>
      <c r="AG106" s="19" t="s">
        <v>90</v>
      </c>
      <c r="AH106" s="19" t="s">
        <v>62</v>
      </c>
      <c r="AI106" s="19" t="s">
        <v>63</v>
      </c>
      <c r="AJ106" s="19" t="s">
        <v>949</v>
      </c>
      <c r="AK106" s="19" t="s">
        <v>950</v>
      </c>
      <c r="AL106" s="19"/>
      <c r="AM106" s="19"/>
      <c r="AN106" s="19" t="s">
        <v>65</v>
      </c>
      <c r="AO106" s="23">
        <v>45783.37777777778</v>
      </c>
      <c r="AP106" s="26">
        <f t="shared" si="3"/>
        <v>84</v>
      </c>
    </row>
    <row r="107" spans="1:42" ht="25.5" customHeight="1">
      <c r="A107" s="19" t="s">
        <v>42</v>
      </c>
      <c r="B107" s="19" t="s">
        <v>66</v>
      </c>
      <c r="C107" s="19" t="s">
        <v>951</v>
      </c>
      <c r="D107" s="19" t="s">
        <v>45</v>
      </c>
      <c r="E107" s="19" t="s">
        <v>46</v>
      </c>
      <c r="F107" s="19" t="s">
        <v>952</v>
      </c>
      <c r="G107" s="19" t="s">
        <v>48</v>
      </c>
      <c r="H107" s="19" t="s">
        <v>69</v>
      </c>
      <c r="I107" s="20">
        <v>45783.35833333333</v>
      </c>
      <c r="J107" s="20">
        <v>45783.375</v>
      </c>
      <c r="K107" s="19">
        <v>45783.375</v>
      </c>
      <c r="L107" s="20">
        <v>45783.416666666657</v>
      </c>
      <c r="M107" s="19"/>
      <c r="N107" s="22">
        <f t="shared" si="2"/>
        <v>5.8333333327027503E-2</v>
      </c>
      <c r="O107" s="19" t="s">
        <v>50</v>
      </c>
      <c r="P107" s="19" t="s">
        <v>953</v>
      </c>
      <c r="Q107" s="19" t="s">
        <v>954</v>
      </c>
      <c r="R107" s="19"/>
      <c r="S107" s="19"/>
      <c r="U107" s="19"/>
      <c r="W107" s="19"/>
      <c r="X107" s="19" t="s">
        <v>72</v>
      </c>
      <c r="Y107" s="27" t="s">
        <v>54</v>
      </c>
      <c r="Z107" s="27" t="s">
        <v>930</v>
      </c>
      <c r="AA107" s="27" t="s">
        <v>931</v>
      </c>
      <c r="AB107" s="27" t="s">
        <v>955</v>
      </c>
      <c r="AC107" s="37" t="s">
        <v>933</v>
      </c>
      <c r="AD107" s="38" t="s">
        <v>934</v>
      </c>
      <c r="AE107" s="36">
        <v>45778</v>
      </c>
      <c r="AF107" s="19" t="s">
        <v>89</v>
      </c>
      <c r="AG107" s="19" t="s">
        <v>90</v>
      </c>
      <c r="AH107" s="19" t="s">
        <v>62</v>
      </c>
      <c r="AI107" s="19" t="s">
        <v>63</v>
      </c>
      <c r="AJ107" s="19" t="s">
        <v>956</v>
      </c>
      <c r="AK107" s="19"/>
      <c r="AL107" s="19"/>
      <c r="AM107" s="19"/>
      <c r="AN107" s="19" t="s">
        <v>65</v>
      </c>
      <c r="AO107" s="23">
        <v>45783.375</v>
      </c>
      <c r="AP107" s="26">
        <f t="shared" si="3"/>
        <v>84</v>
      </c>
    </row>
    <row r="108" spans="1:42" ht="25.5" hidden="1" customHeight="1">
      <c r="A108" s="19" t="s">
        <v>116</v>
      </c>
      <c r="B108" s="19" t="s">
        <v>957</v>
      </c>
      <c r="C108" s="19" t="s">
        <v>336</v>
      </c>
      <c r="D108" s="19" t="s">
        <v>45</v>
      </c>
      <c r="E108" s="19" t="s">
        <v>46</v>
      </c>
      <c r="F108" s="19" t="s">
        <v>958</v>
      </c>
      <c r="G108" s="19" t="s">
        <v>48</v>
      </c>
      <c r="H108" s="19" t="s">
        <v>49</v>
      </c>
      <c r="I108" s="20">
        <v>45783.50277777778</v>
      </c>
      <c r="K108" s="19"/>
      <c r="L108" s="20">
        <v>45783.524305555547</v>
      </c>
      <c r="M108" s="19"/>
      <c r="N108" s="22">
        <f t="shared" si="2"/>
        <v>2.1527777767914813E-2</v>
      </c>
      <c r="O108" s="19" t="s">
        <v>63</v>
      </c>
      <c r="P108" s="19" t="s">
        <v>959</v>
      </c>
      <c r="Q108" s="19" t="s">
        <v>960</v>
      </c>
      <c r="R108" s="19"/>
      <c r="S108" s="19"/>
      <c r="U108" s="19"/>
      <c r="W108" s="19"/>
      <c r="X108" s="19" t="s">
        <v>314</v>
      </c>
      <c r="Y108" s="27" t="s">
        <v>54</v>
      </c>
      <c r="Z108" s="27" t="s">
        <v>811</v>
      </c>
      <c r="AA108" s="27" t="s">
        <v>961</v>
      </c>
      <c r="AB108" s="27" t="s">
        <v>962</v>
      </c>
      <c r="AC108" s="37" t="s">
        <v>963</v>
      </c>
      <c r="AD108" s="38" t="s">
        <v>964</v>
      </c>
      <c r="AE108" s="36">
        <v>45778</v>
      </c>
      <c r="AF108" s="19" t="s">
        <v>78</v>
      </c>
      <c r="AG108" s="19" t="s">
        <v>78</v>
      </c>
      <c r="AH108" s="19" t="s">
        <v>78</v>
      </c>
      <c r="AI108" s="19" t="s">
        <v>63</v>
      </c>
      <c r="AJ108" s="19" t="s">
        <v>965</v>
      </c>
      <c r="AK108" s="19"/>
      <c r="AL108" s="19"/>
      <c r="AM108" s="19"/>
      <c r="AN108" s="19" t="s">
        <v>103</v>
      </c>
      <c r="AO108" s="23">
        <v>45783.50277777778</v>
      </c>
      <c r="AP108" s="26">
        <f t="shared" si="3"/>
        <v>31</v>
      </c>
    </row>
    <row r="109" spans="1:42" ht="25.5" hidden="1" customHeight="1">
      <c r="A109" s="19" t="s">
        <v>42</v>
      </c>
      <c r="B109" s="19" t="s">
        <v>854</v>
      </c>
      <c r="C109" s="19" t="s">
        <v>966</v>
      </c>
      <c r="D109" s="19" t="s">
        <v>45</v>
      </c>
      <c r="E109" s="19" t="s">
        <v>967</v>
      </c>
      <c r="F109" s="19" t="s">
        <v>968</v>
      </c>
      <c r="G109" s="19" t="s">
        <v>48</v>
      </c>
      <c r="H109" s="19" t="s">
        <v>49</v>
      </c>
      <c r="I109" s="20">
        <v>45783.711111111108</v>
      </c>
      <c r="K109" s="19"/>
      <c r="L109" s="20">
        <v>45783.738888888889</v>
      </c>
      <c r="M109" s="19"/>
      <c r="N109" s="22">
        <f t="shared" si="2"/>
        <v>2.7777777781011537E-2</v>
      </c>
      <c r="O109" s="19" t="s">
        <v>50</v>
      </c>
      <c r="P109" s="19" t="s">
        <v>969</v>
      </c>
      <c r="Q109" s="19" t="s">
        <v>970</v>
      </c>
      <c r="R109" s="19"/>
      <c r="S109" s="19"/>
      <c r="U109" s="19"/>
      <c r="W109" s="19"/>
      <c r="X109" s="19" t="s">
        <v>109</v>
      </c>
      <c r="Y109" s="27" t="s">
        <v>147</v>
      </c>
      <c r="Z109" s="27" t="s">
        <v>78</v>
      </c>
      <c r="AA109" s="27" t="s">
        <v>78</v>
      </c>
      <c r="AB109" s="27" t="s">
        <v>78</v>
      </c>
      <c r="AC109" s="37" t="s">
        <v>78</v>
      </c>
      <c r="AD109" s="38" t="s">
        <v>78</v>
      </c>
      <c r="AE109" s="36">
        <v>45778</v>
      </c>
      <c r="AF109" s="19" t="s">
        <v>99</v>
      </c>
      <c r="AG109" s="19" t="s">
        <v>971</v>
      </c>
      <c r="AH109" s="19" t="s">
        <v>62</v>
      </c>
      <c r="AI109" s="19" t="s">
        <v>63</v>
      </c>
      <c r="AJ109" s="19" t="s">
        <v>972</v>
      </c>
      <c r="AK109" s="19"/>
      <c r="AL109" s="19"/>
      <c r="AM109" s="19"/>
      <c r="AN109" s="19" t="s">
        <v>103</v>
      </c>
      <c r="AO109" s="23">
        <v>45783.211111111108</v>
      </c>
      <c r="AP109" s="26">
        <f t="shared" si="3"/>
        <v>40</v>
      </c>
    </row>
    <row r="110" spans="1:42" ht="25.5" customHeight="1">
      <c r="A110" s="19" t="s">
        <v>42</v>
      </c>
      <c r="B110" s="19" t="s">
        <v>66</v>
      </c>
      <c r="C110" s="19" t="s">
        <v>973</v>
      </c>
      <c r="D110" s="19" t="s">
        <v>45</v>
      </c>
      <c r="E110" s="19" t="s">
        <v>46</v>
      </c>
      <c r="F110" s="19" t="s">
        <v>974</v>
      </c>
      <c r="G110" s="19" t="s">
        <v>48</v>
      </c>
      <c r="H110" s="19" t="s">
        <v>69</v>
      </c>
      <c r="I110" s="20">
        <v>45783.819444444453</v>
      </c>
      <c r="J110" s="20">
        <v>45783.826388888891</v>
      </c>
      <c r="K110" s="19">
        <v>45783.833333333343</v>
      </c>
      <c r="L110" s="20">
        <v>45783.938888888893</v>
      </c>
      <c r="M110" s="19"/>
      <c r="N110" s="22">
        <f t="shared" si="2"/>
        <v>0.11944444444088731</v>
      </c>
      <c r="O110" s="19" t="s">
        <v>50</v>
      </c>
      <c r="P110" s="19" t="s">
        <v>975</v>
      </c>
      <c r="Q110" s="19" t="s">
        <v>976</v>
      </c>
      <c r="R110" s="19"/>
      <c r="S110" s="19"/>
      <c r="U110" s="19"/>
      <c r="W110" s="19"/>
      <c r="X110" s="19" t="s">
        <v>72</v>
      </c>
      <c r="Y110" s="27" t="s">
        <v>54</v>
      </c>
      <c r="Z110" s="27" t="s">
        <v>331</v>
      </c>
      <c r="AA110" s="27" t="s">
        <v>977</v>
      </c>
      <c r="AB110" s="27" t="s">
        <v>978</v>
      </c>
      <c r="AC110" s="37" t="s">
        <v>979</v>
      </c>
      <c r="AD110" s="38" t="s">
        <v>980</v>
      </c>
      <c r="AE110" s="36">
        <v>45778</v>
      </c>
      <c r="AF110" s="19" t="s">
        <v>99</v>
      </c>
      <c r="AG110" s="19" t="s">
        <v>100</v>
      </c>
      <c r="AH110" s="19" t="s">
        <v>62</v>
      </c>
      <c r="AI110" s="19" t="s">
        <v>63</v>
      </c>
      <c r="AJ110" s="19" t="s">
        <v>981</v>
      </c>
      <c r="AK110" s="19" t="s">
        <v>982</v>
      </c>
      <c r="AL110" s="19"/>
      <c r="AM110" s="19"/>
      <c r="AN110" s="19" t="s">
        <v>65</v>
      </c>
      <c r="AO110" s="23">
        <v>45783.819444444453</v>
      </c>
      <c r="AP110" s="26">
        <f t="shared" si="3"/>
        <v>172</v>
      </c>
    </row>
    <row r="111" spans="1:42" ht="25.5" hidden="1" customHeight="1">
      <c r="A111" s="19" t="s">
        <v>42</v>
      </c>
      <c r="B111" s="19" t="s">
        <v>983</v>
      </c>
      <c r="C111" s="19" t="s">
        <v>984</v>
      </c>
      <c r="D111" s="19" t="s">
        <v>45</v>
      </c>
      <c r="E111" s="19" t="s">
        <v>46</v>
      </c>
      <c r="F111" s="19" t="s">
        <v>985</v>
      </c>
      <c r="G111" s="19" t="s">
        <v>48</v>
      </c>
      <c r="H111" s="19" t="s">
        <v>49</v>
      </c>
      <c r="I111" s="20">
        <v>45783.991666666669</v>
      </c>
      <c r="K111" s="19"/>
      <c r="L111" s="20">
        <v>45784.013888888891</v>
      </c>
      <c r="M111" s="19"/>
      <c r="N111" s="22">
        <f t="shared" si="2"/>
        <v>2.2222222221898846E-2</v>
      </c>
      <c r="O111" s="19" t="s">
        <v>50</v>
      </c>
      <c r="P111" s="19" t="s">
        <v>986</v>
      </c>
      <c r="Q111" s="19" t="s">
        <v>987</v>
      </c>
      <c r="R111" s="19"/>
      <c r="S111" s="19"/>
      <c r="U111" s="19"/>
      <c r="W111" s="19"/>
      <c r="X111" s="19" t="s">
        <v>662</v>
      </c>
      <c r="Y111" s="27" t="s">
        <v>133</v>
      </c>
      <c r="Z111" s="27" t="s">
        <v>988</v>
      </c>
      <c r="AA111" s="27" t="s">
        <v>989</v>
      </c>
      <c r="AB111" s="27" t="s">
        <v>990</v>
      </c>
      <c r="AC111" s="37" t="s">
        <v>991</v>
      </c>
      <c r="AD111" s="38" t="s">
        <v>992</v>
      </c>
      <c r="AE111" s="36">
        <v>45778</v>
      </c>
      <c r="AF111" s="19" t="s">
        <v>89</v>
      </c>
      <c r="AG111" s="19" t="s">
        <v>90</v>
      </c>
      <c r="AH111" s="19" t="s">
        <v>62</v>
      </c>
      <c r="AI111" s="19" t="s">
        <v>63</v>
      </c>
      <c r="AJ111" s="19" t="s">
        <v>993</v>
      </c>
      <c r="AK111" s="19"/>
      <c r="AL111" s="19"/>
      <c r="AM111" s="19"/>
      <c r="AN111" s="19" t="s">
        <v>65</v>
      </c>
      <c r="AO111" s="23">
        <v>45783.991666666669</v>
      </c>
      <c r="AP111" s="26">
        <f t="shared" si="3"/>
        <v>32</v>
      </c>
    </row>
    <row r="112" spans="1:42" ht="25.5" hidden="1" customHeight="1">
      <c r="A112" s="19" t="s">
        <v>116</v>
      </c>
      <c r="B112" s="19" t="s">
        <v>994</v>
      </c>
      <c r="C112" s="19" t="s">
        <v>995</v>
      </c>
      <c r="D112" s="19" t="s">
        <v>45</v>
      </c>
      <c r="E112" s="19" t="s">
        <v>46</v>
      </c>
      <c r="F112" s="19" t="s">
        <v>996</v>
      </c>
      <c r="G112" s="19" t="s">
        <v>48</v>
      </c>
      <c r="H112" s="19" t="s">
        <v>49</v>
      </c>
      <c r="I112" s="20">
        <v>45784.166666666657</v>
      </c>
      <c r="K112" s="19"/>
      <c r="L112" s="20">
        <v>45784.268055555563</v>
      </c>
      <c r="M112" s="19"/>
      <c r="N112" s="22">
        <f t="shared" si="2"/>
        <v>0.10138888890651288</v>
      </c>
      <c r="O112" s="19" t="s">
        <v>50</v>
      </c>
      <c r="P112" s="19" t="s">
        <v>997</v>
      </c>
      <c r="Q112" s="19" t="s">
        <v>998</v>
      </c>
      <c r="R112" s="19"/>
      <c r="S112" s="19"/>
      <c r="U112" s="19"/>
      <c r="W112" s="19"/>
      <c r="X112" s="19" t="s">
        <v>122</v>
      </c>
      <c r="Y112" s="27" t="s">
        <v>133</v>
      </c>
      <c r="Z112" s="27" t="s">
        <v>999</v>
      </c>
      <c r="AA112" s="27" t="s">
        <v>1000</v>
      </c>
      <c r="AB112" s="27" t="s">
        <v>1001</v>
      </c>
      <c r="AC112" s="37" t="s">
        <v>1002</v>
      </c>
      <c r="AD112" s="38" t="s">
        <v>1003</v>
      </c>
      <c r="AE112" s="36">
        <v>45778</v>
      </c>
      <c r="AF112" s="19" t="s">
        <v>99</v>
      </c>
      <c r="AG112" s="19" t="s">
        <v>139</v>
      </c>
      <c r="AH112" s="19" t="s">
        <v>62</v>
      </c>
      <c r="AI112" s="19" t="s">
        <v>63</v>
      </c>
      <c r="AJ112" s="19" t="s">
        <v>1004</v>
      </c>
      <c r="AK112" s="19" t="s">
        <v>1005</v>
      </c>
      <c r="AL112" s="19"/>
      <c r="AM112" s="19"/>
      <c r="AN112" s="19" t="s">
        <v>65</v>
      </c>
      <c r="AO112" s="23">
        <v>45784.191666666673</v>
      </c>
      <c r="AP112" s="26">
        <f t="shared" si="3"/>
        <v>146</v>
      </c>
    </row>
    <row r="113" spans="1:42" ht="25.5" hidden="1" customHeight="1">
      <c r="A113" s="19" t="s">
        <v>42</v>
      </c>
      <c r="B113" s="19" t="s">
        <v>309</v>
      </c>
      <c r="C113" s="19" t="s">
        <v>310</v>
      </c>
      <c r="D113" s="19" t="s">
        <v>45</v>
      </c>
      <c r="E113" s="19" t="s">
        <v>46</v>
      </c>
      <c r="F113" s="19" t="s">
        <v>927</v>
      </c>
      <c r="G113" s="19" t="s">
        <v>226</v>
      </c>
      <c r="H113" s="19" t="s">
        <v>49</v>
      </c>
      <c r="I113" s="20">
        <v>45784.445833333331</v>
      </c>
      <c r="K113" s="19"/>
      <c r="L113" s="20">
        <v>45784.541666666657</v>
      </c>
      <c r="M113" s="19"/>
      <c r="N113" s="22">
        <f t="shared" si="2"/>
        <v>9.5833333325572312E-2</v>
      </c>
      <c r="O113" s="19" t="s">
        <v>50</v>
      </c>
      <c r="P113" s="19" t="s">
        <v>1006</v>
      </c>
      <c r="Q113" s="19" t="s">
        <v>1007</v>
      </c>
      <c r="R113" s="19"/>
      <c r="S113" s="19"/>
      <c r="U113" s="19"/>
      <c r="W113" s="19"/>
      <c r="X113" s="19" t="s">
        <v>314</v>
      </c>
      <c r="Y113" s="27" t="s">
        <v>54</v>
      </c>
      <c r="Z113" s="27" t="s">
        <v>123</v>
      </c>
      <c r="AA113" s="27" t="s">
        <v>1008</v>
      </c>
      <c r="AB113" s="27" t="s">
        <v>1009</v>
      </c>
      <c r="AC113" s="37">
        <v>45784.432638888888</v>
      </c>
      <c r="AD113" s="38">
        <v>45784.44027777778</v>
      </c>
      <c r="AE113" s="36">
        <v>45778</v>
      </c>
      <c r="AF113" s="19" t="s">
        <v>89</v>
      </c>
      <c r="AG113" s="19" t="s">
        <v>90</v>
      </c>
      <c r="AH113" s="19" t="s">
        <v>62</v>
      </c>
      <c r="AI113" s="19" t="s">
        <v>50</v>
      </c>
      <c r="AJ113" s="19" t="s">
        <v>1010</v>
      </c>
      <c r="AK113" s="19" t="s">
        <v>950</v>
      </c>
      <c r="AL113" s="19"/>
      <c r="AM113" s="19"/>
      <c r="AN113" s="19" t="s">
        <v>65</v>
      </c>
      <c r="AO113" s="23">
        <v>45784.445833333331</v>
      </c>
      <c r="AP113" s="26">
        <f t="shared" si="3"/>
        <v>138</v>
      </c>
    </row>
    <row r="114" spans="1:42" ht="25.5" hidden="1" customHeight="1">
      <c r="A114" s="19" t="s">
        <v>42</v>
      </c>
      <c r="B114" s="19" t="s">
        <v>104</v>
      </c>
      <c r="C114" s="19" t="s">
        <v>1011</v>
      </c>
      <c r="D114" s="19" t="s">
        <v>45</v>
      </c>
      <c r="E114" s="19" t="s">
        <v>46</v>
      </c>
      <c r="F114" s="19" t="s">
        <v>1012</v>
      </c>
      <c r="G114" s="19" t="s">
        <v>48</v>
      </c>
      <c r="H114" s="19" t="s">
        <v>49</v>
      </c>
      <c r="I114" s="20">
        <v>45784.660416666673</v>
      </c>
      <c r="K114" s="19"/>
      <c r="L114" s="20">
        <v>45784.677083333343</v>
      </c>
      <c r="M114" s="19"/>
      <c r="N114" s="22">
        <f t="shared" si="2"/>
        <v>1.6666666670062114E-2</v>
      </c>
      <c r="O114" s="19" t="s">
        <v>50</v>
      </c>
      <c r="P114" s="19" t="s">
        <v>1013</v>
      </c>
      <c r="Q114" s="19" t="s">
        <v>1014</v>
      </c>
      <c r="R114" s="19"/>
      <c r="S114" s="19"/>
      <c r="U114" s="19"/>
      <c r="W114" s="19"/>
      <c r="X114" s="19" t="s">
        <v>109</v>
      </c>
      <c r="Y114" s="27" t="s">
        <v>133</v>
      </c>
      <c r="Z114" s="27" t="s">
        <v>1015</v>
      </c>
      <c r="AA114" s="27" t="s">
        <v>1016</v>
      </c>
      <c r="AB114" s="27" t="s">
        <v>1017</v>
      </c>
      <c r="AC114" s="37" t="s">
        <v>1018</v>
      </c>
      <c r="AD114" s="38" t="s">
        <v>1019</v>
      </c>
      <c r="AE114" s="36">
        <v>45778</v>
      </c>
      <c r="AF114" s="19" t="s">
        <v>89</v>
      </c>
      <c r="AG114" s="19" t="s">
        <v>90</v>
      </c>
      <c r="AH114" s="19" t="s">
        <v>62</v>
      </c>
      <c r="AI114" s="19" t="s">
        <v>63</v>
      </c>
      <c r="AJ114" s="19" t="s">
        <v>1020</v>
      </c>
      <c r="AK114" s="19"/>
      <c r="AL114" s="19"/>
      <c r="AM114" s="19"/>
      <c r="AN114" s="19" t="s">
        <v>103</v>
      </c>
      <c r="AO114" s="23">
        <v>45784.660416666673</v>
      </c>
      <c r="AP114" s="26">
        <f t="shared" si="3"/>
        <v>24</v>
      </c>
    </row>
    <row r="115" spans="1:42" ht="25.5" hidden="1" customHeight="1">
      <c r="A115" s="19" t="s">
        <v>92</v>
      </c>
      <c r="B115" s="19" t="s">
        <v>403</v>
      </c>
      <c r="C115" s="19" t="s">
        <v>1021</v>
      </c>
      <c r="D115" s="19" t="s">
        <v>45</v>
      </c>
      <c r="E115" s="19" t="s">
        <v>46</v>
      </c>
      <c r="F115" s="19" t="s">
        <v>1022</v>
      </c>
      <c r="G115" s="19" t="s">
        <v>48</v>
      </c>
      <c r="H115" s="19" t="s">
        <v>49</v>
      </c>
      <c r="I115" s="20">
        <v>45784.743055555547</v>
      </c>
      <c r="K115" s="19"/>
      <c r="L115" s="20">
        <v>45784.750694444447</v>
      </c>
      <c r="M115" s="19"/>
      <c r="N115" s="22">
        <f t="shared" si="2"/>
        <v>7.6388888992369175E-3</v>
      </c>
      <c r="O115" s="19" t="s">
        <v>50</v>
      </c>
      <c r="P115" s="19" t="s">
        <v>1023</v>
      </c>
      <c r="Q115" s="19" t="s">
        <v>1024</v>
      </c>
      <c r="R115" s="19"/>
      <c r="S115" s="19"/>
      <c r="U115" s="19"/>
      <c r="W115" s="19"/>
      <c r="X115" s="19" t="s">
        <v>109</v>
      </c>
      <c r="Y115" s="27" t="s">
        <v>133</v>
      </c>
      <c r="Z115" s="27" t="s">
        <v>84</v>
      </c>
      <c r="AA115" s="27" t="s">
        <v>1025</v>
      </c>
      <c r="AB115" s="27" t="s">
        <v>1026</v>
      </c>
      <c r="AC115" s="37" t="s">
        <v>1027</v>
      </c>
      <c r="AD115" s="38" t="s">
        <v>1028</v>
      </c>
      <c r="AE115" s="36">
        <v>45778</v>
      </c>
      <c r="AF115" s="19" t="s">
        <v>60</v>
      </c>
      <c r="AG115" s="19" t="s">
        <v>78</v>
      </c>
      <c r="AH115" s="19" t="s">
        <v>78</v>
      </c>
      <c r="AI115" s="19" t="s">
        <v>63</v>
      </c>
      <c r="AJ115" s="19" t="s">
        <v>1029</v>
      </c>
      <c r="AK115" s="19"/>
      <c r="AL115" s="19"/>
      <c r="AM115" s="19"/>
      <c r="AN115" s="19" t="s">
        <v>103</v>
      </c>
      <c r="AO115" s="23">
        <v>45784.743055555547</v>
      </c>
      <c r="AP115" s="26">
        <f t="shared" si="3"/>
        <v>11</v>
      </c>
    </row>
    <row r="116" spans="1:42" ht="25.5" hidden="1" customHeight="1">
      <c r="A116" s="19" t="s">
        <v>285</v>
      </c>
      <c r="B116" s="19" t="s">
        <v>186</v>
      </c>
      <c r="C116" s="19" t="s">
        <v>577</v>
      </c>
      <c r="D116" s="19" t="s">
        <v>45</v>
      </c>
      <c r="E116" s="19" t="s">
        <v>46</v>
      </c>
      <c r="F116" s="19" t="s">
        <v>1030</v>
      </c>
      <c r="G116" s="19" t="s">
        <v>48</v>
      </c>
      <c r="H116" s="19" t="s">
        <v>49</v>
      </c>
      <c r="I116" s="20">
        <v>45785.488194444442</v>
      </c>
      <c r="K116" s="19"/>
      <c r="L116" s="20">
        <v>45786.697916666657</v>
      </c>
      <c r="M116" s="19"/>
      <c r="N116" s="22">
        <f t="shared" si="2"/>
        <v>1.2097222222146229</v>
      </c>
      <c r="O116" s="19" t="s">
        <v>63</v>
      </c>
      <c r="P116" s="19" t="s">
        <v>1031</v>
      </c>
      <c r="Q116" s="19" t="s">
        <v>1032</v>
      </c>
      <c r="R116" s="19"/>
      <c r="S116" s="19"/>
      <c r="U116" s="19"/>
      <c r="W116" s="19"/>
      <c r="X116" s="19" t="s">
        <v>191</v>
      </c>
      <c r="Y116" s="27" t="s">
        <v>133</v>
      </c>
      <c r="Z116" s="27" t="s">
        <v>123</v>
      </c>
      <c r="AA116" s="27" t="s">
        <v>1033</v>
      </c>
      <c r="AB116" s="27" t="s">
        <v>1034</v>
      </c>
      <c r="AC116" s="37">
        <v>45786.361111111109</v>
      </c>
      <c r="AD116" s="38">
        <v>45786.368055555547</v>
      </c>
      <c r="AE116" s="36">
        <v>45778</v>
      </c>
      <c r="AF116" s="19" t="s">
        <v>89</v>
      </c>
      <c r="AG116" s="19" t="s">
        <v>90</v>
      </c>
      <c r="AH116" s="19" t="s">
        <v>62</v>
      </c>
      <c r="AI116" s="19" t="s">
        <v>63</v>
      </c>
      <c r="AJ116" s="19" t="s">
        <v>1035</v>
      </c>
      <c r="AK116" s="19"/>
      <c r="AL116" s="19"/>
      <c r="AM116" s="19"/>
      <c r="AN116" s="19" t="s">
        <v>65</v>
      </c>
      <c r="AO116" s="23">
        <v>45785.488194444442</v>
      </c>
      <c r="AP116" s="26">
        <f t="shared" si="3"/>
        <v>302</v>
      </c>
    </row>
    <row r="117" spans="1:42" ht="25.5" hidden="1" customHeight="1">
      <c r="A117" s="19" t="s">
        <v>42</v>
      </c>
      <c r="B117" s="19" t="s">
        <v>1036</v>
      </c>
      <c r="C117" s="19" t="s">
        <v>1037</v>
      </c>
      <c r="D117" s="19" t="s">
        <v>45</v>
      </c>
      <c r="E117" s="19" t="s">
        <v>1038</v>
      </c>
      <c r="F117" s="19" t="s">
        <v>1039</v>
      </c>
      <c r="G117" s="19" t="s">
        <v>48</v>
      </c>
      <c r="H117" s="19" t="s">
        <v>49</v>
      </c>
      <c r="I117" s="20">
        <v>45785.8125</v>
      </c>
      <c r="K117" s="19"/>
      <c r="L117" s="20">
        <v>45785.878472222219</v>
      </c>
      <c r="M117" s="19"/>
      <c r="N117" s="22">
        <f t="shared" si="2"/>
        <v>6.5972222218988463E-2</v>
      </c>
      <c r="O117" s="19" t="s">
        <v>50</v>
      </c>
      <c r="P117" s="19" t="s">
        <v>1040</v>
      </c>
      <c r="Q117" s="19" t="s">
        <v>1041</v>
      </c>
      <c r="R117" s="19"/>
      <c r="S117" s="19"/>
      <c r="U117" s="19"/>
      <c r="W117" s="19"/>
      <c r="X117" s="19" t="s">
        <v>1042</v>
      </c>
      <c r="Y117" s="27" t="s">
        <v>133</v>
      </c>
      <c r="Z117" s="27" t="s">
        <v>1043</v>
      </c>
      <c r="AA117" s="27" t="s">
        <v>1044</v>
      </c>
      <c r="AB117" s="27" t="s">
        <v>1045</v>
      </c>
      <c r="AC117" s="37" t="s">
        <v>1046</v>
      </c>
      <c r="AD117" s="38" t="s">
        <v>1047</v>
      </c>
      <c r="AE117" s="36">
        <v>45778</v>
      </c>
      <c r="AF117" s="19" t="s">
        <v>60</v>
      </c>
      <c r="AG117" s="19" t="s">
        <v>78</v>
      </c>
      <c r="AH117" s="19" t="s">
        <v>78</v>
      </c>
      <c r="AI117" s="19" t="s">
        <v>63</v>
      </c>
      <c r="AJ117" s="19" t="s">
        <v>1048</v>
      </c>
      <c r="AK117" s="19"/>
      <c r="AL117" s="19"/>
      <c r="AM117" s="19"/>
      <c r="AN117" s="19" t="s">
        <v>103</v>
      </c>
      <c r="AO117" s="23">
        <v>45785.8125</v>
      </c>
      <c r="AP117" s="26">
        <f t="shared" si="3"/>
        <v>95</v>
      </c>
    </row>
    <row r="118" spans="1:42" ht="25.5" hidden="1" customHeight="1">
      <c r="A118" s="19" t="s">
        <v>116</v>
      </c>
      <c r="B118" s="19" t="s">
        <v>1049</v>
      </c>
      <c r="C118" s="19" t="s">
        <v>1050</v>
      </c>
      <c r="D118" s="19" t="s">
        <v>45</v>
      </c>
      <c r="E118" s="19" t="s">
        <v>46</v>
      </c>
      <c r="F118" s="19" t="s">
        <v>1051</v>
      </c>
      <c r="G118" s="19" t="s">
        <v>48</v>
      </c>
      <c r="H118" s="19" t="s">
        <v>49</v>
      </c>
      <c r="I118" s="20">
        <v>45786.261111111111</v>
      </c>
      <c r="K118" s="19"/>
      <c r="L118" s="20">
        <v>45786.381944444453</v>
      </c>
      <c r="M118" s="19"/>
      <c r="N118" s="22">
        <f t="shared" si="2"/>
        <v>0.12083333334157942</v>
      </c>
      <c r="O118" s="19" t="s">
        <v>63</v>
      </c>
      <c r="P118" s="19" t="s">
        <v>1052</v>
      </c>
      <c r="Q118" s="19" t="s">
        <v>1053</v>
      </c>
      <c r="R118" s="19"/>
      <c r="S118" s="19"/>
      <c r="U118" s="19"/>
      <c r="W118" s="19"/>
      <c r="X118" s="19" t="s">
        <v>122</v>
      </c>
      <c r="Y118" s="27" t="s">
        <v>147</v>
      </c>
      <c r="Z118" s="27" t="s">
        <v>78</v>
      </c>
      <c r="AA118" s="27" t="s">
        <v>78</v>
      </c>
      <c r="AB118" s="27" t="s">
        <v>78</v>
      </c>
      <c r="AC118" s="37" t="s">
        <v>78</v>
      </c>
      <c r="AD118" s="38" t="s">
        <v>78</v>
      </c>
      <c r="AE118" s="36">
        <v>45778</v>
      </c>
      <c r="AF118" s="19" t="s">
        <v>89</v>
      </c>
      <c r="AG118" s="19" t="s">
        <v>90</v>
      </c>
      <c r="AH118" s="19" t="s">
        <v>62</v>
      </c>
      <c r="AI118" s="19" t="s">
        <v>63</v>
      </c>
      <c r="AJ118" s="19" t="s">
        <v>1054</v>
      </c>
      <c r="AK118" s="19"/>
      <c r="AL118" s="19"/>
      <c r="AM118" s="19"/>
      <c r="AN118" s="19" t="s">
        <v>65</v>
      </c>
      <c r="AO118" s="23">
        <v>45786.261111111111</v>
      </c>
      <c r="AP118" s="26">
        <f t="shared" si="3"/>
        <v>174</v>
      </c>
    </row>
    <row r="119" spans="1:42" ht="25.5" hidden="1" customHeight="1">
      <c r="A119" s="19" t="s">
        <v>42</v>
      </c>
      <c r="B119" s="19" t="s">
        <v>1055</v>
      </c>
      <c r="C119" s="19" t="s">
        <v>1056</v>
      </c>
      <c r="D119" s="19" t="s">
        <v>45</v>
      </c>
      <c r="E119" s="19" t="s">
        <v>46</v>
      </c>
      <c r="F119" s="19" t="s">
        <v>1057</v>
      </c>
      <c r="G119" s="19" t="s">
        <v>48</v>
      </c>
      <c r="H119" s="19" t="s">
        <v>49</v>
      </c>
      <c r="I119" s="20">
        <v>45786.496527777781</v>
      </c>
      <c r="K119" s="19"/>
      <c r="L119" s="20">
        <v>45786.536111111112</v>
      </c>
      <c r="M119" s="19"/>
      <c r="N119" s="22">
        <f t="shared" si="2"/>
        <v>3.9583333331393078E-2</v>
      </c>
      <c r="O119" s="19" t="s">
        <v>63</v>
      </c>
      <c r="P119" s="19" t="s">
        <v>1058</v>
      </c>
      <c r="Q119" s="19" t="s">
        <v>1059</v>
      </c>
      <c r="R119" s="19"/>
      <c r="S119" s="19"/>
      <c r="U119" s="19"/>
      <c r="W119" s="19"/>
      <c r="X119" s="19" t="s">
        <v>269</v>
      </c>
      <c r="Y119" s="27" t="s">
        <v>133</v>
      </c>
      <c r="Z119" s="27" t="s">
        <v>1060</v>
      </c>
      <c r="AA119" s="27" t="s">
        <v>1061</v>
      </c>
      <c r="AB119" s="27" t="s">
        <v>1062</v>
      </c>
      <c r="AC119" s="37" t="s">
        <v>1063</v>
      </c>
      <c r="AD119" s="38" t="s">
        <v>1064</v>
      </c>
      <c r="AE119" s="36">
        <v>45778</v>
      </c>
      <c r="AF119" s="19" t="s">
        <v>60</v>
      </c>
      <c r="AG119" s="19" t="s">
        <v>78</v>
      </c>
      <c r="AH119" s="19" t="s">
        <v>62</v>
      </c>
      <c r="AI119" s="19" t="s">
        <v>63</v>
      </c>
      <c r="AJ119" s="19" t="s">
        <v>1065</v>
      </c>
      <c r="AK119" s="19"/>
      <c r="AL119" s="19"/>
      <c r="AM119" s="19"/>
      <c r="AN119" s="19" t="s">
        <v>103</v>
      </c>
      <c r="AO119" s="23">
        <v>45786.496527777781</v>
      </c>
      <c r="AP119" s="26">
        <f t="shared" si="3"/>
        <v>57</v>
      </c>
    </row>
    <row r="120" spans="1:42" ht="25.5" hidden="1" customHeight="1">
      <c r="A120" s="19" t="s">
        <v>42</v>
      </c>
      <c r="C120" s="19" t="s">
        <v>658</v>
      </c>
      <c r="D120" s="19" t="s">
        <v>45</v>
      </c>
      <c r="E120" s="19" t="s">
        <v>46</v>
      </c>
      <c r="F120" s="19" t="s">
        <v>1066</v>
      </c>
      <c r="G120" s="19" t="s">
        <v>48</v>
      </c>
      <c r="H120" s="19" t="s">
        <v>49</v>
      </c>
      <c r="I120" s="20">
        <v>45786.529166666667</v>
      </c>
      <c r="K120" s="19"/>
      <c r="L120" s="20">
        <v>45786.548611111109</v>
      </c>
      <c r="M120" s="19"/>
      <c r="N120" s="22">
        <f t="shared" si="2"/>
        <v>1.9444444442342501E-2</v>
      </c>
      <c r="O120" s="19" t="s">
        <v>63</v>
      </c>
      <c r="P120" s="19" t="s">
        <v>1067</v>
      </c>
      <c r="Q120" s="19" t="s">
        <v>1068</v>
      </c>
      <c r="R120" s="19"/>
      <c r="S120" s="19"/>
      <c r="U120" s="19"/>
      <c r="W120" s="19"/>
      <c r="X120" s="19" t="s">
        <v>1069</v>
      </c>
      <c r="Y120" s="27" t="s">
        <v>54</v>
      </c>
      <c r="Z120" s="27" t="s">
        <v>123</v>
      </c>
      <c r="AA120" s="27" t="s">
        <v>1070</v>
      </c>
      <c r="AB120" s="27" t="s">
        <v>1071</v>
      </c>
      <c r="AC120" s="37">
        <v>45786.503472222219</v>
      </c>
      <c r="AD120" s="38">
        <v>45786.541666666657</v>
      </c>
      <c r="AE120" s="36">
        <v>45778</v>
      </c>
      <c r="AF120" s="19" t="s">
        <v>99</v>
      </c>
      <c r="AG120" s="19" t="s">
        <v>100</v>
      </c>
      <c r="AH120" s="19" t="s">
        <v>62</v>
      </c>
      <c r="AI120" s="19" t="s">
        <v>63</v>
      </c>
      <c r="AJ120" s="19" t="s">
        <v>1072</v>
      </c>
      <c r="AK120" s="19"/>
      <c r="AL120" s="19"/>
      <c r="AM120" s="19"/>
      <c r="AN120" s="19" t="s">
        <v>103</v>
      </c>
      <c r="AO120" s="23">
        <v>45786.529166666667</v>
      </c>
      <c r="AP120" s="26">
        <f t="shared" si="3"/>
        <v>28</v>
      </c>
    </row>
    <row r="121" spans="1:42" ht="25.5" hidden="1" customHeight="1">
      <c r="A121" s="19" t="s">
        <v>42</v>
      </c>
      <c r="B121" s="19" t="s">
        <v>410</v>
      </c>
      <c r="C121" s="19" t="s">
        <v>1073</v>
      </c>
      <c r="D121" s="19" t="s">
        <v>45</v>
      </c>
      <c r="E121" s="19" t="s">
        <v>46</v>
      </c>
      <c r="F121" s="19" t="s">
        <v>1074</v>
      </c>
      <c r="G121" s="19" t="s">
        <v>48</v>
      </c>
      <c r="H121" s="19" t="s">
        <v>49</v>
      </c>
      <c r="I121" s="20">
        <v>45786.530555555553</v>
      </c>
      <c r="K121" s="19"/>
      <c r="L121" s="20">
        <v>45786.568749999999</v>
      </c>
      <c r="M121" s="19"/>
      <c r="N121" s="22">
        <f t="shared" si="2"/>
        <v>3.8194444445252884E-2</v>
      </c>
      <c r="O121" s="19" t="s">
        <v>63</v>
      </c>
      <c r="P121" s="19" t="s">
        <v>1075</v>
      </c>
      <c r="Q121" s="19" t="s">
        <v>1076</v>
      </c>
      <c r="R121" s="19"/>
      <c r="S121" s="19"/>
      <c r="U121" s="19"/>
      <c r="W121" s="19"/>
      <c r="X121" s="19" t="s">
        <v>109</v>
      </c>
      <c r="Y121" s="27" t="s">
        <v>147</v>
      </c>
      <c r="Z121" s="27" t="s">
        <v>78</v>
      </c>
      <c r="AA121" s="27" t="s">
        <v>78</v>
      </c>
      <c r="AB121" s="27" t="s">
        <v>78</v>
      </c>
      <c r="AC121" s="37" t="s">
        <v>78</v>
      </c>
      <c r="AD121" s="38" t="s">
        <v>78</v>
      </c>
      <c r="AE121" s="36">
        <v>45778</v>
      </c>
      <c r="AF121" s="19" t="s">
        <v>89</v>
      </c>
      <c r="AG121" s="19" t="s">
        <v>90</v>
      </c>
      <c r="AH121" s="19" t="s">
        <v>62</v>
      </c>
      <c r="AI121" s="19" t="s">
        <v>63</v>
      </c>
      <c r="AJ121" s="19" t="s">
        <v>1077</v>
      </c>
      <c r="AK121" s="19"/>
      <c r="AL121" s="19"/>
      <c r="AM121" s="19"/>
      <c r="AN121" s="19" t="s">
        <v>622</v>
      </c>
      <c r="AO121" s="23">
        <v>45786.530555555553</v>
      </c>
      <c r="AP121" s="26">
        <f t="shared" si="3"/>
        <v>55</v>
      </c>
    </row>
    <row r="122" spans="1:42" ht="25.5" hidden="1" customHeight="1">
      <c r="A122" s="19" t="s">
        <v>42</v>
      </c>
      <c r="C122" s="19" t="s">
        <v>658</v>
      </c>
      <c r="D122" s="19" t="s">
        <v>45</v>
      </c>
      <c r="E122" s="19" t="s">
        <v>46</v>
      </c>
      <c r="F122" s="19" t="s">
        <v>1066</v>
      </c>
      <c r="G122" s="19" t="s">
        <v>226</v>
      </c>
      <c r="H122" s="19" t="s">
        <v>49</v>
      </c>
      <c r="I122" s="20">
        <v>45786.590277777781</v>
      </c>
      <c r="K122" s="19"/>
      <c r="L122" s="20">
        <v>45786.6</v>
      </c>
      <c r="M122" s="19"/>
      <c r="N122" s="22">
        <f t="shared" si="2"/>
        <v>9.7222222175332718E-3</v>
      </c>
      <c r="O122" s="19" t="s">
        <v>63</v>
      </c>
      <c r="P122" s="19" t="s">
        <v>1078</v>
      </c>
      <c r="Q122" s="19" t="s">
        <v>1068</v>
      </c>
      <c r="R122" s="19"/>
      <c r="S122" s="19"/>
      <c r="U122" s="19"/>
      <c r="W122" s="19"/>
      <c r="X122" s="19" t="s">
        <v>1069</v>
      </c>
      <c r="Y122" s="27" t="s">
        <v>147</v>
      </c>
      <c r="Z122" s="27" t="s">
        <v>78</v>
      </c>
      <c r="AA122" s="27" t="s">
        <v>78</v>
      </c>
      <c r="AB122" s="27" t="s">
        <v>78</v>
      </c>
      <c r="AC122" s="37" t="s">
        <v>78</v>
      </c>
      <c r="AD122" s="38" t="s">
        <v>78</v>
      </c>
      <c r="AE122" s="36">
        <v>45778</v>
      </c>
      <c r="AF122" s="19" t="s">
        <v>99</v>
      </c>
      <c r="AG122" s="19" t="s">
        <v>100</v>
      </c>
      <c r="AH122" s="19" t="s">
        <v>62</v>
      </c>
      <c r="AI122" s="19" t="s">
        <v>50</v>
      </c>
      <c r="AJ122" s="19" t="s">
        <v>1072</v>
      </c>
      <c r="AK122" s="19"/>
      <c r="AL122" s="19"/>
      <c r="AM122" s="19"/>
      <c r="AN122" s="19" t="s">
        <v>622</v>
      </c>
      <c r="AO122" s="23">
        <v>45786.666666666657</v>
      </c>
      <c r="AP122" s="26">
        <f t="shared" si="3"/>
        <v>14</v>
      </c>
    </row>
    <row r="123" spans="1:42" ht="25.5" hidden="1" customHeight="1">
      <c r="A123" s="19" t="s">
        <v>42</v>
      </c>
      <c r="B123" s="19" t="s">
        <v>186</v>
      </c>
      <c r="C123" s="19" t="s">
        <v>577</v>
      </c>
      <c r="D123" s="19" t="s">
        <v>45</v>
      </c>
      <c r="E123" s="19" t="s">
        <v>46</v>
      </c>
      <c r="F123" s="19" t="s">
        <v>1079</v>
      </c>
      <c r="G123" s="19" t="s">
        <v>48</v>
      </c>
      <c r="H123" s="19" t="s">
        <v>49</v>
      </c>
      <c r="I123" s="20">
        <v>45787.4</v>
      </c>
      <c r="K123" s="19"/>
      <c r="L123" s="20">
        <v>45787.460416666669</v>
      </c>
      <c r="M123" s="19"/>
      <c r="N123" s="22">
        <f t="shared" si="2"/>
        <v>6.0416666667151731E-2</v>
      </c>
      <c r="O123" s="19" t="s">
        <v>63</v>
      </c>
      <c r="P123" s="19" t="s">
        <v>1080</v>
      </c>
      <c r="Q123" s="19" t="s">
        <v>1081</v>
      </c>
      <c r="R123" s="19"/>
      <c r="S123" s="19"/>
      <c r="U123" s="19"/>
      <c r="W123" s="19"/>
      <c r="X123" s="19" t="s">
        <v>191</v>
      </c>
      <c r="Y123" s="27" t="s">
        <v>54</v>
      </c>
      <c r="Z123" s="27" t="s">
        <v>838</v>
      </c>
      <c r="AA123" s="27" t="s">
        <v>1082</v>
      </c>
      <c r="AB123" s="27" t="s">
        <v>1083</v>
      </c>
      <c r="AC123" s="37" t="s">
        <v>1084</v>
      </c>
      <c r="AD123" s="38" t="s">
        <v>78</v>
      </c>
      <c r="AE123" s="36">
        <v>45778</v>
      </c>
      <c r="AF123" s="19" t="s">
        <v>89</v>
      </c>
      <c r="AG123" s="19" t="s">
        <v>90</v>
      </c>
      <c r="AH123" s="19" t="s">
        <v>62</v>
      </c>
      <c r="AI123" s="19" t="s">
        <v>63</v>
      </c>
      <c r="AJ123" s="19" t="s">
        <v>1085</v>
      </c>
      <c r="AK123" s="19"/>
      <c r="AL123" s="19"/>
      <c r="AM123" s="19"/>
      <c r="AN123" s="19" t="s">
        <v>65</v>
      </c>
      <c r="AO123" s="23">
        <v>45787.397222222222</v>
      </c>
      <c r="AP123" s="26">
        <f t="shared" si="3"/>
        <v>87</v>
      </c>
    </row>
    <row r="124" spans="1:42" ht="25.5" hidden="1" customHeight="1">
      <c r="A124" s="19" t="s">
        <v>285</v>
      </c>
      <c r="B124" s="19" t="s">
        <v>186</v>
      </c>
      <c r="C124" s="19" t="s">
        <v>577</v>
      </c>
      <c r="D124" s="19" t="s">
        <v>45</v>
      </c>
      <c r="E124" s="19" t="s">
        <v>46</v>
      </c>
      <c r="F124" s="19" t="s">
        <v>1086</v>
      </c>
      <c r="G124" s="19" t="s">
        <v>48</v>
      </c>
      <c r="H124" s="19" t="s">
        <v>49</v>
      </c>
      <c r="I124" s="20">
        <v>45788.421527777777</v>
      </c>
      <c r="K124" s="19"/>
      <c r="L124" s="20">
        <v>45788.793055555558</v>
      </c>
      <c r="M124" s="19"/>
      <c r="N124" s="22">
        <f t="shared" si="2"/>
        <v>0.37152777778101154</v>
      </c>
      <c r="O124" s="19" t="s">
        <v>63</v>
      </c>
      <c r="P124" s="19" t="s">
        <v>1087</v>
      </c>
      <c r="Q124" s="19" t="s">
        <v>1088</v>
      </c>
      <c r="R124" s="19"/>
      <c r="S124" s="19"/>
      <c r="U124" s="19"/>
      <c r="W124" s="19"/>
      <c r="X124" s="19" t="s">
        <v>191</v>
      </c>
      <c r="Y124" s="27" t="s">
        <v>133</v>
      </c>
      <c r="Z124" s="27" t="s">
        <v>1089</v>
      </c>
      <c r="AA124" s="27" t="s">
        <v>1090</v>
      </c>
      <c r="AB124" s="27" t="s">
        <v>1091</v>
      </c>
      <c r="AC124" s="37" t="s">
        <v>1092</v>
      </c>
      <c r="AD124" s="38" t="s">
        <v>1093</v>
      </c>
      <c r="AE124" s="36">
        <v>45778</v>
      </c>
      <c r="AF124" s="19" t="s">
        <v>293</v>
      </c>
      <c r="AG124" s="19" t="s">
        <v>307</v>
      </c>
      <c r="AH124" s="19" t="s">
        <v>164</v>
      </c>
      <c r="AI124" s="19" t="s">
        <v>63</v>
      </c>
      <c r="AJ124" s="19" t="s">
        <v>1094</v>
      </c>
      <c r="AK124" s="19"/>
      <c r="AL124" s="19"/>
      <c r="AM124" s="19"/>
      <c r="AN124" s="19" t="s">
        <v>65</v>
      </c>
      <c r="AO124" s="23">
        <v>45788.421527777777</v>
      </c>
      <c r="AP124" s="26">
        <f t="shared" si="3"/>
        <v>535</v>
      </c>
    </row>
    <row r="125" spans="1:42" ht="25.5" customHeight="1">
      <c r="A125" s="19" t="s">
        <v>42</v>
      </c>
      <c r="B125" s="19" t="s">
        <v>1095</v>
      </c>
      <c r="C125" s="19" t="s">
        <v>1096</v>
      </c>
      <c r="D125" s="19" t="s">
        <v>45</v>
      </c>
      <c r="E125" s="19" t="s">
        <v>46</v>
      </c>
      <c r="F125" s="19" t="s">
        <v>1097</v>
      </c>
      <c r="G125" s="19" t="s">
        <v>48</v>
      </c>
      <c r="H125" s="19" t="s">
        <v>144</v>
      </c>
      <c r="I125" s="20">
        <v>45788.774305555547</v>
      </c>
      <c r="J125" s="20">
        <v>45788.798611111109</v>
      </c>
      <c r="K125" s="19">
        <v>45788.813888888893</v>
      </c>
      <c r="L125" s="20">
        <v>45789</v>
      </c>
      <c r="M125" s="19"/>
      <c r="N125" s="22">
        <f t="shared" si="2"/>
        <v>0.22569444445252884</v>
      </c>
      <c r="O125" s="19" t="s">
        <v>50</v>
      </c>
      <c r="P125" s="19" t="s">
        <v>1098</v>
      </c>
      <c r="Q125" s="19" t="s">
        <v>1099</v>
      </c>
      <c r="R125" s="19" t="s">
        <v>1100</v>
      </c>
      <c r="S125" s="19" t="s">
        <v>1101</v>
      </c>
      <c r="T125" s="20">
        <v>45789.688831018517</v>
      </c>
      <c r="U125" s="19" t="s">
        <v>1102</v>
      </c>
      <c r="V125" s="19" t="s">
        <v>157</v>
      </c>
      <c r="W125" s="19"/>
      <c r="X125" s="19" t="s">
        <v>1103</v>
      </c>
      <c r="Y125" s="27" t="s">
        <v>133</v>
      </c>
      <c r="Z125" s="27" t="s">
        <v>1104</v>
      </c>
      <c r="AA125" s="27" t="s">
        <v>1105</v>
      </c>
      <c r="AB125" s="27" t="s">
        <v>1106</v>
      </c>
      <c r="AC125" s="37" t="s">
        <v>1107</v>
      </c>
      <c r="AD125" s="38" t="s">
        <v>1108</v>
      </c>
      <c r="AE125" s="36">
        <v>45778</v>
      </c>
      <c r="AF125" s="19" t="s">
        <v>293</v>
      </c>
      <c r="AG125" s="19" t="s">
        <v>307</v>
      </c>
      <c r="AH125" s="19" t="s">
        <v>164</v>
      </c>
      <c r="AI125" s="19" t="s">
        <v>63</v>
      </c>
      <c r="AJ125" s="19" t="s">
        <v>1109</v>
      </c>
      <c r="AK125" s="19"/>
      <c r="AL125" s="19"/>
      <c r="AM125" s="19"/>
      <c r="AN125" s="19" t="s">
        <v>65</v>
      </c>
      <c r="AO125" s="23">
        <v>45788.774305555547</v>
      </c>
      <c r="AP125" s="26">
        <f t="shared" si="3"/>
        <v>325</v>
      </c>
    </row>
    <row r="126" spans="1:42" ht="25.5" customHeight="1">
      <c r="A126" s="19" t="s">
        <v>285</v>
      </c>
      <c r="B126" s="19" t="s">
        <v>66</v>
      </c>
      <c r="C126" s="19" t="s">
        <v>1110</v>
      </c>
      <c r="D126" s="19" t="s">
        <v>45</v>
      </c>
      <c r="E126" s="19" t="s">
        <v>46</v>
      </c>
      <c r="F126" s="19" t="s">
        <v>1111</v>
      </c>
      <c r="G126" s="19" t="s">
        <v>48</v>
      </c>
      <c r="H126" s="19" t="s">
        <v>69</v>
      </c>
      <c r="I126" s="20">
        <v>45788.774305555547</v>
      </c>
      <c r="K126" s="19">
        <v>45788.791666666657</v>
      </c>
      <c r="L126" s="20">
        <v>45788.879861111112</v>
      </c>
      <c r="M126" s="19"/>
      <c r="N126" s="22">
        <f t="shared" si="2"/>
        <v>0.10555555556493346</v>
      </c>
      <c r="O126" s="19" t="s">
        <v>50</v>
      </c>
      <c r="P126" s="19" t="s">
        <v>1112</v>
      </c>
      <c r="Q126" s="19" t="s">
        <v>1113</v>
      </c>
      <c r="R126" s="19"/>
      <c r="S126" s="19"/>
      <c r="U126" s="19"/>
      <c r="W126" s="19"/>
      <c r="X126" s="19" t="s">
        <v>72</v>
      </c>
      <c r="Y126" s="27" t="s">
        <v>133</v>
      </c>
      <c r="Z126" s="27" t="s">
        <v>123</v>
      </c>
      <c r="AA126" s="27" t="s">
        <v>1114</v>
      </c>
      <c r="AB126" s="27" t="s">
        <v>1115</v>
      </c>
      <c r="AC126" s="37">
        <v>45788.771377314813</v>
      </c>
      <c r="AD126" s="38" t="s">
        <v>1116</v>
      </c>
      <c r="AE126" s="36">
        <v>45778</v>
      </c>
      <c r="AF126" s="19" t="s">
        <v>293</v>
      </c>
      <c r="AG126" s="19" t="s">
        <v>307</v>
      </c>
      <c r="AH126" s="19" t="s">
        <v>164</v>
      </c>
      <c r="AI126" s="19" t="s">
        <v>63</v>
      </c>
      <c r="AJ126" s="19" t="s">
        <v>1117</v>
      </c>
      <c r="AK126" s="19"/>
      <c r="AL126" s="19"/>
      <c r="AM126" s="19"/>
      <c r="AN126" s="19" t="s">
        <v>65</v>
      </c>
      <c r="AO126" s="23">
        <v>45788.774305555547</v>
      </c>
      <c r="AP126" s="26">
        <f t="shared" si="3"/>
        <v>152</v>
      </c>
    </row>
    <row r="127" spans="1:42" ht="25.5" hidden="1" customHeight="1">
      <c r="A127" s="19" t="s">
        <v>285</v>
      </c>
      <c r="B127" s="19" t="s">
        <v>1118</v>
      </c>
      <c r="C127" s="19" t="s">
        <v>1096</v>
      </c>
      <c r="D127" s="19" t="s">
        <v>45</v>
      </c>
      <c r="E127" s="19" t="s">
        <v>46</v>
      </c>
      <c r="F127" s="19" t="s">
        <v>1097</v>
      </c>
      <c r="G127" s="19" t="s">
        <v>226</v>
      </c>
      <c r="H127" s="19" t="s">
        <v>49</v>
      </c>
      <c r="I127" s="20">
        <v>45789</v>
      </c>
      <c r="K127" s="19"/>
      <c r="L127" s="20">
        <v>45789.375</v>
      </c>
      <c r="M127" s="19"/>
      <c r="N127" s="22">
        <f t="shared" si="2"/>
        <v>0.375</v>
      </c>
      <c r="O127" s="19" t="s">
        <v>50</v>
      </c>
      <c r="P127" s="19" t="s">
        <v>1098</v>
      </c>
      <c r="Q127" s="19" t="s">
        <v>1119</v>
      </c>
      <c r="R127" s="19" t="s">
        <v>1100</v>
      </c>
      <c r="S127" s="19" t="s">
        <v>1101</v>
      </c>
      <c r="T127" s="20">
        <v>45789.688831018517</v>
      </c>
      <c r="U127" s="19" t="s">
        <v>1102</v>
      </c>
      <c r="V127" s="19" t="s">
        <v>157</v>
      </c>
      <c r="W127" s="19"/>
      <c r="X127" s="19" t="s">
        <v>1103</v>
      </c>
      <c r="Y127" s="27" t="s">
        <v>133</v>
      </c>
      <c r="Z127" s="27" t="s">
        <v>1104</v>
      </c>
      <c r="AA127" s="27" t="s">
        <v>1105</v>
      </c>
      <c r="AB127" s="27" t="s">
        <v>1106</v>
      </c>
      <c r="AC127" s="37" t="s">
        <v>1107</v>
      </c>
      <c r="AD127" s="38" t="s">
        <v>1108</v>
      </c>
      <c r="AE127" s="36">
        <v>45778</v>
      </c>
      <c r="AF127" s="19" t="s">
        <v>293</v>
      </c>
      <c r="AG127" s="19" t="s">
        <v>307</v>
      </c>
      <c r="AH127" s="19" t="s">
        <v>164</v>
      </c>
      <c r="AI127" s="19" t="s">
        <v>63</v>
      </c>
      <c r="AJ127" s="19" t="s">
        <v>1109</v>
      </c>
      <c r="AK127" s="19"/>
      <c r="AL127" s="19"/>
      <c r="AM127" s="19"/>
      <c r="AN127" s="19" t="s">
        <v>65</v>
      </c>
      <c r="AO127" s="23">
        <v>45788.774305555547</v>
      </c>
      <c r="AP127" s="26">
        <f t="shared" si="3"/>
        <v>540</v>
      </c>
    </row>
    <row r="128" spans="1:42" ht="25.5" customHeight="1">
      <c r="A128" s="19" t="s">
        <v>42</v>
      </c>
      <c r="B128" s="19" t="s">
        <v>1120</v>
      </c>
      <c r="C128" s="19" t="s">
        <v>1121</v>
      </c>
      <c r="D128" s="19" t="s">
        <v>45</v>
      </c>
      <c r="E128" s="19" t="s">
        <v>46</v>
      </c>
      <c r="F128" s="19" t="s">
        <v>1097</v>
      </c>
      <c r="G128" s="19" t="s">
        <v>226</v>
      </c>
      <c r="H128" s="19" t="s">
        <v>144</v>
      </c>
      <c r="I128" s="20">
        <v>45789.375</v>
      </c>
      <c r="K128" s="19"/>
      <c r="L128" s="20">
        <v>45789.446527777778</v>
      </c>
      <c r="M128" s="19"/>
      <c r="N128" s="22">
        <f t="shared" si="2"/>
        <v>7.1527777778101154E-2</v>
      </c>
      <c r="O128" s="19" t="s">
        <v>50</v>
      </c>
      <c r="P128" s="19" t="s">
        <v>1098</v>
      </c>
      <c r="Q128" s="19" t="s">
        <v>1122</v>
      </c>
      <c r="R128" s="19" t="s">
        <v>1100</v>
      </c>
      <c r="S128" s="19" t="s">
        <v>1101</v>
      </c>
      <c r="T128" s="20">
        <v>45789.688831018517</v>
      </c>
      <c r="U128" s="19" t="s">
        <v>1102</v>
      </c>
      <c r="V128" s="19" t="s">
        <v>157</v>
      </c>
      <c r="W128" s="19"/>
      <c r="X128" s="19" t="s">
        <v>1123</v>
      </c>
      <c r="Y128" s="27" t="s">
        <v>133</v>
      </c>
      <c r="Z128" s="27" t="s">
        <v>1124</v>
      </c>
      <c r="AA128" s="27" t="s">
        <v>1125</v>
      </c>
      <c r="AB128" s="27" t="s">
        <v>1126</v>
      </c>
      <c r="AC128" s="37" t="s">
        <v>1127</v>
      </c>
      <c r="AD128" s="38" t="s">
        <v>1128</v>
      </c>
      <c r="AE128" s="36">
        <v>45778</v>
      </c>
      <c r="AF128" s="19" t="s">
        <v>293</v>
      </c>
      <c r="AG128" s="19" t="s">
        <v>307</v>
      </c>
      <c r="AH128" s="19" t="s">
        <v>164</v>
      </c>
      <c r="AI128" s="19" t="s">
        <v>50</v>
      </c>
      <c r="AJ128" s="19" t="s">
        <v>1129</v>
      </c>
      <c r="AK128" s="19"/>
      <c r="AL128" s="19"/>
      <c r="AM128" s="19"/>
      <c r="AN128" s="19" t="s">
        <v>65</v>
      </c>
      <c r="AO128" s="23">
        <v>45789.375</v>
      </c>
      <c r="AP128" s="26">
        <f t="shared" si="3"/>
        <v>103</v>
      </c>
    </row>
    <row r="129" spans="1:42" ht="25.5" hidden="1" customHeight="1">
      <c r="A129" s="19" t="s">
        <v>42</v>
      </c>
      <c r="B129" s="19" t="s">
        <v>1130</v>
      </c>
      <c r="C129" s="19" t="s">
        <v>1131</v>
      </c>
      <c r="D129" s="19" t="s">
        <v>45</v>
      </c>
      <c r="E129" s="19" t="s">
        <v>46</v>
      </c>
      <c r="F129" s="19" t="s">
        <v>1097</v>
      </c>
      <c r="G129" s="19" t="s">
        <v>226</v>
      </c>
      <c r="H129" s="19" t="s">
        <v>49</v>
      </c>
      <c r="I129" s="20">
        <v>45789.446527777778</v>
      </c>
      <c r="K129" s="19"/>
      <c r="L129" s="20">
        <v>45789.599999999999</v>
      </c>
      <c r="M129" s="19"/>
      <c r="N129" s="22">
        <f t="shared" si="2"/>
        <v>0.15347222222044365</v>
      </c>
      <c r="O129" s="19" t="s">
        <v>50</v>
      </c>
      <c r="P129" s="19" t="s">
        <v>1098</v>
      </c>
      <c r="Q129" s="19" t="s">
        <v>1132</v>
      </c>
      <c r="R129" s="19" t="s">
        <v>1100</v>
      </c>
      <c r="S129" s="19" t="s">
        <v>1101</v>
      </c>
      <c r="T129" s="20">
        <v>45789.688831018517</v>
      </c>
      <c r="U129" s="19" t="s">
        <v>1102</v>
      </c>
      <c r="V129" s="19" t="s">
        <v>157</v>
      </c>
      <c r="W129" s="19"/>
      <c r="X129" s="19" t="s">
        <v>1123</v>
      </c>
      <c r="Y129" s="27" t="s">
        <v>133</v>
      </c>
      <c r="Z129" s="27" t="s">
        <v>1124</v>
      </c>
      <c r="AA129" s="27" t="s">
        <v>1125</v>
      </c>
      <c r="AB129" s="27" t="s">
        <v>1126</v>
      </c>
      <c r="AC129" s="37" t="s">
        <v>1127</v>
      </c>
      <c r="AD129" s="38" t="s">
        <v>1128</v>
      </c>
      <c r="AE129" s="36">
        <v>45778</v>
      </c>
      <c r="AF129" s="19" t="s">
        <v>293</v>
      </c>
      <c r="AG129" s="19" t="s">
        <v>307</v>
      </c>
      <c r="AH129" s="19" t="s">
        <v>164</v>
      </c>
      <c r="AI129" s="19" t="s">
        <v>50</v>
      </c>
      <c r="AJ129" s="19" t="s">
        <v>1133</v>
      </c>
      <c r="AK129" s="19"/>
      <c r="AL129" s="19"/>
      <c r="AM129" s="19"/>
      <c r="AN129" s="19" t="s">
        <v>65</v>
      </c>
      <c r="AO129" s="23">
        <v>45789.446527777778</v>
      </c>
      <c r="AP129" s="26">
        <f t="shared" si="3"/>
        <v>221</v>
      </c>
    </row>
    <row r="130" spans="1:42" ht="25.5" hidden="1" customHeight="1">
      <c r="A130" s="19" t="s">
        <v>42</v>
      </c>
      <c r="B130" s="19" t="s">
        <v>1134</v>
      </c>
      <c r="C130" s="19" t="s">
        <v>1135</v>
      </c>
      <c r="D130" s="19" t="s">
        <v>45</v>
      </c>
      <c r="E130" s="19" t="s">
        <v>46</v>
      </c>
      <c r="F130" s="19" t="s">
        <v>1136</v>
      </c>
      <c r="G130" s="19" t="s">
        <v>48</v>
      </c>
      <c r="H130" s="19" t="s">
        <v>49</v>
      </c>
      <c r="I130" s="20">
        <v>45789.770833333343</v>
      </c>
      <c r="K130" s="19"/>
      <c r="L130" s="20">
        <v>45789.868055555547</v>
      </c>
      <c r="M130" s="19"/>
      <c r="N130" s="22">
        <f t="shared" ref="N130:N193" si="4">L130-I130</f>
        <v>9.7222222204436548E-2</v>
      </c>
      <c r="O130" s="19" t="s">
        <v>50</v>
      </c>
      <c r="P130" s="19" t="s">
        <v>1137</v>
      </c>
      <c r="Q130" s="19" t="s">
        <v>1138</v>
      </c>
      <c r="R130" s="19"/>
      <c r="S130" s="19"/>
      <c r="U130" s="19"/>
      <c r="W130" s="19"/>
      <c r="X130" s="19" t="s">
        <v>314</v>
      </c>
      <c r="Y130" s="27" t="s">
        <v>133</v>
      </c>
      <c r="Z130" s="27" t="s">
        <v>1139</v>
      </c>
      <c r="AA130" s="27" t="s">
        <v>1140</v>
      </c>
      <c r="AB130" s="27" t="s">
        <v>1141</v>
      </c>
      <c r="AC130" s="37" t="s">
        <v>1142</v>
      </c>
      <c r="AD130" s="38" t="s">
        <v>1143</v>
      </c>
      <c r="AE130" s="36">
        <v>45778</v>
      </c>
      <c r="AF130" s="19" t="s">
        <v>60</v>
      </c>
      <c r="AG130" s="19" t="s">
        <v>78</v>
      </c>
      <c r="AH130" s="19" t="s">
        <v>78</v>
      </c>
      <c r="AI130" s="19" t="s">
        <v>63</v>
      </c>
      <c r="AJ130" s="19" t="s">
        <v>1144</v>
      </c>
      <c r="AK130" s="19"/>
      <c r="AL130" s="19"/>
      <c r="AM130" s="19"/>
      <c r="AN130" s="19" t="s">
        <v>622</v>
      </c>
      <c r="AO130" s="23">
        <v>45789.770833333343</v>
      </c>
      <c r="AP130" s="26">
        <f t="shared" ref="AP130:AP193" si="5">((HOUR(N130)*60)+MINUTE(N130)+(SECOND(N130)/60))</f>
        <v>140</v>
      </c>
    </row>
    <row r="131" spans="1:42" ht="25.5" hidden="1" customHeight="1">
      <c r="A131" s="19" t="s">
        <v>285</v>
      </c>
      <c r="B131" s="19" t="s">
        <v>1145</v>
      </c>
      <c r="C131" s="19" t="s">
        <v>1146</v>
      </c>
      <c r="D131" s="19" t="s">
        <v>45</v>
      </c>
      <c r="E131" s="19" t="s">
        <v>46</v>
      </c>
      <c r="F131" s="19" t="s">
        <v>1147</v>
      </c>
      <c r="G131" s="19" t="s">
        <v>48</v>
      </c>
      <c r="H131" s="19" t="s">
        <v>49</v>
      </c>
      <c r="I131" s="20">
        <v>45789.916666666657</v>
      </c>
      <c r="K131" s="19"/>
      <c r="L131" s="20">
        <v>45790</v>
      </c>
      <c r="M131" s="19"/>
      <c r="N131" s="22">
        <f t="shared" si="4"/>
        <v>8.333333334303461E-2</v>
      </c>
      <c r="O131" s="19" t="s">
        <v>50</v>
      </c>
      <c r="P131" s="19" t="s">
        <v>1148</v>
      </c>
      <c r="Q131" s="19" t="s">
        <v>1149</v>
      </c>
      <c r="R131" s="19"/>
      <c r="S131" s="19"/>
      <c r="U131" s="19"/>
      <c r="W131" s="19"/>
      <c r="X131" s="19" t="s">
        <v>122</v>
      </c>
      <c r="Y131" s="27" t="s">
        <v>54</v>
      </c>
      <c r="Z131" s="27" t="s">
        <v>361</v>
      </c>
      <c r="AA131" s="27" t="s">
        <v>1150</v>
      </c>
      <c r="AB131" s="27" t="s">
        <v>1151</v>
      </c>
      <c r="AC131" s="37" t="s">
        <v>1152</v>
      </c>
      <c r="AD131" s="38" t="s">
        <v>1153</v>
      </c>
      <c r="AE131" s="36">
        <v>45778</v>
      </c>
      <c r="AF131" s="19" t="s">
        <v>293</v>
      </c>
      <c r="AG131" s="19" t="s">
        <v>294</v>
      </c>
      <c r="AH131" s="19" t="s">
        <v>62</v>
      </c>
      <c r="AI131" s="19" t="s">
        <v>63</v>
      </c>
      <c r="AJ131" s="19" t="s">
        <v>1154</v>
      </c>
      <c r="AK131" s="19"/>
      <c r="AL131" s="19"/>
      <c r="AM131" s="19"/>
      <c r="AN131" s="19" t="s">
        <v>65</v>
      </c>
      <c r="AO131" s="23">
        <v>45789.987500000003</v>
      </c>
      <c r="AP131" s="26">
        <f t="shared" si="5"/>
        <v>120</v>
      </c>
    </row>
    <row r="132" spans="1:42" ht="25.5" customHeight="1">
      <c r="A132" s="19" t="s">
        <v>42</v>
      </c>
      <c r="B132" s="19" t="s">
        <v>66</v>
      </c>
      <c r="C132" s="19" t="s">
        <v>1155</v>
      </c>
      <c r="D132" s="19" t="s">
        <v>45</v>
      </c>
      <c r="E132" s="19" t="s">
        <v>46</v>
      </c>
      <c r="F132" s="19" t="s">
        <v>1156</v>
      </c>
      <c r="G132" s="19" t="s">
        <v>48</v>
      </c>
      <c r="H132" s="19" t="s">
        <v>144</v>
      </c>
      <c r="I132" s="20">
        <v>45789.940972222219</v>
      </c>
      <c r="K132" s="19">
        <v>45789.951388888891</v>
      </c>
      <c r="L132" s="20">
        <v>45789.996527777781</v>
      </c>
      <c r="M132" s="19"/>
      <c r="N132" s="22">
        <f t="shared" si="4"/>
        <v>5.5555555562023073E-2</v>
      </c>
      <c r="O132" s="19" t="s">
        <v>50</v>
      </c>
      <c r="P132" s="19" t="s">
        <v>1157</v>
      </c>
      <c r="Q132" s="19" t="s">
        <v>1158</v>
      </c>
      <c r="R132" s="19"/>
      <c r="S132" s="19"/>
      <c r="U132" s="19"/>
      <c r="W132" s="19"/>
      <c r="X132" s="19" t="s">
        <v>72</v>
      </c>
      <c r="Y132" s="27" t="s">
        <v>133</v>
      </c>
      <c r="Z132" s="27" t="s">
        <v>1139</v>
      </c>
      <c r="AA132" s="27" t="s">
        <v>1140</v>
      </c>
      <c r="AB132" s="27" t="s">
        <v>1141</v>
      </c>
      <c r="AC132" s="37" t="s">
        <v>1142</v>
      </c>
      <c r="AD132" s="38" t="s">
        <v>1143</v>
      </c>
      <c r="AE132" s="36">
        <v>45778</v>
      </c>
      <c r="AF132" s="19" t="s">
        <v>99</v>
      </c>
      <c r="AG132" s="19" t="s">
        <v>1159</v>
      </c>
      <c r="AH132" s="19" t="s">
        <v>62</v>
      </c>
      <c r="AI132" s="19" t="s">
        <v>63</v>
      </c>
      <c r="AJ132" s="19" t="s">
        <v>1160</v>
      </c>
      <c r="AK132" s="19" t="s">
        <v>1161</v>
      </c>
      <c r="AL132" s="19"/>
      <c r="AM132" s="19"/>
      <c r="AN132" s="19" t="s">
        <v>65</v>
      </c>
      <c r="AO132" s="23">
        <v>45789.940972222219</v>
      </c>
      <c r="AP132" s="26">
        <f t="shared" si="5"/>
        <v>80</v>
      </c>
    </row>
    <row r="133" spans="1:42" ht="25.5" hidden="1" customHeight="1">
      <c r="A133" s="19" t="s">
        <v>116</v>
      </c>
      <c r="B133" s="19" t="s">
        <v>186</v>
      </c>
      <c r="C133" s="19" t="s">
        <v>577</v>
      </c>
      <c r="D133" s="19" t="s">
        <v>45</v>
      </c>
      <c r="E133" s="19" t="s">
        <v>46</v>
      </c>
      <c r="F133" s="19" t="s">
        <v>1162</v>
      </c>
      <c r="G133" s="19" t="s">
        <v>48</v>
      </c>
      <c r="H133" s="19" t="s">
        <v>49</v>
      </c>
      <c r="I133" s="20">
        <v>45790.125</v>
      </c>
      <c r="K133" s="19"/>
      <c r="L133" s="20">
        <v>45790.138888888891</v>
      </c>
      <c r="M133" s="19"/>
      <c r="N133" s="22">
        <f t="shared" si="4"/>
        <v>1.3888888890505768E-2</v>
      </c>
      <c r="O133" s="19" t="s">
        <v>50</v>
      </c>
      <c r="P133" s="19" t="s">
        <v>1163</v>
      </c>
      <c r="Q133" s="19" t="s">
        <v>1164</v>
      </c>
      <c r="R133" s="19"/>
      <c r="S133" s="19"/>
      <c r="U133" s="19"/>
      <c r="W133" s="19"/>
      <c r="X133" s="19" t="s">
        <v>191</v>
      </c>
      <c r="Y133" s="27" t="s">
        <v>147</v>
      </c>
      <c r="Z133" s="27" t="s">
        <v>78</v>
      </c>
      <c r="AA133" s="27" t="s">
        <v>78</v>
      </c>
      <c r="AB133" s="27" t="s">
        <v>78</v>
      </c>
      <c r="AC133" s="37" t="s">
        <v>78</v>
      </c>
      <c r="AD133" s="38" t="s">
        <v>78</v>
      </c>
      <c r="AE133" s="36">
        <v>45778</v>
      </c>
      <c r="AF133" s="19" t="s">
        <v>293</v>
      </c>
      <c r="AG133" s="19" t="s">
        <v>294</v>
      </c>
      <c r="AH133" s="19" t="s">
        <v>62</v>
      </c>
      <c r="AI133" s="19" t="s">
        <v>63</v>
      </c>
      <c r="AJ133" s="19" t="s">
        <v>503</v>
      </c>
      <c r="AK133" s="19"/>
      <c r="AL133" s="19"/>
      <c r="AM133" s="19"/>
      <c r="AN133" s="19" t="s">
        <v>65</v>
      </c>
      <c r="AO133" s="23">
        <v>45790.125</v>
      </c>
      <c r="AP133" s="26">
        <f t="shared" si="5"/>
        <v>20</v>
      </c>
    </row>
    <row r="134" spans="1:42" ht="25.5" hidden="1" customHeight="1">
      <c r="A134" s="19" t="s">
        <v>285</v>
      </c>
      <c r="B134" s="19" t="s">
        <v>93</v>
      </c>
      <c r="C134" s="19" t="s">
        <v>1165</v>
      </c>
      <c r="D134" s="19" t="s">
        <v>45</v>
      </c>
      <c r="E134" s="19" t="s">
        <v>46</v>
      </c>
      <c r="F134" s="19" t="s">
        <v>1166</v>
      </c>
      <c r="G134" s="19" t="s">
        <v>48</v>
      </c>
      <c r="H134" s="19" t="s">
        <v>49</v>
      </c>
      <c r="I134" s="20">
        <v>45790.208333333343</v>
      </c>
      <c r="K134" s="19"/>
      <c r="L134" s="20">
        <v>45790.302083333343</v>
      </c>
      <c r="M134" s="19"/>
      <c r="N134" s="22">
        <f t="shared" si="4"/>
        <v>9.375E-2</v>
      </c>
      <c r="O134" s="19" t="s">
        <v>50</v>
      </c>
      <c r="P134" s="19" t="s">
        <v>1167</v>
      </c>
      <c r="Q134" s="19" t="s">
        <v>1168</v>
      </c>
      <c r="R134" s="19"/>
      <c r="S134" s="19"/>
      <c r="U134" s="19"/>
      <c r="W134" s="19"/>
      <c r="X134" s="19" t="s">
        <v>122</v>
      </c>
      <c r="Y134" s="27" t="s">
        <v>54</v>
      </c>
      <c r="Z134" s="27" t="s">
        <v>1169</v>
      </c>
      <c r="AA134" s="27" t="s">
        <v>1170</v>
      </c>
      <c r="AB134" s="27" t="s">
        <v>1171</v>
      </c>
      <c r="AC134" s="37" t="s">
        <v>1172</v>
      </c>
      <c r="AD134" s="38" t="s">
        <v>1173</v>
      </c>
      <c r="AE134" s="36">
        <v>45778</v>
      </c>
      <c r="AF134" s="19" t="s">
        <v>293</v>
      </c>
      <c r="AG134" s="19" t="s">
        <v>294</v>
      </c>
      <c r="AH134" s="19" t="s">
        <v>62</v>
      </c>
      <c r="AI134" s="19" t="s">
        <v>63</v>
      </c>
      <c r="AJ134" s="19" t="s">
        <v>1174</v>
      </c>
      <c r="AK134" s="19"/>
      <c r="AL134" s="19"/>
      <c r="AM134" s="19"/>
      <c r="AN134" s="19" t="s">
        <v>65</v>
      </c>
      <c r="AO134" s="23">
        <v>45790.240277777782</v>
      </c>
      <c r="AP134" s="26">
        <f t="shared" si="5"/>
        <v>135</v>
      </c>
    </row>
    <row r="135" spans="1:42" ht="25.5" hidden="1" customHeight="1">
      <c r="A135" s="19" t="s">
        <v>42</v>
      </c>
      <c r="C135" s="19" t="s">
        <v>1175</v>
      </c>
      <c r="D135" s="19" t="s">
        <v>45</v>
      </c>
      <c r="E135" s="19" t="s">
        <v>46</v>
      </c>
      <c r="F135" s="19" t="s">
        <v>1176</v>
      </c>
      <c r="G135" s="19" t="s">
        <v>48</v>
      </c>
      <c r="H135" s="19" t="s">
        <v>49</v>
      </c>
      <c r="I135" s="20">
        <v>45790.423611111109</v>
      </c>
      <c r="K135" s="19"/>
      <c r="L135" s="20">
        <v>45790.479166666657</v>
      </c>
      <c r="M135" s="19"/>
      <c r="N135" s="22">
        <f t="shared" si="4"/>
        <v>5.5555555547471158E-2</v>
      </c>
      <c r="O135" s="19" t="s">
        <v>63</v>
      </c>
      <c r="P135" s="19" t="s">
        <v>1177</v>
      </c>
      <c r="Q135" s="19" t="s">
        <v>1178</v>
      </c>
      <c r="R135" s="19"/>
      <c r="S135" s="19"/>
      <c r="U135" s="19"/>
      <c r="W135" s="19"/>
      <c r="X135" s="19" t="s">
        <v>72</v>
      </c>
      <c r="Y135" s="27" t="s">
        <v>54</v>
      </c>
      <c r="Z135" s="27" t="s">
        <v>123</v>
      </c>
      <c r="AA135" s="27" t="s">
        <v>1179</v>
      </c>
      <c r="AB135" s="27" t="s">
        <v>1180</v>
      </c>
      <c r="AC135" s="37">
        <v>45790.428472222222</v>
      </c>
      <c r="AD135" s="38">
        <v>45790.444444444453</v>
      </c>
      <c r="AE135" s="36">
        <v>45778</v>
      </c>
      <c r="AF135" s="19" t="s">
        <v>89</v>
      </c>
      <c r="AG135" s="19" t="s">
        <v>90</v>
      </c>
      <c r="AH135" s="19" t="s">
        <v>62</v>
      </c>
      <c r="AI135" s="19" t="s">
        <v>63</v>
      </c>
      <c r="AJ135" s="19" t="s">
        <v>1181</v>
      </c>
      <c r="AK135" s="19"/>
      <c r="AL135" s="19"/>
      <c r="AM135" s="19"/>
      <c r="AN135" s="19" t="s">
        <v>65</v>
      </c>
      <c r="AO135" s="23">
        <v>45790.503472222219</v>
      </c>
      <c r="AP135" s="26">
        <f t="shared" si="5"/>
        <v>80</v>
      </c>
    </row>
    <row r="136" spans="1:42" ht="25.5" hidden="1" customHeight="1">
      <c r="A136" s="19" t="s">
        <v>116</v>
      </c>
      <c r="B136" s="19" t="s">
        <v>383</v>
      </c>
      <c r="C136" s="19" t="s">
        <v>384</v>
      </c>
      <c r="D136" s="19" t="s">
        <v>45</v>
      </c>
      <c r="E136" s="19" t="s">
        <v>46</v>
      </c>
      <c r="F136" s="19" t="s">
        <v>1182</v>
      </c>
      <c r="G136" s="19" t="s">
        <v>48</v>
      </c>
      <c r="H136" s="19" t="s">
        <v>49</v>
      </c>
      <c r="I136" s="20">
        <v>45790.442361111112</v>
      </c>
      <c r="K136" s="19"/>
      <c r="L136" s="20">
        <v>45790.456250000003</v>
      </c>
      <c r="M136" s="19"/>
      <c r="N136" s="22">
        <f t="shared" si="4"/>
        <v>1.3888888890505768E-2</v>
      </c>
      <c r="O136" s="19" t="s">
        <v>63</v>
      </c>
      <c r="P136" s="19" t="s">
        <v>1183</v>
      </c>
      <c r="Q136" s="19" t="s">
        <v>1184</v>
      </c>
      <c r="R136" s="19"/>
      <c r="S136" s="19"/>
      <c r="U136" s="19"/>
      <c r="W136" s="19"/>
      <c r="X136" s="19" t="s">
        <v>109</v>
      </c>
      <c r="Y136" s="27" t="s">
        <v>54</v>
      </c>
      <c r="Z136" s="27" t="s">
        <v>123</v>
      </c>
      <c r="AA136" s="27" t="s">
        <v>1185</v>
      </c>
      <c r="AB136" s="27" t="s">
        <v>1186</v>
      </c>
      <c r="AC136" s="37">
        <v>45790.447916666657</v>
      </c>
      <c r="AD136" s="38">
        <v>45790.536111111112</v>
      </c>
      <c r="AE136" s="36">
        <v>45778</v>
      </c>
      <c r="AF136" s="19" t="s">
        <v>89</v>
      </c>
      <c r="AG136" s="19" t="s">
        <v>90</v>
      </c>
      <c r="AH136" s="19" t="s">
        <v>62</v>
      </c>
      <c r="AI136" s="19" t="s">
        <v>63</v>
      </c>
      <c r="AJ136" s="19" t="s">
        <v>1187</v>
      </c>
      <c r="AK136" s="19"/>
      <c r="AL136" s="19"/>
      <c r="AM136" s="19"/>
      <c r="AN136" s="19" t="s">
        <v>65</v>
      </c>
      <c r="AO136" s="23">
        <v>45790.442361111112</v>
      </c>
      <c r="AP136" s="26">
        <f t="shared" si="5"/>
        <v>20</v>
      </c>
    </row>
    <row r="137" spans="1:42" ht="25.5" hidden="1" customHeight="1">
      <c r="A137" s="19" t="s">
        <v>42</v>
      </c>
      <c r="B137" s="19" t="s">
        <v>1188</v>
      </c>
      <c r="C137" s="19" t="s">
        <v>404</v>
      </c>
      <c r="D137" s="19" t="s">
        <v>45</v>
      </c>
      <c r="E137" s="19" t="s">
        <v>46</v>
      </c>
      <c r="F137" s="19" t="s">
        <v>1189</v>
      </c>
      <c r="G137" s="19" t="s">
        <v>48</v>
      </c>
      <c r="H137" s="19" t="s">
        <v>49</v>
      </c>
      <c r="I137" s="20">
        <v>45790.470833333333</v>
      </c>
      <c r="K137" s="19"/>
      <c r="L137" s="20">
        <v>45790.534722222219</v>
      </c>
      <c r="M137" s="19"/>
      <c r="N137" s="22">
        <f t="shared" si="4"/>
        <v>6.3888888886140194E-2</v>
      </c>
      <c r="O137" s="19" t="s">
        <v>50</v>
      </c>
      <c r="P137" s="19" t="s">
        <v>1190</v>
      </c>
      <c r="Q137" s="19" t="s">
        <v>1191</v>
      </c>
      <c r="R137" s="19"/>
      <c r="S137" s="19"/>
      <c r="U137" s="19"/>
      <c r="W137" s="19"/>
      <c r="X137" s="19" t="s">
        <v>1192</v>
      </c>
      <c r="Y137" s="27" t="s">
        <v>147</v>
      </c>
      <c r="Z137" s="27" t="s">
        <v>78</v>
      </c>
      <c r="AA137" s="27" t="s">
        <v>78</v>
      </c>
      <c r="AB137" s="27" t="s">
        <v>78</v>
      </c>
      <c r="AC137" s="37" t="s">
        <v>78</v>
      </c>
      <c r="AD137" s="38" t="s">
        <v>78</v>
      </c>
      <c r="AE137" s="36">
        <v>45778</v>
      </c>
      <c r="AF137" s="19" t="s">
        <v>89</v>
      </c>
      <c r="AG137" s="19" t="s">
        <v>90</v>
      </c>
      <c r="AH137" s="19" t="s">
        <v>62</v>
      </c>
      <c r="AI137" s="19" t="s">
        <v>63</v>
      </c>
      <c r="AJ137" s="19" t="s">
        <v>1193</v>
      </c>
      <c r="AK137" s="19"/>
      <c r="AL137" s="19"/>
      <c r="AM137" s="19"/>
      <c r="AN137" s="19" t="s">
        <v>65</v>
      </c>
      <c r="AO137" s="23">
        <v>45790.479861111111</v>
      </c>
      <c r="AP137" s="26">
        <f t="shared" si="5"/>
        <v>92</v>
      </c>
    </row>
    <row r="138" spans="1:42" ht="25.5" customHeight="1">
      <c r="A138" s="19" t="s">
        <v>42</v>
      </c>
      <c r="B138" s="19" t="s">
        <v>1194</v>
      </c>
      <c r="C138" s="19" t="s">
        <v>1195</v>
      </c>
      <c r="D138" s="19" t="s">
        <v>45</v>
      </c>
      <c r="E138" s="19" t="s">
        <v>46</v>
      </c>
      <c r="F138" s="19" t="s">
        <v>1196</v>
      </c>
      <c r="G138" s="19" t="s">
        <v>48</v>
      </c>
      <c r="H138" s="19" t="s">
        <v>144</v>
      </c>
      <c r="I138" s="20">
        <v>45790.475694444453</v>
      </c>
      <c r="J138" s="20">
        <v>45790.500694444447</v>
      </c>
      <c r="K138" s="19">
        <v>45790.541666666657</v>
      </c>
      <c r="L138" s="20">
        <v>45790.614583333343</v>
      </c>
      <c r="M138" s="19"/>
      <c r="N138" s="22">
        <f t="shared" si="4"/>
        <v>0.13888888889050577</v>
      </c>
      <c r="O138" s="19" t="s">
        <v>50</v>
      </c>
      <c r="P138" s="19" t="s">
        <v>1197</v>
      </c>
      <c r="Q138" s="19" t="s">
        <v>1198</v>
      </c>
      <c r="R138" s="19" t="s">
        <v>1199</v>
      </c>
      <c r="S138" s="19" t="s">
        <v>1200</v>
      </c>
      <c r="T138" s="20">
        <v>45791.570023148153</v>
      </c>
      <c r="U138" s="19">
        <v>45811.749305555553</v>
      </c>
      <c r="V138" s="19" t="s">
        <v>157</v>
      </c>
      <c r="W138" s="19"/>
      <c r="X138" s="19" t="s">
        <v>109</v>
      </c>
      <c r="Y138" s="27" t="s">
        <v>133</v>
      </c>
      <c r="Z138" s="27" t="s">
        <v>196</v>
      </c>
      <c r="AA138" s="27" t="s">
        <v>1201</v>
      </c>
      <c r="AB138" s="27" t="s">
        <v>1202</v>
      </c>
      <c r="AC138" s="37" t="s">
        <v>1203</v>
      </c>
      <c r="AD138" s="38" t="s">
        <v>1204</v>
      </c>
      <c r="AE138" s="36">
        <v>45778</v>
      </c>
      <c r="AF138" s="19" t="s">
        <v>293</v>
      </c>
      <c r="AG138" s="19" t="s">
        <v>556</v>
      </c>
      <c r="AH138" s="19" t="s">
        <v>62</v>
      </c>
      <c r="AI138" s="19" t="s">
        <v>63</v>
      </c>
      <c r="AJ138" s="19" t="s">
        <v>1205</v>
      </c>
      <c r="AK138" s="19"/>
      <c r="AL138" s="19"/>
      <c r="AM138" s="19"/>
      <c r="AN138" s="19" t="s">
        <v>65</v>
      </c>
      <c r="AO138" s="23">
        <v>45790.475694444453</v>
      </c>
      <c r="AP138" s="26">
        <f t="shared" si="5"/>
        <v>200</v>
      </c>
    </row>
    <row r="139" spans="1:42" ht="25.5" hidden="1" customHeight="1">
      <c r="A139" s="19" t="s">
        <v>285</v>
      </c>
      <c r="B139" s="19" t="s">
        <v>599</v>
      </c>
      <c r="C139" s="19" t="s">
        <v>1206</v>
      </c>
      <c r="D139" s="19" t="s">
        <v>45</v>
      </c>
      <c r="E139" s="19" t="s">
        <v>46</v>
      </c>
      <c r="F139" s="19" t="s">
        <v>1207</v>
      </c>
      <c r="G139" s="19" t="s">
        <v>48</v>
      </c>
      <c r="H139" s="19" t="s">
        <v>49</v>
      </c>
      <c r="I139" s="20">
        <v>45790.543055555558</v>
      </c>
      <c r="K139" s="19"/>
      <c r="L139" s="20">
        <v>45790.569444444453</v>
      </c>
      <c r="M139" s="19"/>
      <c r="N139" s="22">
        <f t="shared" si="4"/>
        <v>2.6388888894871343E-2</v>
      </c>
      <c r="O139" s="19" t="s">
        <v>50</v>
      </c>
      <c r="P139" s="19" t="s">
        <v>1208</v>
      </c>
      <c r="Q139" s="19" t="s">
        <v>1209</v>
      </c>
      <c r="R139" s="19"/>
      <c r="S139" s="19"/>
      <c r="U139" s="19"/>
      <c r="W139" s="19"/>
      <c r="X139" s="19" t="s">
        <v>122</v>
      </c>
      <c r="Y139" s="27" t="s">
        <v>54</v>
      </c>
      <c r="Z139" s="27" t="s">
        <v>123</v>
      </c>
      <c r="AA139" s="27" t="s">
        <v>1210</v>
      </c>
      <c r="AB139" s="27" t="s">
        <v>1211</v>
      </c>
      <c r="AC139" s="37">
        <v>45790.56527777778</v>
      </c>
      <c r="AD139" s="38">
        <v>45790.581250000003</v>
      </c>
      <c r="AE139" s="36">
        <v>45778</v>
      </c>
      <c r="AF139" s="19" t="s">
        <v>293</v>
      </c>
      <c r="AG139" s="19" t="s">
        <v>294</v>
      </c>
      <c r="AH139" s="19" t="s">
        <v>62</v>
      </c>
      <c r="AI139" s="19" t="s">
        <v>63</v>
      </c>
      <c r="AJ139" s="19" t="s">
        <v>1212</v>
      </c>
      <c r="AK139" s="19"/>
      <c r="AL139" s="19"/>
      <c r="AM139" s="19"/>
      <c r="AN139" s="19" t="s">
        <v>65</v>
      </c>
      <c r="AO139" s="23">
        <v>45790.543055555558</v>
      </c>
      <c r="AP139" s="26">
        <f t="shared" si="5"/>
        <v>38</v>
      </c>
    </row>
    <row r="140" spans="1:42" ht="25.5" hidden="1" customHeight="1">
      <c r="A140" s="19" t="s">
        <v>42</v>
      </c>
      <c r="B140" s="19" t="s">
        <v>271</v>
      </c>
      <c r="C140" s="19" t="s">
        <v>1213</v>
      </c>
      <c r="D140" s="19" t="s">
        <v>45</v>
      </c>
      <c r="E140" s="19" t="s">
        <v>46</v>
      </c>
      <c r="F140" s="19" t="s">
        <v>1214</v>
      </c>
      <c r="G140" s="19" t="s">
        <v>48</v>
      </c>
      <c r="H140" s="19" t="s">
        <v>49</v>
      </c>
      <c r="I140" s="20">
        <v>45790.664583333331</v>
      </c>
      <c r="K140" s="19"/>
      <c r="L140" s="20">
        <v>45790.6875</v>
      </c>
      <c r="M140" s="19"/>
      <c r="N140" s="22">
        <f t="shared" si="4"/>
        <v>2.2916666668606922E-2</v>
      </c>
      <c r="O140" s="19" t="s">
        <v>50</v>
      </c>
      <c r="P140" s="19" t="s">
        <v>1215</v>
      </c>
      <c r="Q140" s="19" t="s">
        <v>1216</v>
      </c>
      <c r="R140" s="19"/>
      <c r="S140" s="19"/>
      <c r="U140" s="19"/>
      <c r="W140" s="19"/>
      <c r="X140" s="19" t="s">
        <v>1217</v>
      </c>
      <c r="Y140" s="27" t="s">
        <v>133</v>
      </c>
      <c r="Z140" s="27" t="s">
        <v>1218</v>
      </c>
      <c r="AA140" s="27" t="s">
        <v>1219</v>
      </c>
      <c r="AB140" s="27" t="s">
        <v>1220</v>
      </c>
      <c r="AC140" s="37" t="s">
        <v>1221</v>
      </c>
      <c r="AD140" s="38" t="s">
        <v>1222</v>
      </c>
      <c r="AE140" s="36">
        <v>45778</v>
      </c>
      <c r="AF140" s="19" t="s">
        <v>60</v>
      </c>
      <c r="AG140" s="19" t="s">
        <v>78</v>
      </c>
      <c r="AH140" s="19" t="s">
        <v>62</v>
      </c>
      <c r="AI140" s="19" t="s">
        <v>63</v>
      </c>
      <c r="AJ140" s="19" t="s">
        <v>1223</v>
      </c>
      <c r="AK140" s="19"/>
      <c r="AL140" s="19"/>
      <c r="AM140" s="19"/>
      <c r="AN140" s="19" t="s">
        <v>65</v>
      </c>
      <c r="AO140" s="23">
        <v>45790.664583333331</v>
      </c>
      <c r="AP140" s="26">
        <f t="shared" si="5"/>
        <v>33</v>
      </c>
    </row>
    <row r="141" spans="1:42" ht="25.5" customHeight="1">
      <c r="A141" s="19" t="s">
        <v>42</v>
      </c>
      <c r="B141" s="19" t="s">
        <v>1194</v>
      </c>
      <c r="C141" s="19" t="s">
        <v>1195</v>
      </c>
      <c r="D141" s="19" t="s">
        <v>45</v>
      </c>
      <c r="E141" s="19" t="s">
        <v>46</v>
      </c>
      <c r="F141" s="19" t="s">
        <v>1196</v>
      </c>
      <c r="G141" s="19" t="s">
        <v>226</v>
      </c>
      <c r="H141" s="19" t="s">
        <v>144</v>
      </c>
      <c r="I141" s="20">
        <v>45790.722222222219</v>
      </c>
      <c r="K141" s="19">
        <v>45790.760416666657</v>
      </c>
      <c r="L141" s="20">
        <v>45790.826388888891</v>
      </c>
      <c r="M141" s="19"/>
      <c r="N141" s="22">
        <f t="shared" si="4"/>
        <v>0.10416666667151731</v>
      </c>
      <c r="O141" s="19" t="s">
        <v>50</v>
      </c>
      <c r="P141" s="19" t="s">
        <v>1197</v>
      </c>
      <c r="Q141" s="19" t="s">
        <v>1224</v>
      </c>
      <c r="R141" s="19" t="s">
        <v>1199</v>
      </c>
      <c r="S141" s="19" t="s">
        <v>1200</v>
      </c>
      <c r="T141" s="20">
        <v>45791.570023148153</v>
      </c>
      <c r="U141" s="19">
        <v>45811.749305555553</v>
      </c>
      <c r="V141" s="19" t="s">
        <v>157</v>
      </c>
      <c r="W141" s="19"/>
      <c r="X141" s="19" t="s">
        <v>109</v>
      </c>
      <c r="Y141" s="27" t="s">
        <v>133</v>
      </c>
      <c r="Z141" s="27" t="s">
        <v>1225</v>
      </c>
      <c r="AA141" s="27" t="s">
        <v>1226</v>
      </c>
      <c r="AB141" s="27" t="s">
        <v>1227</v>
      </c>
      <c r="AC141" s="37" t="s">
        <v>1228</v>
      </c>
      <c r="AD141" s="38" t="s">
        <v>1229</v>
      </c>
      <c r="AE141" s="36">
        <v>45778</v>
      </c>
      <c r="AF141" s="19" t="s">
        <v>293</v>
      </c>
      <c r="AG141" s="19" t="s">
        <v>556</v>
      </c>
      <c r="AH141" s="19" t="s">
        <v>62</v>
      </c>
      <c r="AI141" s="19" t="s">
        <v>63</v>
      </c>
      <c r="AJ141" s="19" t="s">
        <v>1230</v>
      </c>
      <c r="AK141" s="19"/>
      <c r="AL141" s="19"/>
      <c r="AM141" s="19"/>
      <c r="AN141" s="19" t="s">
        <v>65</v>
      </c>
      <c r="AO141" s="23">
        <v>45790.722222222219</v>
      </c>
      <c r="AP141" s="26">
        <f t="shared" si="5"/>
        <v>150</v>
      </c>
    </row>
    <row r="142" spans="1:42" ht="25.5" hidden="1" customHeight="1">
      <c r="A142" s="19" t="s">
        <v>42</v>
      </c>
      <c r="B142" s="19" t="s">
        <v>271</v>
      </c>
      <c r="C142" s="19" t="s">
        <v>1231</v>
      </c>
      <c r="D142" s="19" t="s">
        <v>45</v>
      </c>
      <c r="E142" s="19" t="s">
        <v>46</v>
      </c>
      <c r="F142" s="19" t="s">
        <v>1232</v>
      </c>
      <c r="G142" s="19" t="s">
        <v>226</v>
      </c>
      <c r="H142" s="19" t="s">
        <v>49</v>
      </c>
      <c r="I142" s="20">
        <v>45790.868055555547</v>
      </c>
      <c r="K142" s="19"/>
      <c r="L142" s="20">
        <v>45790.9375</v>
      </c>
      <c r="M142" s="19"/>
      <c r="N142" s="22">
        <f t="shared" si="4"/>
        <v>6.9444444452528842E-2</v>
      </c>
      <c r="O142" s="19" t="s">
        <v>50</v>
      </c>
      <c r="P142" s="19" t="s">
        <v>1233</v>
      </c>
      <c r="Q142" s="19" t="s">
        <v>1234</v>
      </c>
      <c r="R142" s="19"/>
      <c r="S142" s="19"/>
      <c r="U142" s="19"/>
      <c r="W142" s="19"/>
      <c r="X142" s="19" t="s">
        <v>1235</v>
      </c>
      <c r="Y142" s="27" t="s">
        <v>133</v>
      </c>
      <c r="Z142" s="27" t="s">
        <v>1236</v>
      </c>
      <c r="AA142" s="27" t="s">
        <v>1237</v>
      </c>
      <c r="AB142" s="27" t="s">
        <v>1238</v>
      </c>
      <c r="AC142" s="37" t="s">
        <v>1239</v>
      </c>
      <c r="AD142" s="38" t="s">
        <v>1240</v>
      </c>
      <c r="AE142" s="36">
        <v>45778</v>
      </c>
      <c r="AF142" s="19" t="s">
        <v>60</v>
      </c>
      <c r="AG142" s="19" t="s">
        <v>78</v>
      </c>
      <c r="AH142" s="19" t="s">
        <v>62</v>
      </c>
      <c r="AI142" s="19" t="s">
        <v>50</v>
      </c>
      <c r="AJ142" s="19" t="s">
        <v>1241</v>
      </c>
      <c r="AK142" s="19"/>
      <c r="AL142" s="19"/>
      <c r="AM142" s="19"/>
      <c r="AN142" s="19" t="s">
        <v>65</v>
      </c>
      <c r="AO142" s="23">
        <v>45790.868055555547</v>
      </c>
      <c r="AP142" s="26">
        <f t="shared" si="5"/>
        <v>100</v>
      </c>
    </row>
    <row r="143" spans="1:42" ht="25.5" hidden="1" customHeight="1">
      <c r="A143" s="19" t="s">
        <v>116</v>
      </c>
      <c r="B143" s="19" t="s">
        <v>1145</v>
      </c>
      <c r="C143" s="19" t="s">
        <v>1206</v>
      </c>
      <c r="D143" s="19" t="s">
        <v>45</v>
      </c>
      <c r="E143" s="19" t="s">
        <v>46</v>
      </c>
      <c r="F143" s="19" t="s">
        <v>1242</v>
      </c>
      <c r="G143" s="19" t="s">
        <v>48</v>
      </c>
      <c r="H143" s="19" t="s">
        <v>49</v>
      </c>
      <c r="I143" s="20">
        <v>45791.171527777777</v>
      </c>
      <c r="K143" s="19"/>
      <c r="L143" s="20">
        <v>45791.186111111107</v>
      </c>
      <c r="M143" s="19"/>
      <c r="N143" s="22">
        <f t="shared" si="4"/>
        <v>1.4583333329937886E-2</v>
      </c>
      <c r="O143" s="19" t="s">
        <v>50</v>
      </c>
      <c r="P143" s="19" t="s">
        <v>1243</v>
      </c>
      <c r="Q143" s="19" t="s">
        <v>1244</v>
      </c>
      <c r="R143" s="19"/>
      <c r="S143" s="19"/>
      <c r="U143" s="19"/>
      <c r="W143" s="19"/>
      <c r="X143" s="19" t="s">
        <v>122</v>
      </c>
      <c r="Y143" s="27" t="s">
        <v>54</v>
      </c>
      <c r="Z143" s="27" t="s">
        <v>361</v>
      </c>
      <c r="AA143" s="27" t="s">
        <v>1245</v>
      </c>
      <c r="AB143" s="27" t="s">
        <v>1246</v>
      </c>
      <c r="AC143" s="37" t="s">
        <v>1247</v>
      </c>
      <c r="AD143" s="38" t="s">
        <v>1248</v>
      </c>
      <c r="AE143" s="36">
        <v>45778</v>
      </c>
      <c r="AF143" s="19" t="s">
        <v>89</v>
      </c>
      <c r="AG143" s="19" t="s">
        <v>90</v>
      </c>
      <c r="AH143" s="19" t="s">
        <v>62</v>
      </c>
      <c r="AI143" s="19" t="s">
        <v>63</v>
      </c>
      <c r="AJ143" s="19" t="s">
        <v>1249</v>
      </c>
      <c r="AK143" s="19"/>
      <c r="AL143" s="19"/>
      <c r="AM143" s="19"/>
      <c r="AN143" s="19" t="s">
        <v>65</v>
      </c>
      <c r="AO143" s="23">
        <v>45791.170138888891</v>
      </c>
      <c r="AP143" s="26">
        <f t="shared" si="5"/>
        <v>21</v>
      </c>
    </row>
    <row r="144" spans="1:42" ht="25.5" hidden="1" customHeight="1">
      <c r="A144" s="19" t="s">
        <v>42</v>
      </c>
      <c r="B144" s="19" t="s">
        <v>93</v>
      </c>
      <c r="C144" s="19" t="s">
        <v>336</v>
      </c>
      <c r="D144" s="19" t="s">
        <v>45</v>
      </c>
      <c r="E144" s="19" t="s">
        <v>46</v>
      </c>
      <c r="F144" s="19" t="s">
        <v>1250</v>
      </c>
      <c r="G144" s="19" t="s">
        <v>48</v>
      </c>
      <c r="H144" s="19" t="s">
        <v>49</v>
      </c>
      <c r="I144" s="20">
        <v>45791.277777777781</v>
      </c>
      <c r="K144" s="19"/>
      <c r="L144" s="20">
        <v>45791.297222222223</v>
      </c>
      <c r="M144" s="19"/>
      <c r="N144" s="22">
        <f t="shared" si="4"/>
        <v>1.9444444442342501E-2</v>
      </c>
      <c r="O144" s="19" t="s">
        <v>50</v>
      </c>
      <c r="P144" s="19" t="s">
        <v>297</v>
      </c>
      <c r="Q144" s="19" t="s">
        <v>1251</v>
      </c>
      <c r="R144" s="19"/>
      <c r="S144" s="19"/>
      <c r="U144" s="19"/>
      <c r="W144" s="19"/>
      <c r="X144" s="19" t="s">
        <v>314</v>
      </c>
      <c r="Y144" s="27" t="s">
        <v>54</v>
      </c>
      <c r="Z144" s="27" t="s">
        <v>361</v>
      </c>
      <c r="AA144" s="27" t="s">
        <v>1252</v>
      </c>
      <c r="AB144" s="27" t="s">
        <v>1253</v>
      </c>
      <c r="AC144" s="37" t="s">
        <v>1254</v>
      </c>
      <c r="AD144" s="38" t="s">
        <v>1255</v>
      </c>
      <c r="AE144" s="36">
        <v>45778</v>
      </c>
      <c r="AF144" s="19" t="s">
        <v>89</v>
      </c>
      <c r="AG144" s="19" t="s">
        <v>90</v>
      </c>
      <c r="AH144" s="19" t="s">
        <v>62</v>
      </c>
      <c r="AI144" s="19" t="s">
        <v>63</v>
      </c>
      <c r="AJ144" s="19" t="s">
        <v>1256</v>
      </c>
      <c r="AK144" s="19"/>
      <c r="AL144" s="19"/>
      <c r="AM144" s="19"/>
      <c r="AN144" s="19" t="s">
        <v>65</v>
      </c>
      <c r="AO144" s="23">
        <v>45791.277777777781</v>
      </c>
      <c r="AP144" s="26">
        <f t="shared" si="5"/>
        <v>28</v>
      </c>
    </row>
    <row r="145" spans="1:42" ht="25.5" hidden="1" customHeight="1">
      <c r="A145" s="19" t="s">
        <v>42</v>
      </c>
      <c r="B145" s="19" t="s">
        <v>344</v>
      </c>
      <c r="C145" s="19" t="s">
        <v>118</v>
      </c>
      <c r="D145" s="19" t="s">
        <v>45</v>
      </c>
      <c r="E145" s="19" t="s">
        <v>46</v>
      </c>
      <c r="F145" s="19" t="s">
        <v>1257</v>
      </c>
      <c r="G145" s="19" t="s">
        <v>48</v>
      </c>
      <c r="H145" s="19" t="s">
        <v>49</v>
      </c>
      <c r="I145" s="20">
        <v>45791.427083333343</v>
      </c>
      <c r="K145" s="19"/>
      <c r="L145" s="20">
        <v>45791.434027777781</v>
      </c>
      <c r="M145" s="19"/>
      <c r="N145" s="22">
        <f t="shared" si="4"/>
        <v>6.9444444379769266E-3</v>
      </c>
      <c r="O145" s="19" t="s">
        <v>50</v>
      </c>
      <c r="P145" s="19" t="s">
        <v>1258</v>
      </c>
      <c r="Q145" s="19" t="s">
        <v>1259</v>
      </c>
      <c r="R145" s="19"/>
      <c r="S145" s="19"/>
      <c r="U145" s="19"/>
      <c r="W145" s="19"/>
      <c r="X145" s="19" t="s">
        <v>122</v>
      </c>
      <c r="Y145" s="27" t="s">
        <v>147</v>
      </c>
      <c r="Z145" s="27" t="s">
        <v>78</v>
      </c>
      <c r="AA145" s="27" t="s">
        <v>78</v>
      </c>
      <c r="AB145" s="27" t="s">
        <v>78</v>
      </c>
      <c r="AC145" s="37" t="s">
        <v>78</v>
      </c>
      <c r="AD145" s="38" t="s">
        <v>78</v>
      </c>
      <c r="AE145" s="36">
        <v>45778</v>
      </c>
      <c r="AF145" s="19" t="s">
        <v>89</v>
      </c>
      <c r="AG145" s="19" t="s">
        <v>90</v>
      </c>
      <c r="AH145" s="19" t="s">
        <v>62</v>
      </c>
      <c r="AI145" s="19" t="s">
        <v>63</v>
      </c>
      <c r="AJ145" s="19" t="s">
        <v>1260</v>
      </c>
      <c r="AK145" s="19"/>
      <c r="AL145" s="19"/>
      <c r="AM145" s="19"/>
      <c r="AN145" s="19" t="s">
        <v>65</v>
      </c>
      <c r="AO145" s="23">
        <v>45791.427083333343</v>
      </c>
      <c r="AP145" s="26">
        <f t="shared" si="5"/>
        <v>10</v>
      </c>
    </row>
    <row r="146" spans="1:42" ht="25.5" hidden="1" customHeight="1">
      <c r="A146" s="19" t="s">
        <v>42</v>
      </c>
      <c r="B146" s="19" t="s">
        <v>271</v>
      </c>
      <c r="C146" s="19" t="s">
        <v>1231</v>
      </c>
      <c r="D146" s="19" t="s">
        <v>45</v>
      </c>
      <c r="E146" s="19" t="s">
        <v>46</v>
      </c>
      <c r="F146" s="19" t="s">
        <v>1232</v>
      </c>
      <c r="G146" s="19" t="s">
        <v>226</v>
      </c>
      <c r="H146" s="19" t="s">
        <v>49</v>
      </c>
      <c r="I146" s="20">
        <v>45791.438888888893</v>
      </c>
      <c r="K146" s="19"/>
      <c r="L146" s="20">
        <v>45791.458333333343</v>
      </c>
      <c r="M146" s="19"/>
      <c r="N146" s="22">
        <f t="shared" si="4"/>
        <v>1.9444444449618459E-2</v>
      </c>
      <c r="O146" s="19" t="s">
        <v>50</v>
      </c>
      <c r="P146" s="19" t="s">
        <v>1233</v>
      </c>
      <c r="Q146" s="19" t="s">
        <v>1261</v>
      </c>
      <c r="R146" s="19"/>
      <c r="S146" s="19"/>
      <c r="U146" s="19"/>
      <c r="W146" s="19"/>
      <c r="X146" s="19" t="s">
        <v>1235</v>
      </c>
      <c r="Y146" s="27" t="s">
        <v>133</v>
      </c>
      <c r="Z146" s="27" t="s">
        <v>651</v>
      </c>
      <c r="AA146" s="27" t="s">
        <v>1262</v>
      </c>
      <c r="AB146" s="27" t="s">
        <v>1263</v>
      </c>
      <c r="AC146" s="37" t="s">
        <v>1264</v>
      </c>
      <c r="AD146" s="38" t="s">
        <v>1265</v>
      </c>
      <c r="AE146" s="36">
        <v>45778</v>
      </c>
      <c r="AF146" s="19" t="s">
        <v>60</v>
      </c>
      <c r="AG146" s="19" t="s">
        <v>78</v>
      </c>
      <c r="AH146" s="19" t="s">
        <v>62</v>
      </c>
      <c r="AI146" s="19" t="s">
        <v>50</v>
      </c>
      <c r="AJ146" s="19" t="s">
        <v>1266</v>
      </c>
      <c r="AK146" s="19"/>
      <c r="AL146" s="19"/>
      <c r="AM146" s="19"/>
      <c r="AN146" s="19" t="s">
        <v>103</v>
      </c>
      <c r="AO146" s="23">
        <v>45791.438888888893</v>
      </c>
      <c r="AP146" s="26">
        <f t="shared" si="5"/>
        <v>28</v>
      </c>
    </row>
    <row r="147" spans="1:42" ht="25.5" customHeight="1">
      <c r="A147" s="19" t="s">
        <v>42</v>
      </c>
      <c r="B147" s="19" t="s">
        <v>1194</v>
      </c>
      <c r="C147" s="19" t="s">
        <v>1195</v>
      </c>
      <c r="D147" s="19" t="s">
        <v>45</v>
      </c>
      <c r="E147" s="19" t="s">
        <v>46</v>
      </c>
      <c r="F147" s="19" t="s">
        <v>1196</v>
      </c>
      <c r="G147" s="19" t="s">
        <v>226</v>
      </c>
      <c r="H147" s="19" t="s">
        <v>144</v>
      </c>
      <c r="I147" s="20">
        <v>45791.441666666673</v>
      </c>
      <c r="K147" s="19">
        <v>45791.479166666657</v>
      </c>
      <c r="L147" s="20">
        <v>45791.525694444441</v>
      </c>
      <c r="M147" s="19"/>
      <c r="N147" s="22">
        <f t="shared" si="4"/>
        <v>8.4027777767914813E-2</v>
      </c>
      <c r="O147" s="19" t="s">
        <v>50</v>
      </c>
      <c r="P147" s="19" t="s">
        <v>1197</v>
      </c>
      <c r="Q147" s="19" t="s">
        <v>1267</v>
      </c>
      <c r="R147" s="19" t="s">
        <v>1199</v>
      </c>
      <c r="S147" s="19" t="s">
        <v>1200</v>
      </c>
      <c r="T147" s="20">
        <v>45791.570023148153</v>
      </c>
      <c r="U147" s="19">
        <v>45811.749305555553</v>
      </c>
      <c r="V147" s="19" t="s">
        <v>157</v>
      </c>
      <c r="W147" s="19"/>
      <c r="X147" s="19" t="s">
        <v>109</v>
      </c>
      <c r="Y147" s="27" t="s">
        <v>54</v>
      </c>
      <c r="Z147" s="27" t="s">
        <v>361</v>
      </c>
      <c r="AA147" s="27" t="s">
        <v>1268</v>
      </c>
      <c r="AB147" s="27" t="s">
        <v>1269</v>
      </c>
      <c r="AC147" s="37" t="s">
        <v>1270</v>
      </c>
      <c r="AD147" s="38" t="s">
        <v>1271</v>
      </c>
      <c r="AE147" s="36">
        <v>45778</v>
      </c>
      <c r="AF147" s="19" t="s">
        <v>293</v>
      </c>
      <c r="AG147" s="19" t="s">
        <v>556</v>
      </c>
      <c r="AH147" s="19" t="s">
        <v>62</v>
      </c>
      <c r="AI147" s="19" t="s">
        <v>63</v>
      </c>
      <c r="AJ147" s="19" t="s">
        <v>1272</v>
      </c>
      <c r="AK147" s="19"/>
      <c r="AL147" s="19"/>
      <c r="AM147" s="19"/>
      <c r="AN147" s="19" t="s">
        <v>103</v>
      </c>
      <c r="AO147" s="23">
        <v>45791.441666666673</v>
      </c>
      <c r="AP147" s="26">
        <f t="shared" si="5"/>
        <v>121</v>
      </c>
    </row>
    <row r="148" spans="1:42" ht="25.5" hidden="1" customHeight="1">
      <c r="A148" s="19" t="s">
        <v>116</v>
      </c>
      <c r="B148" s="19" t="s">
        <v>1273</v>
      </c>
      <c r="C148" s="19" t="s">
        <v>1274</v>
      </c>
      <c r="D148" s="19" t="s">
        <v>45</v>
      </c>
      <c r="E148" s="19" t="s">
        <v>46</v>
      </c>
      <c r="F148" s="19" t="s">
        <v>1275</v>
      </c>
      <c r="G148" s="19" t="s">
        <v>48</v>
      </c>
      <c r="H148" s="19" t="s">
        <v>49</v>
      </c>
      <c r="I148" s="20">
        <v>45791.527777777781</v>
      </c>
      <c r="K148" s="19"/>
      <c r="L148" s="20">
        <v>45791.59652777778</v>
      </c>
      <c r="M148" s="19"/>
      <c r="N148" s="22">
        <f t="shared" si="4"/>
        <v>6.8749999998544808E-2</v>
      </c>
      <c r="O148" s="19" t="s">
        <v>50</v>
      </c>
      <c r="P148" s="19" t="s">
        <v>1276</v>
      </c>
      <c r="Q148" s="19" t="s">
        <v>1277</v>
      </c>
      <c r="R148" s="19"/>
      <c r="S148" s="19"/>
      <c r="U148" s="19"/>
      <c r="W148" s="19"/>
      <c r="X148" s="19" t="s">
        <v>109</v>
      </c>
      <c r="Y148" s="27" t="s">
        <v>133</v>
      </c>
      <c r="Z148" s="27" t="s">
        <v>811</v>
      </c>
      <c r="AA148" s="27" t="s">
        <v>1278</v>
      </c>
      <c r="AB148" s="27" t="s">
        <v>1279</v>
      </c>
      <c r="AC148" s="37" t="s">
        <v>1280</v>
      </c>
      <c r="AD148" s="38" t="s">
        <v>1281</v>
      </c>
      <c r="AE148" s="36">
        <v>45778</v>
      </c>
      <c r="AF148" s="19" t="s">
        <v>89</v>
      </c>
      <c r="AG148" s="19" t="s">
        <v>90</v>
      </c>
      <c r="AH148" s="19" t="s">
        <v>62</v>
      </c>
      <c r="AI148" s="19" t="s">
        <v>63</v>
      </c>
      <c r="AJ148" s="19" t="s">
        <v>1282</v>
      </c>
      <c r="AK148" s="19"/>
      <c r="AL148" s="19"/>
      <c r="AM148" s="19"/>
      <c r="AN148" s="19" t="s">
        <v>65</v>
      </c>
      <c r="AO148" s="23">
        <v>45791.527777777781</v>
      </c>
      <c r="AP148" s="26">
        <f t="shared" si="5"/>
        <v>99</v>
      </c>
    </row>
    <row r="149" spans="1:42" ht="25.5" hidden="1" customHeight="1">
      <c r="A149" s="19" t="s">
        <v>285</v>
      </c>
      <c r="B149" s="19" t="s">
        <v>1283</v>
      </c>
      <c r="C149" s="19" t="s">
        <v>1284</v>
      </c>
      <c r="D149" s="19" t="s">
        <v>45</v>
      </c>
      <c r="E149" s="19" t="s">
        <v>46</v>
      </c>
      <c r="F149" s="19" t="s">
        <v>1285</v>
      </c>
      <c r="G149" s="19" t="s">
        <v>48</v>
      </c>
      <c r="H149" s="19" t="s">
        <v>49</v>
      </c>
      <c r="I149" s="20">
        <v>45791.822916666657</v>
      </c>
      <c r="K149" s="19"/>
      <c r="L149" s="20">
        <v>45791.854166666657</v>
      </c>
      <c r="M149" s="19"/>
      <c r="N149" s="22">
        <f t="shared" si="4"/>
        <v>3.125E-2</v>
      </c>
      <c r="O149" s="19" t="s">
        <v>50</v>
      </c>
      <c r="P149" s="19" t="s">
        <v>1286</v>
      </c>
      <c r="Q149" s="19" t="s">
        <v>1287</v>
      </c>
      <c r="R149" s="19"/>
      <c r="S149" s="19"/>
      <c r="U149" s="19"/>
      <c r="W149" s="19"/>
      <c r="X149" s="19" t="s">
        <v>1288</v>
      </c>
      <c r="Y149" s="27" t="s">
        <v>133</v>
      </c>
      <c r="Z149" s="27" t="s">
        <v>1289</v>
      </c>
      <c r="AA149" s="27" t="s">
        <v>1290</v>
      </c>
      <c r="AB149" s="27" t="s">
        <v>1291</v>
      </c>
      <c r="AC149" s="37" t="s">
        <v>1292</v>
      </c>
      <c r="AD149" s="38" t="s">
        <v>1293</v>
      </c>
      <c r="AE149" s="36">
        <v>45778</v>
      </c>
      <c r="AF149" s="19" t="s">
        <v>78</v>
      </c>
      <c r="AG149" s="19" t="s">
        <v>78</v>
      </c>
      <c r="AH149" s="19" t="s">
        <v>78</v>
      </c>
      <c r="AI149" s="19" t="s">
        <v>63</v>
      </c>
      <c r="AJ149" s="19" t="s">
        <v>1294</v>
      </c>
      <c r="AK149" s="19"/>
      <c r="AL149" s="19"/>
      <c r="AM149" s="19"/>
      <c r="AN149" s="19" t="s">
        <v>128</v>
      </c>
      <c r="AO149" s="23">
        <v>45791.833333333343</v>
      </c>
      <c r="AP149" s="26">
        <f t="shared" si="5"/>
        <v>45</v>
      </c>
    </row>
    <row r="150" spans="1:42" ht="25.5" hidden="1" customHeight="1">
      <c r="A150" s="19" t="s">
        <v>285</v>
      </c>
      <c r="B150" s="19" t="s">
        <v>1283</v>
      </c>
      <c r="C150" s="19" t="s">
        <v>1284</v>
      </c>
      <c r="D150" s="19" t="s">
        <v>45</v>
      </c>
      <c r="E150" s="19" t="s">
        <v>46</v>
      </c>
      <c r="F150" s="19" t="s">
        <v>1285</v>
      </c>
      <c r="G150" s="19" t="s">
        <v>226</v>
      </c>
      <c r="H150" s="19" t="s">
        <v>49</v>
      </c>
      <c r="I150" s="20">
        <v>45791.876388888893</v>
      </c>
      <c r="K150" s="19"/>
      <c r="L150" s="20">
        <v>45791.895833333343</v>
      </c>
      <c r="M150" s="19"/>
      <c r="N150" s="22">
        <f t="shared" si="4"/>
        <v>1.9444444449618459E-2</v>
      </c>
      <c r="O150" s="19" t="s">
        <v>50</v>
      </c>
      <c r="P150" s="19" t="s">
        <v>1286</v>
      </c>
      <c r="Q150" s="19" t="s">
        <v>1295</v>
      </c>
      <c r="R150" s="19"/>
      <c r="S150" s="19"/>
      <c r="U150" s="19"/>
      <c r="W150" s="19"/>
      <c r="X150" s="19" t="s">
        <v>1288</v>
      </c>
      <c r="Y150" s="27" t="s">
        <v>133</v>
      </c>
      <c r="Z150" s="27" t="s">
        <v>1289</v>
      </c>
      <c r="AA150" s="27" t="s">
        <v>1290</v>
      </c>
      <c r="AB150" s="27" t="s">
        <v>1291</v>
      </c>
      <c r="AC150" s="37" t="s">
        <v>1292</v>
      </c>
      <c r="AD150" s="38" t="s">
        <v>1293</v>
      </c>
      <c r="AE150" s="36">
        <v>45778</v>
      </c>
      <c r="AF150" s="19" t="s">
        <v>78</v>
      </c>
      <c r="AG150" s="19" t="s">
        <v>78</v>
      </c>
      <c r="AH150" s="19" t="s">
        <v>78</v>
      </c>
      <c r="AI150" s="19" t="s">
        <v>63</v>
      </c>
      <c r="AJ150" s="19" t="s">
        <v>1294</v>
      </c>
      <c r="AK150" s="19"/>
      <c r="AL150" s="19"/>
      <c r="AM150" s="19"/>
      <c r="AN150" s="19" t="s">
        <v>128</v>
      </c>
      <c r="AO150" s="23">
        <v>45791.876388888893</v>
      </c>
      <c r="AP150" s="26">
        <f t="shared" si="5"/>
        <v>28</v>
      </c>
    </row>
    <row r="151" spans="1:42" ht="25.5" hidden="1" customHeight="1">
      <c r="A151" s="19" t="s">
        <v>285</v>
      </c>
      <c r="C151" s="19" t="s">
        <v>1296</v>
      </c>
      <c r="D151" s="19" t="s">
        <v>45</v>
      </c>
      <c r="E151" s="19" t="s">
        <v>46</v>
      </c>
      <c r="F151" s="19" t="s">
        <v>1297</v>
      </c>
      <c r="G151" s="19" t="s">
        <v>48</v>
      </c>
      <c r="H151" s="19" t="s">
        <v>49</v>
      </c>
      <c r="I151" s="20">
        <v>45792.041666666657</v>
      </c>
      <c r="K151" s="19"/>
      <c r="L151" s="20">
        <v>45792.375</v>
      </c>
      <c r="M151" s="19"/>
      <c r="N151" s="22">
        <f t="shared" si="4"/>
        <v>0.33333333334303461</v>
      </c>
      <c r="O151" s="19" t="s">
        <v>63</v>
      </c>
      <c r="P151" s="19" t="s">
        <v>1298</v>
      </c>
      <c r="Q151" s="19" t="s">
        <v>1299</v>
      </c>
      <c r="R151" s="19"/>
      <c r="S151" s="19"/>
      <c r="U151" s="19"/>
      <c r="W151" s="19"/>
      <c r="X151" s="19" t="s">
        <v>1296</v>
      </c>
      <c r="Y151" s="27" t="s">
        <v>54</v>
      </c>
      <c r="Z151" s="27" t="s">
        <v>123</v>
      </c>
      <c r="AA151" s="27" t="s">
        <v>1300</v>
      </c>
      <c r="AB151" s="27" t="s">
        <v>1301</v>
      </c>
      <c r="AC151" s="37">
        <v>45792.03125</v>
      </c>
      <c r="AD151" s="38" t="s">
        <v>861</v>
      </c>
      <c r="AE151" s="36">
        <v>45778</v>
      </c>
      <c r="AF151" s="19" t="s">
        <v>89</v>
      </c>
      <c r="AG151" s="19" t="s">
        <v>90</v>
      </c>
      <c r="AH151" s="19" t="s">
        <v>62</v>
      </c>
      <c r="AI151" s="19" t="s">
        <v>63</v>
      </c>
      <c r="AJ151" s="19" t="s">
        <v>1302</v>
      </c>
      <c r="AK151" s="19"/>
      <c r="AL151" s="19"/>
      <c r="AM151" s="19"/>
      <c r="AN151" s="19" t="s">
        <v>65</v>
      </c>
      <c r="AO151" s="23">
        <v>45792.041666666657</v>
      </c>
      <c r="AP151" s="26">
        <f t="shared" si="5"/>
        <v>480</v>
      </c>
    </row>
    <row r="152" spans="1:42" ht="25.5" hidden="1" customHeight="1">
      <c r="A152" s="19" t="s">
        <v>116</v>
      </c>
      <c r="B152" s="19" t="s">
        <v>1303</v>
      </c>
      <c r="C152" s="19" t="s">
        <v>1304</v>
      </c>
      <c r="D152" s="19" t="s">
        <v>45</v>
      </c>
      <c r="E152" s="19" t="s">
        <v>46</v>
      </c>
      <c r="F152" s="19" t="s">
        <v>1305</v>
      </c>
      <c r="G152" s="19" t="s">
        <v>48</v>
      </c>
      <c r="H152" s="19" t="s">
        <v>49</v>
      </c>
      <c r="I152" s="20">
        <v>45792.656944444447</v>
      </c>
      <c r="K152" s="19"/>
      <c r="L152" s="20">
        <v>45792.6875</v>
      </c>
      <c r="M152" s="19"/>
      <c r="N152" s="22">
        <f t="shared" si="4"/>
        <v>3.0555555553291924E-2</v>
      </c>
      <c r="O152" s="19" t="s">
        <v>50</v>
      </c>
      <c r="P152" s="19" t="s">
        <v>1306</v>
      </c>
      <c r="Q152" s="19" t="s">
        <v>1307</v>
      </c>
      <c r="R152" s="19"/>
      <c r="S152" s="19"/>
      <c r="U152" s="19"/>
      <c r="W152" s="19"/>
      <c r="X152" s="19" t="s">
        <v>1308</v>
      </c>
      <c r="Y152" s="27" t="s">
        <v>54</v>
      </c>
      <c r="Z152" s="27" t="s">
        <v>1309</v>
      </c>
      <c r="AA152" s="27" t="s">
        <v>1310</v>
      </c>
      <c r="AB152" s="27" t="s">
        <v>1311</v>
      </c>
      <c r="AC152" s="37" t="s">
        <v>1312</v>
      </c>
      <c r="AD152" s="38" t="s">
        <v>1313</v>
      </c>
      <c r="AE152" s="36">
        <v>45778</v>
      </c>
      <c r="AF152" s="19" t="s">
        <v>89</v>
      </c>
      <c r="AG152" s="19" t="s">
        <v>90</v>
      </c>
      <c r="AH152" s="19" t="s">
        <v>62</v>
      </c>
      <c r="AI152" s="19" t="s">
        <v>63</v>
      </c>
      <c r="AJ152" s="19" t="s">
        <v>1314</v>
      </c>
      <c r="AK152" s="19"/>
      <c r="AL152" s="19"/>
      <c r="AM152" s="19"/>
      <c r="AN152" s="19" t="s">
        <v>103</v>
      </c>
      <c r="AO152" s="23">
        <v>45792.656944444447</v>
      </c>
      <c r="AP152" s="26">
        <f t="shared" si="5"/>
        <v>44</v>
      </c>
    </row>
    <row r="153" spans="1:42" ht="25.5" hidden="1" customHeight="1">
      <c r="A153" s="19" t="s">
        <v>42</v>
      </c>
      <c r="B153" s="19" t="s">
        <v>383</v>
      </c>
      <c r="C153" s="19" t="s">
        <v>384</v>
      </c>
      <c r="D153" s="19" t="s">
        <v>45</v>
      </c>
      <c r="E153" s="19" t="s">
        <v>46</v>
      </c>
      <c r="F153" s="19" t="s">
        <v>1315</v>
      </c>
      <c r="G153" s="19" t="s">
        <v>48</v>
      </c>
      <c r="H153" s="19" t="s">
        <v>49</v>
      </c>
      <c r="I153" s="20">
        <v>45792.677083333343</v>
      </c>
      <c r="K153" s="19"/>
      <c r="L153" s="20">
        <v>45792.871527777781</v>
      </c>
      <c r="M153" s="19"/>
      <c r="N153" s="22">
        <f t="shared" si="4"/>
        <v>0.19444444443797693</v>
      </c>
      <c r="O153" s="19" t="s">
        <v>50</v>
      </c>
      <c r="P153" s="19" t="s">
        <v>1316</v>
      </c>
      <c r="Q153" s="19" t="s">
        <v>1317</v>
      </c>
      <c r="R153" s="19"/>
      <c r="S153" s="19"/>
      <c r="U153" s="19"/>
      <c r="W153" s="19"/>
      <c r="X153" s="19" t="s">
        <v>109</v>
      </c>
      <c r="Y153" s="27" t="s">
        <v>147</v>
      </c>
      <c r="Z153" s="27" t="s">
        <v>78</v>
      </c>
      <c r="AA153" s="27" t="s">
        <v>78</v>
      </c>
      <c r="AB153" s="27" t="s">
        <v>78</v>
      </c>
      <c r="AC153" s="37" t="s">
        <v>78</v>
      </c>
      <c r="AD153" s="38" t="s">
        <v>78</v>
      </c>
      <c r="AE153" s="36">
        <v>45778</v>
      </c>
      <c r="AF153" s="19" t="s">
        <v>60</v>
      </c>
      <c r="AG153" s="19" t="s">
        <v>78</v>
      </c>
      <c r="AH153" s="19" t="s">
        <v>78</v>
      </c>
      <c r="AI153" s="19" t="s">
        <v>63</v>
      </c>
      <c r="AJ153" s="19" t="s">
        <v>1318</v>
      </c>
      <c r="AK153" s="19"/>
      <c r="AL153" s="19"/>
      <c r="AM153" s="19"/>
      <c r="AN153" s="19" t="s">
        <v>103</v>
      </c>
      <c r="AO153" s="23">
        <v>45792.677083333343</v>
      </c>
      <c r="AP153" s="26">
        <f t="shared" si="5"/>
        <v>280</v>
      </c>
    </row>
    <row r="154" spans="1:42" ht="25.5" customHeight="1">
      <c r="A154" s="19" t="s">
        <v>42</v>
      </c>
      <c r="B154" s="19" t="s">
        <v>1319</v>
      </c>
      <c r="C154" s="19" t="s">
        <v>1320</v>
      </c>
      <c r="D154" s="19" t="s">
        <v>45</v>
      </c>
      <c r="E154" s="19" t="s">
        <v>46</v>
      </c>
      <c r="F154" s="19" t="s">
        <v>1321</v>
      </c>
      <c r="G154" s="19" t="s">
        <v>48</v>
      </c>
      <c r="H154" s="19" t="s">
        <v>69</v>
      </c>
      <c r="I154" s="20">
        <v>45792.805555555547</v>
      </c>
      <c r="K154" s="19">
        <v>45792.819444444453</v>
      </c>
      <c r="L154" s="20">
        <v>45792.852777777778</v>
      </c>
      <c r="M154" s="19"/>
      <c r="N154" s="22">
        <f t="shared" si="4"/>
        <v>4.7222222230629995E-2</v>
      </c>
      <c r="O154" s="19" t="s">
        <v>50</v>
      </c>
      <c r="P154" s="19" t="s">
        <v>1322</v>
      </c>
      <c r="Q154" s="19" t="s">
        <v>1323</v>
      </c>
      <c r="R154" s="19"/>
      <c r="S154" s="19"/>
      <c r="U154" s="19"/>
      <c r="W154" s="19"/>
      <c r="X154" s="19" t="s">
        <v>72</v>
      </c>
      <c r="Y154" s="27" t="s">
        <v>147</v>
      </c>
      <c r="Z154" s="27" t="s">
        <v>78</v>
      </c>
      <c r="AA154" s="27" t="s">
        <v>78</v>
      </c>
      <c r="AB154" s="27" t="s">
        <v>78</v>
      </c>
      <c r="AC154" s="37" t="s">
        <v>78</v>
      </c>
      <c r="AD154" s="38" t="s">
        <v>78</v>
      </c>
      <c r="AE154" s="36">
        <v>45778</v>
      </c>
      <c r="AF154" s="19" t="s">
        <v>89</v>
      </c>
      <c r="AG154" s="19" t="s">
        <v>90</v>
      </c>
      <c r="AH154" s="19" t="s">
        <v>62</v>
      </c>
      <c r="AI154" s="19" t="s">
        <v>63</v>
      </c>
      <c r="AJ154" s="19" t="s">
        <v>1324</v>
      </c>
      <c r="AK154" s="19"/>
      <c r="AL154" s="19"/>
      <c r="AM154" s="19"/>
      <c r="AN154" s="19" t="s">
        <v>65</v>
      </c>
      <c r="AO154" s="23">
        <v>45792.805555555547</v>
      </c>
      <c r="AP154" s="26">
        <f t="shared" si="5"/>
        <v>68</v>
      </c>
    </row>
    <row r="155" spans="1:42" ht="25.5" hidden="1" customHeight="1">
      <c r="A155" s="19" t="s">
        <v>92</v>
      </c>
      <c r="B155" s="19" t="s">
        <v>1325</v>
      </c>
      <c r="C155" s="19" t="s">
        <v>1326</v>
      </c>
      <c r="D155" s="19" t="s">
        <v>45</v>
      </c>
      <c r="E155" s="19" t="s">
        <v>46</v>
      </c>
      <c r="F155" s="19" t="s">
        <v>1327</v>
      </c>
      <c r="G155" s="19" t="s">
        <v>48</v>
      </c>
      <c r="H155" s="19" t="s">
        <v>49</v>
      </c>
      <c r="I155" s="20">
        <v>45793.041666666657</v>
      </c>
      <c r="K155" s="19"/>
      <c r="L155" s="20">
        <v>45793.118055555547</v>
      </c>
      <c r="M155" s="19"/>
      <c r="N155" s="22">
        <f t="shared" si="4"/>
        <v>7.6388888890505768E-2</v>
      </c>
      <c r="O155" s="19" t="s">
        <v>50</v>
      </c>
      <c r="P155" s="19" t="s">
        <v>1328</v>
      </c>
      <c r="Q155" s="19" t="s">
        <v>1329</v>
      </c>
      <c r="R155" s="19"/>
      <c r="S155" s="19"/>
      <c r="U155" s="19"/>
      <c r="W155" s="19"/>
      <c r="X155" s="19" t="s">
        <v>1330</v>
      </c>
      <c r="Y155" s="27" t="s">
        <v>54</v>
      </c>
      <c r="Z155" s="27" t="s">
        <v>1331</v>
      </c>
      <c r="AA155" s="27" t="s">
        <v>1332</v>
      </c>
      <c r="AB155" s="27" t="s">
        <v>1333</v>
      </c>
      <c r="AC155" s="37" t="s">
        <v>1334</v>
      </c>
      <c r="AD155" s="38" t="s">
        <v>1335</v>
      </c>
      <c r="AE155" s="36">
        <v>45778</v>
      </c>
      <c r="AF155" s="19" t="s">
        <v>99</v>
      </c>
      <c r="AG155" s="19" t="s">
        <v>100</v>
      </c>
      <c r="AH155" s="19" t="s">
        <v>62</v>
      </c>
      <c r="AI155" s="19" t="s">
        <v>63</v>
      </c>
      <c r="AJ155" s="19" t="s">
        <v>1336</v>
      </c>
      <c r="AK155" s="19" t="s">
        <v>1337</v>
      </c>
      <c r="AL155" s="19"/>
      <c r="AM155" s="19"/>
      <c r="AN155" s="19" t="s">
        <v>65</v>
      </c>
      <c r="AO155" s="23">
        <v>45793.041666666657</v>
      </c>
      <c r="AP155" s="26">
        <f t="shared" si="5"/>
        <v>110</v>
      </c>
    </row>
    <row r="156" spans="1:42" ht="25.5" hidden="1" customHeight="1">
      <c r="A156" s="19" t="s">
        <v>42</v>
      </c>
      <c r="B156" s="19" t="s">
        <v>1338</v>
      </c>
      <c r="C156" s="19" t="s">
        <v>1339</v>
      </c>
      <c r="D156" s="19" t="s">
        <v>45</v>
      </c>
      <c r="E156" s="19" t="s">
        <v>356</v>
      </c>
      <c r="F156" s="19" t="s">
        <v>1340</v>
      </c>
      <c r="G156" s="19" t="s">
        <v>48</v>
      </c>
      <c r="H156" s="19" t="s">
        <v>49</v>
      </c>
      <c r="I156" s="20">
        <v>45793.48541666667</v>
      </c>
      <c r="K156" s="19"/>
      <c r="L156" s="20">
        <v>45793.510416666657</v>
      </c>
      <c r="M156" s="19"/>
      <c r="N156" s="22">
        <f t="shared" si="4"/>
        <v>2.4999999986903276E-2</v>
      </c>
      <c r="O156" s="19" t="s">
        <v>50</v>
      </c>
      <c r="P156" s="19" t="s">
        <v>1341</v>
      </c>
      <c r="Q156" s="19" t="s">
        <v>1342</v>
      </c>
      <c r="R156" s="19"/>
      <c r="S156" s="19"/>
      <c r="U156" s="19"/>
      <c r="W156" s="19"/>
      <c r="X156" s="19" t="s">
        <v>509</v>
      </c>
      <c r="Y156" s="27" t="s">
        <v>54</v>
      </c>
      <c r="Z156" s="27" t="s">
        <v>123</v>
      </c>
      <c r="AA156" s="27" t="s">
        <v>1343</v>
      </c>
      <c r="AB156" s="27" t="s">
        <v>1344</v>
      </c>
      <c r="AC156" s="37">
        <v>45793.42083333333</v>
      </c>
      <c r="AD156" s="38">
        <v>45793.462500000001</v>
      </c>
      <c r="AE156" s="36">
        <v>45778</v>
      </c>
      <c r="AF156" s="19" t="s">
        <v>89</v>
      </c>
      <c r="AG156" s="19" t="s">
        <v>90</v>
      </c>
      <c r="AH156" s="19" t="s">
        <v>62</v>
      </c>
      <c r="AI156" s="19" t="s">
        <v>63</v>
      </c>
      <c r="AJ156" s="19" t="s">
        <v>503</v>
      </c>
      <c r="AK156" s="19"/>
      <c r="AL156" s="19"/>
      <c r="AM156" s="19"/>
      <c r="AN156" s="19" t="s">
        <v>65</v>
      </c>
      <c r="AO156" s="23">
        <v>45793.48541666667</v>
      </c>
      <c r="AP156" s="26">
        <f t="shared" si="5"/>
        <v>36</v>
      </c>
    </row>
    <row r="157" spans="1:42" ht="25.5" hidden="1" customHeight="1">
      <c r="A157" s="19" t="s">
        <v>42</v>
      </c>
      <c r="B157" s="19" t="s">
        <v>1345</v>
      </c>
      <c r="C157" s="19" t="s">
        <v>1346</v>
      </c>
      <c r="D157" s="19" t="s">
        <v>45</v>
      </c>
      <c r="E157" s="19" t="s">
        <v>46</v>
      </c>
      <c r="F157" s="19" t="s">
        <v>1347</v>
      </c>
      <c r="G157" s="19" t="s">
        <v>48</v>
      </c>
      <c r="H157" s="19" t="s">
        <v>49</v>
      </c>
      <c r="I157" s="20">
        <v>45793.504861111112</v>
      </c>
      <c r="K157" s="19"/>
      <c r="L157" s="20">
        <v>45793.527083333327</v>
      </c>
      <c r="M157" s="19"/>
      <c r="N157" s="22">
        <f t="shared" si="4"/>
        <v>2.2222222214622889E-2</v>
      </c>
      <c r="O157" s="19" t="s">
        <v>50</v>
      </c>
      <c r="P157" s="19" t="s">
        <v>1348</v>
      </c>
      <c r="Q157" s="19" t="s">
        <v>1349</v>
      </c>
      <c r="R157" s="19"/>
      <c r="S157" s="19"/>
      <c r="U157" s="19"/>
      <c r="W157" s="19"/>
      <c r="X157" s="19" t="s">
        <v>109</v>
      </c>
      <c r="Y157" s="27" t="s">
        <v>54</v>
      </c>
      <c r="Z157" s="27" t="s">
        <v>1350</v>
      </c>
      <c r="AA157" s="27" t="s">
        <v>1351</v>
      </c>
      <c r="AB157" s="27" t="s">
        <v>1352</v>
      </c>
      <c r="AC157" s="37" t="s">
        <v>1353</v>
      </c>
      <c r="AD157" s="38" t="s">
        <v>1354</v>
      </c>
      <c r="AE157" s="36">
        <v>45778</v>
      </c>
      <c r="AF157" s="19" t="s">
        <v>89</v>
      </c>
      <c r="AG157" s="19" t="s">
        <v>90</v>
      </c>
      <c r="AH157" s="19" t="s">
        <v>62</v>
      </c>
      <c r="AI157" s="19" t="s">
        <v>63</v>
      </c>
      <c r="AJ157" s="19" t="s">
        <v>1355</v>
      </c>
      <c r="AK157" s="19"/>
      <c r="AL157" s="19"/>
      <c r="AM157" s="19"/>
      <c r="AN157" s="19" t="s">
        <v>65</v>
      </c>
      <c r="AO157" s="23">
        <v>45793.504861111112</v>
      </c>
      <c r="AP157" s="26">
        <f t="shared" si="5"/>
        <v>32</v>
      </c>
    </row>
    <row r="158" spans="1:42" ht="25.5" hidden="1" customHeight="1">
      <c r="A158" s="19" t="s">
        <v>116</v>
      </c>
      <c r="B158" s="19" t="s">
        <v>1356</v>
      </c>
      <c r="C158" s="19" t="s">
        <v>1206</v>
      </c>
      <c r="D158" s="19" t="s">
        <v>45</v>
      </c>
      <c r="E158" s="19" t="s">
        <v>46</v>
      </c>
      <c r="F158" s="19" t="s">
        <v>1357</v>
      </c>
      <c r="G158" s="19" t="s">
        <v>48</v>
      </c>
      <c r="H158" s="19" t="s">
        <v>49</v>
      </c>
      <c r="I158" s="20">
        <v>45793.59097222222</v>
      </c>
      <c r="K158" s="19"/>
      <c r="L158" s="20">
        <v>45793.645833333343</v>
      </c>
      <c r="M158" s="19"/>
      <c r="N158" s="22">
        <f t="shared" si="4"/>
        <v>5.4861111122590955E-2</v>
      </c>
      <c r="O158" s="19" t="s">
        <v>50</v>
      </c>
      <c r="P158" s="19" t="s">
        <v>1358</v>
      </c>
      <c r="Q158" s="19" t="s">
        <v>1359</v>
      </c>
      <c r="R158" s="19"/>
      <c r="S158" s="19"/>
      <c r="U158" s="19"/>
      <c r="W158" s="19"/>
      <c r="X158" s="19" t="s">
        <v>122</v>
      </c>
      <c r="Y158" s="27" t="s">
        <v>54</v>
      </c>
      <c r="Z158" s="27" t="s">
        <v>123</v>
      </c>
      <c r="AA158" s="27" t="s">
        <v>1360</v>
      </c>
      <c r="AB158" s="27" t="s">
        <v>1361</v>
      </c>
      <c r="AC158" s="37">
        <v>45793.575694444437</v>
      </c>
      <c r="AD158" s="38">
        <v>45793.604861111111</v>
      </c>
      <c r="AE158" s="36">
        <v>45778</v>
      </c>
      <c r="AF158" s="19" t="s">
        <v>89</v>
      </c>
      <c r="AG158" s="19" t="s">
        <v>90</v>
      </c>
      <c r="AH158" s="19" t="s">
        <v>62</v>
      </c>
      <c r="AI158" s="19" t="s">
        <v>63</v>
      </c>
      <c r="AJ158" s="19" t="s">
        <v>1362</v>
      </c>
      <c r="AK158" s="19"/>
      <c r="AL158" s="19"/>
      <c r="AM158" s="19"/>
      <c r="AN158" s="19" t="s">
        <v>65</v>
      </c>
      <c r="AO158" s="23">
        <v>45793.59097222222</v>
      </c>
      <c r="AP158" s="26">
        <f t="shared" si="5"/>
        <v>79</v>
      </c>
    </row>
    <row r="159" spans="1:42" ht="25.5" hidden="1" customHeight="1">
      <c r="A159" s="19" t="s">
        <v>92</v>
      </c>
      <c r="B159" s="19" t="s">
        <v>1363</v>
      </c>
      <c r="C159" s="19" t="s">
        <v>1364</v>
      </c>
      <c r="D159" s="19" t="s">
        <v>45</v>
      </c>
      <c r="E159" s="19" t="s">
        <v>46</v>
      </c>
      <c r="F159" s="19" t="s">
        <v>1365</v>
      </c>
      <c r="G159" s="19" t="s">
        <v>48</v>
      </c>
      <c r="H159" s="19" t="s">
        <v>49</v>
      </c>
      <c r="I159" s="20">
        <v>45793.643750000003</v>
      </c>
      <c r="K159" s="19"/>
      <c r="L159" s="20">
        <v>45793.666666666657</v>
      </c>
      <c r="M159" s="19"/>
      <c r="N159" s="22">
        <f t="shared" si="4"/>
        <v>2.2916666654055007E-2</v>
      </c>
      <c r="O159" s="19" t="s">
        <v>50</v>
      </c>
      <c r="P159" s="19" t="s">
        <v>1366</v>
      </c>
      <c r="Q159" s="19" t="s">
        <v>1367</v>
      </c>
      <c r="R159" s="19"/>
      <c r="S159" s="19"/>
      <c r="U159" s="19"/>
      <c r="W159" s="19"/>
      <c r="X159" s="19" t="s">
        <v>662</v>
      </c>
      <c r="Y159" s="27" t="s">
        <v>54</v>
      </c>
      <c r="Z159" s="27" t="s">
        <v>361</v>
      </c>
      <c r="AA159" s="27" t="s">
        <v>1368</v>
      </c>
      <c r="AB159" s="27" t="s">
        <v>1369</v>
      </c>
      <c r="AC159" s="37" t="s">
        <v>1370</v>
      </c>
      <c r="AD159" s="38" t="s">
        <v>1371</v>
      </c>
      <c r="AE159" s="36">
        <v>45778</v>
      </c>
      <c r="AF159" s="19" t="s">
        <v>78</v>
      </c>
      <c r="AG159" s="19" t="s">
        <v>78</v>
      </c>
      <c r="AH159" s="19" t="s">
        <v>78</v>
      </c>
      <c r="AI159" s="19" t="s">
        <v>63</v>
      </c>
      <c r="AJ159" s="19" t="s">
        <v>1372</v>
      </c>
      <c r="AK159" s="19"/>
      <c r="AL159" s="19"/>
      <c r="AM159" s="19"/>
      <c r="AN159" s="19" t="s">
        <v>65</v>
      </c>
      <c r="AO159" s="23">
        <v>45793.643750000003</v>
      </c>
      <c r="AP159" s="26">
        <f t="shared" si="5"/>
        <v>33</v>
      </c>
    </row>
    <row r="160" spans="1:42" ht="25.5" hidden="1" customHeight="1">
      <c r="A160" s="19" t="s">
        <v>42</v>
      </c>
      <c r="C160" s="19" t="s">
        <v>129</v>
      </c>
      <c r="D160" s="19" t="s">
        <v>45</v>
      </c>
      <c r="E160" s="19" t="s">
        <v>46</v>
      </c>
      <c r="F160" s="19" t="s">
        <v>1373</v>
      </c>
      <c r="G160" s="19" t="s">
        <v>48</v>
      </c>
      <c r="H160" s="19" t="s">
        <v>49</v>
      </c>
      <c r="I160" s="20">
        <v>45793.677083333343</v>
      </c>
      <c r="K160" s="19"/>
      <c r="L160" s="20">
        <v>45793.713194444441</v>
      </c>
      <c r="M160" s="19"/>
      <c r="N160" s="22">
        <f t="shared" si="4"/>
        <v>3.6111111097852699E-2</v>
      </c>
      <c r="O160" s="19" t="s">
        <v>63</v>
      </c>
      <c r="P160" s="19" t="s">
        <v>1374</v>
      </c>
      <c r="Q160" s="19" t="s">
        <v>1375</v>
      </c>
      <c r="R160" s="19"/>
      <c r="S160" s="19"/>
      <c r="U160" s="19"/>
      <c r="W160" s="19"/>
      <c r="X160" s="19" t="s">
        <v>109</v>
      </c>
      <c r="Y160" s="27" t="s">
        <v>54</v>
      </c>
      <c r="Z160" s="27" t="s">
        <v>811</v>
      </c>
      <c r="AA160" s="27" t="s">
        <v>1376</v>
      </c>
      <c r="AB160" s="27" t="s">
        <v>1377</v>
      </c>
      <c r="AC160" s="37" t="s">
        <v>1378</v>
      </c>
      <c r="AD160" s="38" t="s">
        <v>1379</v>
      </c>
      <c r="AE160" s="36">
        <v>45778</v>
      </c>
      <c r="AF160" s="19" t="s">
        <v>78</v>
      </c>
      <c r="AG160" s="19" t="s">
        <v>78</v>
      </c>
      <c r="AH160" s="19" t="s">
        <v>78</v>
      </c>
      <c r="AI160" s="19" t="s">
        <v>63</v>
      </c>
      <c r="AJ160" s="19" t="s">
        <v>1380</v>
      </c>
      <c r="AK160" s="19"/>
      <c r="AL160" s="19"/>
      <c r="AM160" s="19"/>
      <c r="AN160" s="19" t="s">
        <v>103</v>
      </c>
      <c r="AO160" s="23">
        <v>45793.677083333343</v>
      </c>
      <c r="AP160" s="26">
        <f t="shared" si="5"/>
        <v>52</v>
      </c>
    </row>
    <row r="161" spans="1:42" ht="25.5" hidden="1" customHeight="1">
      <c r="A161" s="19" t="s">
        <v>42</v>
      </c>
      <c r="C161" s="19" t="s">
        <v>1381</v>
      </c>
      <c r="D161" s="19" t="s">
        <v>45</v>
      </c>
      <c r="E161" s="19" t="s">
        <v>46</v>
      </c>
      <c r="F161" s="19" t="s">
        <v>1382</v>
      </c>
      <c r="G161" s="19" t="s">
        <v>48</v>
      </c>
      <c r="H161" s="19" t="s">
        <v>49</v>
      </c>
      <c r="I161" s="20">
        <v>45793.713888888888</v>
      </c>
      <c r="K161" s="19"/>
      <c r="L161" s="20">
        <v>45793.719444444447</v>
      </c>
      <c r="M161" s="19"/>
      <c r="N161" s="22">
        <f t="shared" si="4"/>
        <v>5.5555555591126904E-3</v>
      </c>
      <c r="O161" s="19" t="s">
        <v>63</v>
      </c>
      <c r="P161" s="19" t="s">
        <v>1383</v>
      </c>
      <c r="Q161" s="19" t="s">
        <v>1384</v>
      </c>
      <c r="R161" s="19"/>
      <c r="S161" s="19"/>
      <c r="U161" s="19"/>
      <c r="W161" s="19"/>
      <c r="X161" s="19" t="s">
        <v>509</v>
      </c>
      <c r="Y161" s="27" t="s">
        <v>147</v>
      </c>
      <c r="Z161" s="27" t="s">
        <v>78</v>
      </c>
      <c r="AA161" s="27" t="s">
        <v>78</v>
      </c>
      <c r="AB161" s="27" t="s">
        <v>78</v>
      </c>
      <c r="AC161" s="37" t="s">
        <v>78</v>
      </c>
      <c r="AD161" s="38" t="s">
        <v>78</v>
      </c>
      <c r="AE161" s="36">
        <v>45778</v>
      </c>
      <c r="AF161" s="19" t="s">
        <v>78</v>
      </c>
      <c r="AG161" s="19" t="s">
        <v>78</v>
      </c>
      <c r="AH161" s="19" t="s">
        <v>78</v>
      </c>
      <c r="AI161" s="19" t="s">
        <v>63</v>
      </c>
      <c r="AJ161" s="19" t="s">
        <v>1385</v>
      </c>
      <c r="AK161" s="19"/>
      <c r="AL161" s="19"/>
      <c r="AM161" s="19"/>
      <c r="AN161" s="19" t="s">
        <v>65</v>
      </c>
      <c r="AO161" s="23">
        <v>45793.713888888888</v>
      </c>
      <c r="AP161" s="26">
        <f t="shared" si="5"/>
        <v>8</v>
      </c>
    </row>
    <row r="162" spans="1:42" ht="25.5" customHeight="1">
      <c r="A162" s="19" t="s">
        <v>42</v>
      </c>
      <c r="B162" s="19" t="s">
        <v>1319</v>
      </c>
      <c r="C162" s="19" t="s">
        <v>1386</v>
      </c>
      <c r="D162" s="19" t="s">
        <v>45</v>
      </c>
      <c r="E162" s="19" t="s">
        <v>46</v>
      </c>
      <c r="F162" s="19" t="s">
        <v>1387</v>
      </c>
      <c r="G162" s="19" t="s">
        <v>48</v>
      </c>
      <c r="H162" s="19" t="s">
        <v>69</v>
      </c>
      <c r="I162" s="20">
        <v>45794.243055555547</v>
      </c>
      <c r="K162" s="19"/>
      <c r="L162" s="20">
        <v>45794.298611111109</v>
      </c>
      <c r="M162" s="19"/>
      <c r="N162" s="22">
        <f t="shared" si="4"/>
        <v>5.5555555562023073E-2</v>
      </c>
      <c r="O162" s="19" t="s">
        <v>63</v>
      </c>
      <c r="P162" s="19" t="s">
        <v>1388</v>
      </c>
      <c r="Q162" s="19" t="s">
        <v>1389</v>
      </c>
      <c r="R162" s="19"/>
      <c r="S162" s="19"/>
      <c r="U162" s="19"/>
      <c r="W162" s="19"/>
      <c r="X162" s="19" t="s">
        <v>72</v>
      </c>
      <c r="Y162" s="27" t="s">
        <v>147</v>
      </c>
      <c r="Z162" s="27" t="s">
        <v>78</v>
      </c>
      <c r="AA162" s="27" t="s">
        <v>147</v>
      </c>
      <c r="AB162" s="27" t="s">
        <v>147</v>
      </c>
      <c r="AC162" s="37" t="s">
        <v>78</v>
      </c>
      <c r="AD162" s="38" t="s">
        <v>78</v>
      </c>
      <c r="AE162" s="36">
        <v>45778</v>
      </c>
      <c r="AF162" s="19" t="s">
        <v>89</v>
      </c>
      <c r="AG162" s="19" t="s">
        <v>90</v>
      </c>
      <c r="AH162" s="19" t="s">
        <v>62</v>
      </c>
      <c r="AI162" s="19" t="s">
        <v>63</v>
      </c>
      <c r="AJ162" s="19" t="s">
        <v>1390</v>
      </c>
      <c r="AK162" s="19"/>
      <c r="AL162" s="19"/>
      <c r="AM162" s="19"/>
      <c r="AN162" s="19" t="s">
        <v>65</v>
      </c>
      <c r="AO162" s="23">
        <v>45794.243055555547</v>
      </c>
      <c r="AP162" s="26">
        <f t="shared" si="5"/>
        <v>80</v>
      </c>
    </row>
    <row r="163" spans="1:42" ht="25.5" hidden="1" customHeight="1">
      <c r="A163" s="19" t="s">
        <v>116</v>
      </c>
      <c r="B163" s="19" t="s">
        <v>1391</v>
      </c>
      <c r="C163" s="19" t="s">
        <v>1206</v>
      </c>
      <c r="D163" s="19" t="s">
        <v>45</v>
      </c>
      <c r="E163" s="19" t="s">
        <v>46</v>
      </c>
      <c r="F163" s="19" t="s">
        <v>1357</v>
      </c>
      <c r="G163" s="19" t="s">
        <v>226</v>
      </c>
      <c r="H163" s="19" t="s">
        <v>49</v>
      </c>
      <c r="I163" s="20">
        <v>45794.586805555547</v>
      </c>
      <c r="K163" s="19"/>
      <c r="L163" s="20">
        <v>45794.613888888889</v>
      </c>
      <c r="M163" s="19"/>
      <c r="N163" s="22">
        <f t="shared" si="4"/>
        <v>2.7083333341579419E-2</v>
      </c>
      <c r="O163" s="19" t="s">
        <v>50</v>
      </c>
      <c r="P163" s="19" t="s">
        <v>1392</v>
      </c>
      <c r="Q163" s="19" t="s">
        <v>1393</v>
      </c>
      <c r="R163" s="19"/>
      <c r="S163" s="19"/>
      <c r="U163" s="19"/>
      <c r="W163" s="19"/>
      <c r="X163" s="19" t="s">
        <v>122</v>
      </c>
      <c r="Y163" s="27" t="s">
        <v>54</v>
      </c>
      <c r="Z163" s="27" t="s">
        <v>811</v>
      </c>
      <c r="AA163" s="27" t="s">
        <v>1394</v>
      </c>
      <c r="AB163" s="27" t="s">
        <v>1395</v>
      </c>
      <c r="AC163" s="37" t="s">
        <v>1396</v>
      </c>
      <c r="AD163" s="38" t="s">
        <v>1397</v>
      </c>
      <c r="AE163" s="36">
        <v>45778</v>
      </c>
      <c r="AF163" s="19" t="s">
        <v>89</v>
      </c>
      <c r="AG163" s="19" t="s">
        <v>90</v>
      </c>
      <c r="AH163" s="19" t="s">
        <v>62</v>
      </c>
      <c r="AI163" s="19" t="s">
        <v>50</v>
      </c>
      <c r="AJ163" s="19" t="s">
        <v>1398</v>
      </c>
      <c r="AK163" s="19"/>
      <c r="AL163" s="19"/>
      <c r="AM163" s="19"/>
      <c r="AN163" s="19" t="s">
        <v>65</v>
      </c>
      <c r="AO163" s="23">
        <v>45794.586805555547</v>
      </c>
      <c r="AP163" s="26">
        <f t="shared" si="5"/>
        <v>39</v>
      </c>
    </row>
    <row r="164" spans="1:42" ht="25.5" hidden="1" customHeight="1">
      <c r="A164" s="19" t="s">
        <v>116</v>
      </c>
      <c r="B164" s="19" t="s">
        <v>1356</v>
      </c>
      <c r="C164" s="19" t="s">
        <v>1206</v>
      </c>
      <c r="D164" s="19" t="s">
        <v>45</v>
      </c>
      <c r="E164" s="19" t="s">
        <v>46</v>
      </c>
      <c r="F164" s="19" t="s">
        <v>1357</v>
      </c>
      <c r="G164" s="19" t="s">
        <v>226</v>
      </c>
      <c r="H164" s="19" t="s">
        <v>49</v>
      </c>
      <c r="I164" s="20">
        <v>45794.777777777781</v>
      </c>
      <c r="K164" s="19"/>
      <c r="L164" s="20">
        <v>45794.806944444441</v>
      </c>
      <c r="M164" s="19"/>
      <c r="N164" s="22">
        <f t="shared" si="4"/>
        <v>2.9166666659875773E-2</v>
      </c>
      <c r="O164" s="19" t="s">
        <v>50</v>
      </c>
      <c r="P164" s="19" t="s">
        <v>1399</v>
      </c>
      <c r="Q164" s="19" t="s">
        <v>1400</v>
      </c>
      <c r="R164" s="19"/>
      <c r="S164" s="19"/>
      <c r="U164" s="19"/>
      <c r="W164" s="19"/>
      <c r="X164" s="19" t="s">
        <v>122</v>
      </c>
      <c r="Y164" s="27" t="s">
        <v>147</v>
      </c>
      <c r="Z164" s="27" t="s">
        <v>78</v>
      </c>
      <c r="AA164" s="27" t="s">
        <v>78</v>
      </c>
      <c r="AB164" s="27" t="s">
        <v>78</v>
      </c>
      <c r="AC164" s="37" t="s">
        <v>78</v>
      </c>
      <c r="AD164" s="38" t="s">
        <v>78</v>
      </c>
      <c r="AE164" s="36">
        <v>45778</v>
      </c>
      <c r="AF164" s="19" t="s">
        <v>89</v>
      </c>
      <c r="AG164" s="19" t="s">
        <v>90</v>
      </c>
      <c r="AH164" s="19" t="s">
        <v>62</v>
      </c>
      <c r="AI164" s="19" t="s">
        <v>50</v>
      </c>
      <c r="AJ164" s="19" t="s">
        <v>1401</v>
      </c>
      <c r="AK164" s="19"/>
      <c r="AL164" s="19"/>
      <c r="AM164" s="19"/>
      <c r="AN164" s="19" t="s">
        <v>65</v>
      </c>
      <c r="AO164" s="23">
        <v>45794.777083333327</v>
      </c>
      <c r="AP164" s="26">
        <f t="shared" si="5"/>
        <v>42</v>
      </c>
    </row>
    <row r="165" spans="1:42" ht="25.5" hidden="1" customHeight="1">
      <c r="A165" s="19" t="s">
        <v>116</v>
      </c>
      <c r="B165" s="19" t="s">
        <v>1356</v>
      </c>
      <c r="C165" s="19" t="s">
        <v>1206</v>
      </c>
      <c r="D165" s="19" t="s">
        <v>45</v>
      </c>
      <c r="E165" s="19" t="s">
        <v>46</v>
      </c>
      <c r="F165" s="19" t="s">
        <v>1357</v>
      </c>
      <c r="G165" s="19" t="s">
        <v>226</v>
      </c>
      <c r="H165" s="19" t="s">
        <v>49</v>
      </c>
      <c r="I165" s="20">
        <v>45794.849305555559</v>
      </c>
      <c r="K165" s="19"/>
      <c r="L165" s="20">
        <v>45794.951388888891</v>
      </c>
      <c r="M165" s="19"/>
      <c r="N165" s="22">
        <f t="shared" si="4"/>
        <v>0.10208333333139308</v>
      </c>
      <c r="O165" s="19" t="s">
        <v>50</v>
      </c>
      <c r="P165" s="19" t="s">
        <v>1402</v>
      </c>
      <c r="Q165" s="19" t="s">
        <v>1403</v>
      </c>
      <c r="R165" s="19"/>
      <c r="S165" s="19"/>
      <c r="U165" s="19"/>
      <c r="W165" s="19"/>
      <c r="X165" s="19" t="s">
        <v>122</v>
      </c>
      <c r="Y165" s="27" t="s">
        <v>54</v>
      </c>
      <c r="Z165" s="27" t="s">
        <v>123</v>
      </c>
      <c r="AA165" s="27" t="s">
        <v>1404</v>
      </c>
      <c r="AB165" s="27" t="s">
        <v>1405</v>
      </c>
      <c r="AC165" s="37">
        <v>45794.811944444453</v>
      </c>
      <c r="AD165" s="38">
        <v>45794.829409722217</v>
      </c>
      <c r="AE165" s="36">
        <v>45778</v>
      </c>
      <c r="AF165" s="19" t="s">
        <v>89</v>
      </c>
      <c r="AG165" s="19" t="s">
        <v>90</v>
      </c>
      <c r="AH165" s="19" t="s">
        <v>62</v>
      </c>
      <c r="AI165" s="19" t="s">
        <v>50</v>
      </c>
      <c r="AJ165" s="19" t="s">
        <v>1406</v>
      </c>
      <c r="AK165" s="19"/>
      <c r="AL165" s="19"/>
      <c r="AM165" s="19"/>
      <c r="AN165" s="19" t="s">
        <v>65</v>
      </c>
      <c r="AO165" s="23">
        <v>45794.849305555559</v>
      </c>
      <c r="AP165" s="26">
        <f t="shared" si="5"/>
        <v>147</v>
      </c>
    </row>
    <row r="166" spans="1:42" ht="25.5" hidden="1" customHeight="1">
      <c r="A166" s="19" t="s">
        <v>42</v>
      </c>
      <c r="B166" s="19" t="s">
        <v>1407</v>
      </c>
      <c r="C166" s="19" t="s">
        <v>1408</v>
      </c>
      <c r="D166" s="19" t="s">
        <v>45</v>
      </c>
      <c r="E166" s="19" t="s">
        <v>46</v>
      </c>
      <c r="F166" s="19" t="s">
        <v>1409</v>
      </c>
      <c r="G166" s="19" t="s">
        <v>48</v>
      </c>
      <c r="H166" s="19" t="s">
        <v>49</v>
      </c>
      <c r="I166" s="20">
        <v>45796.697222222218</v>
      </c>
      <c r="K166" s="19"/>
      <c r="L166" s="20">
        <v>45796.826388888891</v>
      </c>
      <c r="M166" s="19"/>
      <c r="N166" s="22">
        <f t="shared" si="4"/>
        <v>0.1291666666729725</v>
      </c>
      <c r="O166" s="19" t="s">
        <v>50</v>
      </c>
      <c r="P166" s="19" t="s">
        <v>1410</v>
      </c>
      <c r="Q166" s="19" t="s">
        <v>1411</v>
      </c>
      <c r="R166" s="19"/>
      <c r="S166" s="19"/>
      <c r="U166" s="19"/>
      <c r="W166" s="19"/>
      <c r="X166" s="19" t="s">
        <v>1412</v>
      </c>
      <c r="Y166" s="27" t="s">
        <v>54</v>
      </c>
      <c r="Z166" s="27" t="s">
        <v>338</v>
      </c>
      <c r="AA166" s="27" t="s">
        <v>1413</v>
      </c>
      <c r="AB166" s="27" t="s">
        <v>1414</v>
      </c>
      <c r="AC166" s="37" t="s">
        <v>1415</v>
      </c>
      <c r="AD166" s="38" t="s">
        <v>1416</v>
      </c>
      <c r="AE166" s="36">
        <v>45778</v>
      </c>
      <c r="AF166" s="19" t="s">
        <v>89</v>
      </c>
      <c r="AG166" s="19" t="s">
        <v>90</v>
      </c>
      <c r="AH166" s="19" t="s">
        <v>62</v>
      </c>
      <c r="AI166" s="19" t="s">
        <v>63</v>
      </c>
      <c r="AJ166" s="19" t="s">
        <v>503</v>
      </c>
      <c r="AK166" s="19"/>
      <c r="AL166" s="19"/>
      <c r="AM166" s="19"/>
      <c r="AN166" s="19" t="s">
        <v>65</v>
      </c>
      <c r="AO166" s="23">
        <v>45796.697222222218</v>
      </c>
      <c r="AP166" s="26">
        <f t="shared" si="5"/>
        <v>186</v>
      </c>
    </row>
    <row r="167" spans="1:42" ht="25.5" hidden="1" customHeight="1">
      <c r="A167" s="19" t="s">
        <v>285</v>
      </c>
      <c r="B167" s="19" t="s">
        <v>487</v>
      </c>
      <c r="C167" s="19" t="s">
        <v>1417</v>
      </c>
      <c r="D167" s="19" t="s">
        <v>45</v>
      </c>
      <c r="E167" s="19" t="s">
        <v>46</v>
      </c>
      <c r="F167" s="19" t="s">
        <v>1418</v>
      </c>
      <c r="G167" s="19" t="s">
        <v>48</v>
      </c>
      <c r="H167" s="19" t="s">
        <v>49</v>
      </c>
      <c r="I167" s="20">
        <v>45796.790972222218</v>
      </c>
      <c r="K167" s="19"/>
      <c r="L167" s="20">
        <v>45796.809027777781</v>
      </c>
      <c r="M167" s="19"/>
      <c r="N167" s="22">
        <f t="shared" si="4"/>
        <v>1.8055555563478265E-2</v>
      </c>
      <c r="O167" s="19" t="s">
        <v>63</v>
      </c>
      <c r="P167" s="19" t="s">
        <v>1419</v>
      </c>
      <c r="Q167" s="19" t="s">
        <v>1420</v>
      </c>
      <c r="R167" s="19"/>
      <c r="S167" s="19"/>
      <c r="U167" s="19"/>
      <c r="W167" s="19"/>
      <c r="X167" s="19" t="s">
        <v>491</v>
      </c>
      <c r="Y167" s="27" t="s">
        <v>147</v>
      </c>
      <c r="Z167" s="27" t="s">
        <v>78</v>
      </c>
      <c r="AA167" s="27" t="s">
        <v>78</v>
      </c>
      <c r="AB167" s="27" t="s">
        <v>78</v>
      </c>
      <c r="AC167" s="37" t="s">
        <v>78</v>
      </c>
      <c r="AD167" s="38" t="s">
        <v>78</v>
      </c>
      <c r="AE167" s="36">
        <v>45778</v>
      </c>
      <c r="AF167" s="19" t="s">
        <v>60</v>
      </c>
      <c r="AG167" s="19" t="s">
        <v>78</v>
      </c>
      <c r="AH167" s="19" t="s">
        <v>78</v>
      </c>
      <c r="AI167" s="19" t="s">
        <v>63</v>
      </c>
      <c r="AJ167" s="19" t="s">
        <v>1421</v>
      </c>
      <c r="AK167" s="19"/>
      <c r="AL167" s="19"/>
      <c r="AM167" s="19"/>
      <c r="AN167" s="19" t="s">
        <v>1422</v>
      </c>
      <c r="AO167" s="23">
        <v>45796.790972222218</v>
      </c>
      <c r="AP167" s="26">
        <f t="shared" si="5"/>
        <v>26</v>
      </c>
    </row>
    <row r="168" spans="1:42" ht="25.5" hidden="1" customHeight="1">
      <c r="A168" s="19" t="s">
        <v>42</v>
      </c>
      <c r="B168" s="19" t="s">
        <v>309</v>
      </c>
      <c r="C168" s="19" t="s">
        <v>1423</v>
      </c>
      <c r="D168" s="19" t="s">
        <v>45</v>
      </c>
      <c r="E168" s="19" t="s">
        <v>405</v>
      </c>
      <c r="F168" s="19" t="s">
        <v>1424</v>
      </c>
      <c r="G168" s="19" t="s">
        <v>48</v>
      </c>
      <c r="H168" s="19" t="s">
        <v>49</v>
      </c>
      <c r="I168" s="20">
        <v>45797.03125</v>
      </c>
      <c r="K168" s="19"/>
      <c r="L168" s="20">
        <v>45797.055555555547</v>
      </c>
      <c r="M168" s="19"/>
      <c r="N168" s="22">
        <f t="shared" si="4"/>
        <v>2.4305555547471158E-2</v>
      </c>
      <c r="O168" s="19" t="s">
        <v>50</v>
      </c>
      <c r="P168" s="19" t="s">
        <v>1425</v>
      </c>
      <c r="Q168" s="19" t="s">
        <v>1426</v>
      </c>
      <c r="R168" s="19"/>
      <c r="S168" s="19"/>
      <c r="U168" s="19"/>
      <c r="W168" s="19"/>
      <c r="X168" s="19" t="s">
        <v>314</v>
      </c>
      <c r="Y168" s="27" t="s">
        <v>147</v>
      </c>
      <c r="Z168" s="27" t="s">
        <v>78</v>
      </c>
      <c r="AA168" s="27" t="s">
        <v>78</v>
      </c>
      <c r="AB168" s="27" t="s">
        <v>78</v>
      </c>
      <c r="AC168" s="37" t="s">
        <v>78</v>
      </c>
      <c r="AD168" s="38" t="s">
        <v>78</v>
      </c>
      <c r="AE168" s="36">
        <v>45778</v>
      </c>
      <c r="AF168" s="19" t="s">
        <v>89</v>
      </c>
      <c r="AG168" s="19" t="s">
        <v>90</v>
      </c>
      <c r="AH168" s="19" t="s">
        <v>62</v>
      </c>
      <c r="AI168" s="19" t="s">
        <v>63</v>
      </c>
      <c r="AJ168" s="19" t="s">
        <v>1427</v>
      </c>
      <c r="AK168" s="19"/>
      <c r="AL168" s="19"/>
      <c r="AM168" s="19"/>
      <c r="AN168" s="19" t="s">
        <v>103</v>
      </c>
      <c r="AO168" s="23">
        <v>45796.03125</v>
      </c>
      <c r="AP168" s="26">
        <f t="shared" si="5"/>
        <v>35</v>
      </c>
    </row>
    <row r="169" spans="1:42" ht="25.5" hidden="1" customHeight="1">
      <c r="A169" s="19" t="s">
        <v>116</v>
      </c>
      <c r="B169" s="19" t="s">
        <v>1428</v>
      </c>
      <c r="C169" s="19" t="s">
        <v>1429</v>
      </c>
      <c r="D169" s="19" t="s">
        <v>45</v>
      </c>
      <c r="E169" s="19" t="s">
        <v>46</v>
      </c>
      <c r="F169" s="19" t="s">
        <v>1430</v>
      </c>
      <c r="G169" s="19" t="s">
        <v>48</v>
      </c>
      <c r="H169" s="19" t="s">
        <v>49</v>
      </c>
      <c r="I169" s="20">
        <v>45797.300694444442</v>
      </c>
      <c r="K169" s="19"/>
      <c r="L169" s="20">
        <v>45797.326388888891</v>
      </c>
      <c r="M169" s="19"/>
      <c r="N169" s="22">
        <f t="shared" si="4"/>
        <v>2.5694444448163267E-2</v>
      </c>
      <c r="O169" s="19" t="s">
        <v>50</v>
      </c>
      <c r="P169" s="19" t="s">
        <v>1431</v>
      </c>
      <c r="Q169" s="19" t="s">
        <v>1432</v>
      </c>
      <c r="R169" s="19"/>
      <c r="S169" s="19"/>
      <c r="U169" s="19"/>
      <c r="W169" s="19"/>
      <c r="X169" s="19" t="s">
        <v>762</v>
      </c>
      <c r="Y169" s="27" t="s">
        <v>54</v>
      </c>
      <c r="Z169" s="27" t="s">
        <v>348</v>
      </c>
      <c r="AA169" s="27" t="s">
        <v>1433</v>
      </c>
      <c r="AB169" s="27" t="s">
        <v>1434</v>
      </c>
      <c r="AC169" s="37" t="s">
        <v>1435</v>
      </c>
      <c r="AD169" s="38" t="s">
        <v>1436</v>
      </c>
      <c r="AE169" s="36">
        <v>45778</v>
      </c>
      <c r="AF169" s="19" t="s">
        <v>89</v>
      </c>
      <c r="AG169" s="19" t="s">
        <v>90</v>
      </c>
      <c r="AH169" s="19" t="s">
        <v>62</v>
      </c>
      <c r="AI169" s="19" t="s">
        <v>63</v>
      </c>
      <c r="AJ169" s="19" t="s">
        <v>1437</v>
      </c>
      <c r="AK169" s="19"/>
      <c r="AL169" s="19"/>
      <c r="AM169" s="19"/>
      <c r="AN169" s="19" t="s">
        <v>103</v>
      </c>
      <c r="AO169" s="23">
        <v>45796.300694444442</v>
      </c>
      <c r="AP169" s="26">
        <f t="shared" si="5"/>
        <v>37</v>
      </c>
    </row>
    <row r="170" spans="1:42" ht="25.5" hidden="1" customHeight="1">
      <c r="A170" s="19" t="s">
        <v>42</v>
      </c>
      <c r="B170" s="19" t="s">
        <v>186</v>
      </c>
      <c r="C170" s="19" t="s">
        <v>577</v>
      </c>
      <c r="D170" s="19" t="s">
        <v>45</v>
      </c>
      <c r="E170" s="19" t="s">
        <v>46</v>
      </c>
      <c r="F170" s="19" t="s">
        <v>1438</v>
      </c>
      <c r="G170" s="19" t="s">
        <v>48</v>
      </c>
      <c r="H170" s="19" t="s">
        <v>49</v>
      </c>
      <c r="I170" s="20">
        <v>45797.432638888888</v>
      </c>
      <c r="K170" s="19"/>
      <c r="L170" s="20">
        <v>45797.84375</v>
      </c>
      <c r="M170" s="19"/>
      <c r="N170" s="22">
        <f t="shared" si="4"/>
        <v>0.41111111111240461</v>
      </c>
      <c r="O170" s="19" t="s">
        <v>63</v>
      </c>
      <c r="P170" s="19" t="s">
        <v>1439</v>
      </c>
      <c r="Q170" s="19" t="s">
        <v>1440</v>
      </c>
      <c r="R170" s="19"/>
      <c r="S170" s="19"/>
      <c r="U170" s="19"/>
      <c r="W170" s="19"/>
      <c r="X170" s="19" t="s">
        <v>191</v>
      </c>
      <c r="Y170" s="27" t="s">
        <v>147</v>
      </c>
      <c r="Z170" s="27" t="s">
        <v>78</v>
      </c>
      <c r="AA170" s="27" t="s">
        <v>78</v>
      </c>
      <c r="AB170" s="27" t="s">
        <v>78</v>
      </c>
      <c r="AC170" s="37" t="s">
        <v>78</v>
      </c>
      <c r="AD170" s="38" t="s">
        <v>78</v>
      </c>
      <c r="AE170" s="36">
        <v>45778</v>
      </c>
      <c r="AF170" s="19" t="s">
        <v>89</v>
      </c>
      <c r="AG170" s="19" t="s">
        <v>90</v>
      </c>
      <c r="AH170" s="19" t="s">
        <v>62</v>
      </c>
      <c r="AI170" s="19" t="s">
        <v>63</v>
      </c>
      <c r="AJ170" s="19" t="s">
        <v>1441</v>
      </c>
      <c r="AK170" s="19"/>
      <c r="AL170" s="19"/>
      <c r="AM170" s="19"/>
      <c r="AN170" s="19" t="s">
        <v>65</v>
      </c>
      <c r="AO170" s="23">
        <v>45797.432638888888</v>
      </c>
      <c r="AP170" s="26">
        <f t="shared" si="5"/>
        <v>592</v>
      </c>
    </row>
    <row r="171" spans="1:42" ht="25.5" customHeight="1">
      <c r="A171" s="19" t="s">
        <v>42</v>
      </c>
      <c r="B171" s="19" t="s">
        <v>43</v>
      </c>
      <c r="C171" s="19" t="s">
        <v>1442</v>
      </c>
      <c r="D171" s="19" t="s">
        <v>45</v>
      </c>
      <c r="E171" s="19" t="s">
        <v>46</v>
      </c>
      <c r="F171" s="19" t="s">
        <v>1443</v>
      </c>
      <c r="G171" s="19" t="s">
        <v>48</v>
      </c>
      <c r="H171" s="19" t="s">
        <v>152</v>
      </c>
      <c r="I171" s="20">
        <v>45797.682638888888</v>
      </c>
      <c r="J171" s="20">
        <v>45797.761805555558</v>
      </c>
      <c r="K171" s="19"/>
      <c r="L171" s="20">
        <v>45797.830555555563</v>
      </c>
      <c r="M171" s="19"/>
      <c r="N171" s="22">
        <f t="shared" si="4"/>
        <v>0.14791666667588288</v>
      </c>
      <c r="O171" s="19" t="s">
        <v>50</v>
      </c>
      <c r="P171" s="19" t="s">
        <v>1444</v>
      </c>
      <c r="Q171" s="19" t="s">
        <v>1445</v>
      </c>
      <c r="R171" s="19" t="s">
        <v>1446</v>
      </c>
      <c r="S171" s="19" t="s">
        <v>1447</v>
      </c>
      <c r="T171" s="20">
        <v>45797.898611111108</v>
      </c>
      <c r="U171" s="19" t="s">
        <v>1448</v>
      </c>
      <c r="V171" s="19" t="s">
        <v>157</v>
      </c>
      <c r="W171" s="19"/>
      <c r="X171" s="19" t="s">
        <v>1449</v>
      </c>
      <c r="Y171" s="27" t="s">
        <v>133</v>
      </c>
      <c r="Z171" s="27" t="s">
        <v>196</v>
      </c>
      <c r="AA171" s="27" t="s">
        <v>1450</v>
      </c>
      <c r="AB171" s="27" t="s">
        <v>1451</v>
      </c>
      <c r="AC171" s="37" t="s">
        <v>1452</v>
      </c>
      <c r="AD171" s="38" t="s">
        <v>1453</v>
      </c>
      <c r="AE171" s="36">
        <v>45778</v>
      </c>
      <c r="AF171" s="19" t="s">
        <v>60</v>
      </c>
      <c r="AG171" s="19" t="s">
        <v>307</v>
      </c>
      <c r="AH171" s="19" t="s">
        <v>164</v>
      </c>
      <c r="AI171" s="19" t="s">
        <v>63</v>
      </c>
      <c r="AJ171" s="19" t="s">
        <v>1454</v>
      </c>
      <c r="AK171" s="19"/>
      <c r="AL171" s="19"/>
      <c r="AM171" s="19"/>
      <c r="AN171" s="19" t="s">
        <v>128</v>
      </c>
      <c r="AO171" s="23">
        <v>45797.683333333327</v>
      </c>
      <c r="AP171" s="26">
        <f t="shared" si="5"/>
        <v>213</v>
      </c>
    </row>
    <row r="172" spans="1:42" ht="25.5" hidden="1" customHeight="1">
      <c r="A172" s="19" t="s">
        <v>42</v>
      </c>
      <c r="B172" s="19" t="s">
        <v>1455</v>
      </c>
      <c r="C172" s="19" t="s">
        <v>1456</v>
      </c>
      <c r="D172" s="19" t="s">
        <v>45</v>
      </c>
      <c r="E172" s="19" t="s">
        <v>46</v>
      </c>
      <c r="F172" s="19" t="s">
        <v>1457</v>
      </c>
      <c r="G172" s="19" t="s">
        <v>48</v>
      </c>
      <c r="H172" s="19" t="s">
        <v>49</v>
      </c>
      <c r="I172" s="20">
        <v>45797.777083333327</v>
      </c>
      <c r="K172" s="19"/>
      <c r="L172" s="20">
        <v>45797.833333333343</v>
      </c>
      <c r="M172" s="19"/>
      <c r="N172" s="22">
        <f t="shared" si="4"/>
        <v>5.6250000016007107E-2</v>
      </c>
      <c r="O172" s="19" t="s">
        <v>50</v>
      </c>
      <c r="P172" s="19" t="s">
        <v>1458</v>
      </c>
      <c r="Q172" s="19" t="s">
        <v>1459</v>
      </c>
      <c r="R172" s="19"/>
      <c r="S172" s="19"/>
      <c r="U172" s="19"/>
      <c r="W172" s="19"/>
      <c r="X172" s="19" t="s">
        <v>620</v>
      </c>
      <c r="Y172" s="27" t="s">
        <v>54</v>
      </c>
      <c r="Z172" s="27" t="s">
        <v>811</v>
      </c>
      <c r="AA172" s="27" t="s">
        <v>1460</v>
      </c>
      <c r="AB172" s="27" t="s">
        <v>1461</v>
      </c>
      <c r="AC172" s="37" t="s">
        <v>1462</v>
      </c>
      <c r="AD172" s="38" t="s">
        <v>1463</v>
      </c>
      <c r="AE172" s="36">
        <v>45778</v>
      </c>
      <c r="AF172" s="19" t="s">
        <v>89</v>
      </c>
      <c r="AG172" s="19" t="s">
        <v>90</v>
      </c>
      <c r="AH172" s="19" t="s">
        <v>62</v>
      </c>
      <c r="AI172" s="19" t="s">
        <v>63</v>
      </c>
      <c r="AJ172" s="19" t="s">
        <v>1464</v>
      </c>
      <c r="AK172" s="19"/>
      <c r="AL172" s="19"/>
      <c r="AM172" s="19"/>
      <c r="AN172" s="19" t="s">
        <v>128</v>
      </c>
      <c r="AO172" s="23">
        <v>45797.742361111108</v>
      </c>
      <c r="AP172" s="26">
        <f t="shared" si="5"/>
        <v>81</v>
      </c>
    </row>
    <row r="173" spans="1:42" ht="25.5" hidden="1" customHeight="1">
      <c r="A173" s="19" t="s">
        <v>42</v>
      </c>
      <c r="B173" s="19" t="s">
        <v>66</v>
      </c>
      <c r="C173" s="19" t="s">
        <v>1465</v>
      </c>
      <c r="D173" s="19" t="s">
        <v>45</v>
      </c>
      <c r="E173" s="19" t="s">
        <v>46</v>
      </c>
      <c r="F173" s="19" t="s">
        <v>1466</v>
      </c>
      <c r="G173" s="19" t="s">
        <v>48</v>
      </c>
      <c r="H173" s="19" t="s">
        <v>49</v>
      </c>
      <c r="I173" s="20">
        <v>45797.931250000001</v>
      </c>
      <c r="K173" s="19"/>
      <c r="L173" s="20">
        <v>45797.962500000001</v>
      </c>
      <c r="M173" s="19"/>
      <c r="N173" s="22">
        <f t="shared" si="4"/>
        <v>3.125E-2</v>
      </c>
      <c r="O173" s="19" t="s">
        <v>50</v>
      </c>
      <c r="P173" s="19" t="s">
        <v>1467</v>
      </c>
      <c r="Q173" s="19" t="s">
        <v>1468</v>
      </c>
      <c r="R173" s="19"/>
      <c r="S173" s="19"/>
      <c r="U173" s="19"/>
      <c r="W173" s="19"/>
      <c r="X173" s="19" t="s">
        <v>72</v>
      </c>
      <c r="Y173" s="27" t="s">
        <v>54</v>
      </c>
      <c r="Z173" s="27" t="s">
        <v>1469</v>
      </c>
      <c r="AA173" s="27" t="s">
        <v>1470</v>
      </c>
      <c r="AB173" s="27" t="s">
        <v>1471</v>
      </c>
      <c r="AC173" s="37" t="s">
        <v>1472</v>
      </c>
      <c r="AD173" s="38" t="s">
        <v>1473</v>
      </c>
      <c r="AE173" s="36">
        <v>45778</v>
      </c>
      <c r="AF173" s="19" t="s">
        <v>99</v>
      </c>
      <c r="AG173" s="19" t="s">
        <v>100</v>
      </c>
      <c r="AH173" s="19" t="s">
        <v>62</v>
      </c>
      <c r="AI173" s="19" t="s">
        <v>63</v>
      </c>
      <c r="AJ173" s="19" t="s">
        <v>1474</v>
      </c>
      <c r="AK173" s="19" t="s">
        <v>1475</v>
      </c>
      <c r="AL173" s="19"/>
      <c r="AM173" s="19"/>
      <c r="AN173" s="19" t="s">
        <v>65</v>
      </c>
      <c r="AO173" s="23">
        <v>45798.076388888891</v>
      </c>
      <c r="AP173" s="26">
        <f t="shared" si="5"/>
        <v>45</v>
      </c>
    </row>
    <row r="174" spans="1:42" ht="25.5" customHeight="1">
      <c r="A174" s="19" t="s">
        <v>42</v>
      </c>
      <c r="B174" s="19" t="s">
        <v>66</v>
      </c>
      <c r="C174" s="19" t="s">
        <v>1476</v>
      </c>
      <c r="D174" s="19" t="s">
        <v>45</v>
      </c>
      <c r="E174" s="19" t="s">
        <v>46</v>
      </c>
      <c r="F174" s="19" t="s">
        <v>1477</v>
      </c>
      <c r="G174" s="19" t="s">
        <v>48</v>
      </c>
      <c r="H174" s="19" t="s">
        <v>69</v>
      </c>
      <c r="I174" s="20">
        <v>45797.972222222219</v>
      </c>
      <c r="K174" s="19">
        <v>45797.979166666657</v>
      </c>
      <c r="L174" s="20">
        <v>45798.038194444453</v>
      </c>
      <c r="M174" s="19"/>
      <c r="N174" s="22">
        <f t="shared" si="4"/>
        <v>6.5972222233540379E-2</v>
      </c>
      <c r="O174" s="19" t="s">
        <v>50</v>
      </c>
      <c r="P174" s="19" t="s">
        <v>1478</v>
      </c>
      <c r="Q174" s="19" t="s">
        <v>1479</v>
      </c>
      <c r="R174" s="19"/>
      <c r="S174" s="19"/>
      <c r="U174" s="19"/>
      <c r="W174" s="19"/>
      <c r="X174" s="19" t="s">
        <v>72</v>
      </c>
      <c r="Y174" s="27" t="s">
        <v>54</v>
      </c>
      <c r="Z174" s="27" t="s">
        <v>1469</v>
      </c>
      <c r="AA174" s="27" t="s">
        <v>1480</v>
      </c>
      <c r="AB174" s="27" t="s">
        <v>1471</v>
      </c>
      <c r="AC174" s="37" t="s">
        <v>1472</v>
      </c>
      <c r="AD174" s="38" t="s">
        <v>1481</v>
      </c>
      <c r="AE174" s="36">
        <v>45778</v>
      </c>
      <c r="AF174" s="19" t="s">
        <v>89</v>
      </c>
      <c r="AG174" s="19" t="s">
        <v>90</v>
      </c>
      <c r="AH174" s="19" t="s">
        <v>62</v>
      </c>
      <c r="AI174" s="19" t="s">
        <v>63</v>
      </c>
      <c r="AJ174" s="19" t="s">
        <v>1482</v>
      </c>
      <c r="AK174" s="19"/>
      <c r="AL174" s="19"/>
      <c r="AM174" s="19"/>
      <c r="AN174" s="19" t="s">
        <v>65</v>
      </c>
      <c r="AO174" s="23">
        <v>45798.118055555547</v>
      </c>
      <c r="AP174" s="26">
        <f t="shared" si="5"/>
        <v>95</v>
      </c>
    </row>
    <row r="175" spans="1:42" ht="25.5" hidden="1" customHeight="1">
      <c r="A175" s="19" t="s">
        <v>42</v>
      </c>
      <c r="B175" s="19" t="s">
        <v>599</v>
      </c>
      <c r="C175" s="19" t="s">
        <v>892</v>
      </c>
      <c r="D175" s="19" t="s">
        <v>45</v>
      </c>
      <c r="E175" s="19" t="s">
        <v>46</v>
      </c>
      <c r="F175" s="19" t="s">
        <v>1483</v>
      </c>
      <c r="G175" s="19" t="s">
        <v>48</v>
      </c>
      <c r="H175" s="19" t="s">
        <v>49</v>
      </c>
      <c r="I175" s="20">
        <v>45798.12777777778</v>
      </c>
      <c r="K175" s="19"/>
      <c r="L175" s="20">
        <v>45798.152777777781</v>
      </c>
      <c r="M175" s="19"/>
      <c r="N175" s="22">
        <f t="shared" si="4"/>
        <v>2.5000000001455192E-2</v>
      </c>
      <c r="O175" s="19" t="s">
        <v>63</v>
      </c>
      <c r="P175" s="19" t="s">
        <v>1484</v>
      </c>
      <c r="Q175" s="19" t="s">
        <v>1485</v>
      </c>
      <c r="R175" s="19"/>
      <c r="S175" s="19"/>
      <c r="U175" s="19"/>
      <c r="W175" s="19"/>
      <c r="X175" s="19" t="s">
        <v>122</v>
      </c>
      <c r="Y175" s="27" t="s">
        <v>147</v>
      </c>
      <c r="Z175" s="27" t="s">
        <v>78</v>
      </c>
      <c r="AA175" s="27" t="s">
        <v>78</v>
      </c>
      <c r="AB175" s="27" t="s">
        <v>78</v>
      </c>
      <c r="AC175" s="37" t="s">
        <v>78</v>
      </c>
      <c r="AD175" s="38" t="s">
        <v>78</v>
      </c>
      <c r="AE175" s="36">
        <v>45778</v>
      </c>
      <c r="AF175" s="19" t="s">
        <v>89</v>
      </c>
      <c r="AG175" s="19" t="s">
        <v>90</v>
      </c>
      <c r="AH175" s="19" t="s">
        <v>62</v>
      </c>
      <c r="AI175" s="19" t="s">
        <v>63</v>
      </c>
      <c r="AJ175" s="19" t="s">
        <v>1486</v>
      </c>
      <c r="AK175" s="19"/>
      <c r="AL175" s="19"/>
      <c r="AM175" s="19"/>
      <c r="AN175" s="19" t="s">
        <v>65</v>
      </c>
      <c r="AO175" s="23">
        <v>45798.12777777778</v>
      </c>
      <c r="AP175" s="26">
        <f t="shared" si="5"/>
        <v>36</v>
      </c>
    </row>
    <row r="176" spans="1:42" ht="25.5" hidden="1" customHeight="1">
      <c r="A176" s="19" t="s">
        <v>116</v>
      </c>
      <c r="B176" s="19" t="s">
        <v>599</v>
      </c>
      <c r="C176" s="19" t="s">
        <v>1165</v>
      </c>
      <c r="D176" s="19" t="s">
        <v>45</v>
      </c>
      <c r="E176" s="19" t="s">
        <v>46</v>
      </c>
      <c r="F176" s="19" t="s">
        <v>1487</v>
      </c>
      <c r="G176" s="19" t="s">
        <v>48</v>
      </c>
      <c r="H176" s="19" t="s">
        <v>49</v>
      </c>
      <c r="I176" s="20">
        <v>45798.466666666667</v>
      </c>
      <c r="K176" s="19"/>
      <c r="L176" s="20">
        <v>45798.633333333331</v>
      </c>
      <c r="M176" s="19"/>
      <c r="N176" s="22">
        <f t="shared" si="4"/>
        <v>0.16666666666424135</v>
      </c>
      <c r="O176" s="19" t="s">
        <v>50</v>
      </c>
      <c r="P176" s="19" t="s">
        <v>1488</v>
      </c>
      <c r="Q176" s="19" t="s">
        <v>1489</v>
      </c>
      <c r="R176" s="19"/>
      <c r="S176" s="19"/>
      <c r="U176" s="19"/>
      <c r="W176" s="19"/>
      <c r="X176" s="19" t="s">
        <v>122</v>
      </c>
      <c r="Y176" s="27" t="s">
        <v>133</v>
      </c>
      <c r="Z176" s="27" t="s">
        <v>123</v>
      </c>
      <c r="AA176" s="27" t="s">
        <v>1490</v>
      </c>
      <c r="AB176" s="27" t="s">
        <v>1491</v>
      </c>
      <c r="AC176" s="37">
        <v>45798.479861111111</v>
      </c>
      <c r="AD176" s="38">
        <v>45798.493750000001</v>
      </c>
      <c r="AE176" s="36">
        <v>45778</v>
      </c>
      <c r="AF176" s="19" t="s">
        <v>89</v>
      </c>
      <c r="AG176" s="19" t="s">
        <v>90</v>
      </c>
      <c r="AH176" s="19" t="s">
        <v>62</v>
      </c>
      <c r="AI176" s="19" t="s">
        <v>63</v>
      </c>
      <c r="AJ176" s="19" t="s">
        <v>1492</v>
      </c>
      <c r="AK176" s="19"/>
      <c r="AL176" s="19"/>
      <c r="AM176" s="19"/>
      <c r="AN176" s="19" t="s">
        <v>65</v>
      </c>
      <c r="AO176" s="23">
        <v>45798.466666666667</v>
      </c>
      <c r="AP176" s="26">
        <f t="shared" si="5"/>
        <v>240</v>
      </c>
    </row>
    <row r="177" spans="1:42" ht="25.5" hidden="1" customHeight="1">
      <c r="A177" s="19" t="s">
        <v>42</v>
      </c>
      <c r="C177" s="19" t="s">
        <v>129</v>
      </c>
      <c r="D177" s="19" t="s">
        <v>45</v>
      </c>
      <c r="E177" s="19" t="s">
        <v>46</v>
      </c>
      <c r="F177" s="19" t="s">
        <v>1493</v>
      </c>
      <c r="G177" s="19" t="s">
        <v>48</v>
      </c>
      <c r="H177" s="19" t="s">
        <v>49</v>
      </c>
      <c r="I177" s="20">
        <v>45798.674305555563</v>
      </c>
      <c r="K177" s="19"/>
      <c r="L177" s="20">
        <v>45798.705555555563</v>
      </c>
      <c r="M177" s="19"/>
      <c r="N177" s="22">
        <f t="shared" si="4"/>
        <v>3.125E-2</v>
      </c>
      <c r="O177" s="19" t="s">
        <v>63</v>
      </c>
      <c r="P177" s="19" t="s">
        <v>1494</v>
      </c>
      <c r="Q177" s="19" t="s">
        <v>1495</v>
      </c>
      <c r="R177" s="19"/>
      <c r="S177" s="19"/>
      <c r="U177" s="19"/>
      <c r="W177" s="19"/>
      <c r="X177" s="19" t="s">
        <v>109</v>
      </c>
      <c r="Y177" s="27" t="s">
        <v>147</v>
      </c>
      <c r="Z177" s="27" t="s">
        <v>78</v>
      </c>
      <c r="AA177" s="27" t="s">
        <v>78</v>
      </c>
      <c r="AB177" s="27" t="s">
        <v>78</v>
      </c>
      <c r="AC177" s="37" t="s">
        <v>78</v>
      </c>
      <c r="AD177" s="38" t="s">
        <v>78</v>
      </c>
      <c r="AE177" s="36">
        <v>45778</v>
      </c>
      <c r="AF177" s="19" t="s">
        <v>89</v>
      </c>
      <c r="AG177" s="19" t="s">
        <v>90</v>
      </c>
      <c r="AH177" s="19" t="s">
        <v>62</v>
      </c>
      <c r="AI177" s="19" t="s">
        <v>63</v>
      </c>
      <c r="AJ177" s="19" t="s">
        <v>1496</v>
      </c>
      <c r="AK177" s="19"/>
      <c r="AL177" s="19"/>
      <c r="AM177" s="19"/>
      <c r="AN177" s="19" t="s">
        <v>103</v>
      </c>
      <c r="AO177" s="23">
        <v>45798.674305555563</v>
      </c>
      <c r="AP177" s="26">
        <f t="shared" si="5"/>
        <v>45</v>
      </c>
    </row>
    <row r="178" spans="1:42" ht="25.5" customHeight="1">
      <c r="A178" s="19" t="s">
        <v>42</v>
      </c>
      <c r="B178" s="19" t="s">
        <v>66</v>
      </c>
      <c r="C178" s="19" t="s">
        <v>142</v>
      </c>
      <c r="D178" s="19" t="s">
        <v>45</v>
      </c>
      <c r="E178" s="19" t="s">
        <v>46</v>
      </c>
      <c r="F178" s="19" t="s">
        <v>1497</v>
      </c>
      <c r="G178" s="19" t="s">
        <v>48</v>
      </c>
      <c r="H178" s="19" t="s">
        <v>144</v>
      </c>
      <c r="I178" s="20">
        <v>45798.9375</v>
      </c>
      <c r="J178" s="20">
        <v>45798.9375</v>
      </c>
      <c r="K178" s="19">
        <v>45798.944444444453</v>
      </c>
      <c r="L178" s="20">
        <v>45799.05</v>
      </c>
      <c r="M178" s="19"/>
      <c r="N178" s="22">
        <f t="shared" si="4"/>
        <v>0.11250000000291038</v>
      </c>
      <c r="O178" s="19" t="s">
        <v>50</v>
      </c>
      <c r="P178" s="19" t="s">
        <v>1498</v>
      </c>
      <c r="Q178" s="19" t="s">
        <v>1499</v>
      </c>
      <c r="R178" s="19"/>
      <c r="S178" s="19"/>
      <c r="U178" s="19"/>
      <c r="W178" s="19"/>
      <c r="X178" s="19" t="s">
        <v>72</v>
      </c>
      <c r="Y178" s="27" t="s">
        <v>147</v>
      </c>
      <c r="Z178" s="27" t="s">
        <v>78</v>
      </c>
      <c r="AA178" s="27" t="s">
        <v>147</v>
      </c>
      <c r="AB178" s="27" t="s">
        <v>147</v>
      </c>
      <c r="AC178" s="37" t="s">
        <v>78</v>
      </c>
      <c r="AD178" s="38" t="s">
        <v>78</v>
      </c>
      <c r="AE178" s="36">
        <v>45778</v>
      </c>
      <c r="AF178" s="19" t="s">
        <v>89</v>
      </c>
      <c r="AG178" s="19" t="s">
        <v>90</v>
      </c>
      <c r="AH178" s="19" t="s">
        <v>62</v>
      </c>
      <c r="AI178" s="19" t="s">
        <v>63</v>
      </c>
      <c r="AJ178" s="19" t="s">
        <v>1500</v>
      </c>
      <c r="AK178" s="19"/>
      <c r="AL178" s="19"/>
      <c r="AM178" s="19"/>
      <c r="AN178" s="19" t="s">
        <v>65</v>
      </c>
      <c r="AO178" s="23">
        <v>45799.025000000001</v>
      </c>
      <c r="AP178" s="26">
        <f t="shared" si="5"/>
        <v>162</v>
      </c>
    </row>
    <row r="179" spans="1:42" ht="25.5" hidden="1" customHeight="1">
      <c r="A179" s="19" t="s">
        <v>42</v>
      </c>
      <c r="B179" s="19" t="s">
        <v>202</v>
      </c>
      <c r="C179" s="19" t="s">
        <v>336</v>
      </c>
      <c r="D179" s="19" t="s">
        <v>45</v>
      </c>
      <c r="E179" s="19" t="s">
        <v>46</v>
      </c>
      <c r="F179" s="19" t="s">
        <v>1501</v>
      </c>
      <c r="G179" s="19" t="s">
        <v>48</v>
      </c>
      <c r="H179" s="19" t="s">
        <v>49</v>
      </c>
      <c r="I179" s="20">
        <v>45799.3125</v>
      </c>
      <c r="K179" s="19"/>
      <c r="L179" s="20">
        <v>45799.42291666667</v>
      </c>
      <c r="M179" s="19"/>
      <c r="N179" s="22">
        <f t="shared" si="4"/>
        <v>0.11041666667006211</v>
      </c>
      <c r="O179" s="19" t="s">
        <v>50</v>
      </c>
      <c r="P179" s="19" t="s">
        <v>1502</v>
      </c>
      <c r="Q179" s="19" t="s">
        <v>1503</v>
      </c>
      <c r="R179" s="19"/>
      <c r="S179" s="19"/>
      <c r="U179" s="19"/>
      <c r="W179" s="19"/>
      <c r="X179" s="19" t="s">
        <v>314</v>
      </c>
      <c r="Y179" s="27" t="s">
        <v>54</v>
      </c>
      <c r="Z179" s="27" t="s">
        <v>123</v>
      </c>
      <c r="AA179" s="27" t="s">
        <v>1504</v>
      </c>
      <c r="AB179" s="27" t="s">
        <v>1505</v>
      </c>
      <c r="AC179" s="37">
        <v>45799.197916666657</v>
      </c>
      <c r="AD179" s="38">
        <v>45799.256944444453</v>
      </c>
      <c r="AE179" s="36">
        <v>45778</v>
      </c>
      <c r="AF179" s="19" t="s">
        <v>99</v>
      </c>
      <c r="AG179" s="19" t="s">
        <v>100</v>
      </c>
      <c r="AH179" s="19" t="s">
        <v>62</v>
      </c>
      <c r="AI179" s="19" t="s">
        <v>63</v>
      </c>
      <c r="AJ179" s="19" t="s">
        <v>1506</v>
      </c>
      <c r="AK179" s="19" t="s">
        <v>1507</v>
      </c>
      <c r="AL179" s="19"/>
      <c r="AM179" s="19"/>
      <c r="AN179" s="19" t="s">
        <v>103</v>
      </c>
      <c r="AO179" s="23">
        <v>45799.3125</v>
      </c>
      <c r="AP179" s="26">
        <f t="shared" si="5"/>
        <v>159</v>
      </c>
    </row>
    <row r="180" spans="1:42" ht="25.5" hidden="1" customHeight="1">
      <c r="A180" s="19" t="s">
        <v>42</v>
      </c>
      <c r="B180" s="19" t="s">
        <v>410</v>
      </c>
      <c r="C180" s="19" t="s">
        <v>1073</v>
      </c>
      <c r="D180" s="19" t="s">
        <v>45</v>
      </c>
      <c r="E180" s="19" t="s">
        <v>46</v>
      </c>
      <c r="F180" s="19" t="s">
        <v>1508</v>
      </c>
      <c r="G180" s="19" t="s">
        <v>48</v>
      </c>
      <c r="H180" s="19" t="s">
        <v>49</v>
      </c>
      <c r="I180" s="20">
        <v>45799.40902777778</v>
      </c>
      <c r="K180" s="19"/>
      <c r="L180" s="20">
        <v>45799.465277777781</v>
      </c>
      <c r="M180" s="19"/>
      <c r="N180" s="22">
        <f t="shared" si="4"/>
        <v>5.6250000001455192E-2</v>
      </c>
      <c r="O180" s="19" t="s">
        <v>50</v>
      </c>
      <c r="P180" s="19" t="s">
        <v>1509</v>
      </c>
      <c r="Q180" s="19" t="s">
        <v>1510</v>
      </c>
      <c r="R180" s="19"/>
      <c r="S180" s="19"/>
      <c r="U180" s="19"/>
      <c r="W180" s="19"/>
      <c r="X180" s="19" t="s">
        <v>109</v>
      </c>
      <c r="Y180" s="27" t="s">
        <v>54</v>
      </c>
      <c r="Z180" s="27" t="s">
        <v>123</v>
      </c>
      <c r="AA180" s="27" t="s">
        <v>1511</v>
      </c>
      <c r="AB180" s="27" t="s">
        <v>1512</v>
      </c>
      <c r="AC180" s="37">
        <v>45799.381944444453</v>
      </c>
      <c r="AD180" s="38">
        <v>45799.396527777782</v>
      </c>
      <c r="AE180" s="36">
        <v>45778</v>
      </c>
      <c r="AF180" s="19" t="s">
        <v>89</v>
      </c>
      <c r="AG180" s="19" t="s">
        <v>90</v>
      </c>
      <c r="AH180" s="19" t="s">
        <v>62</v>
      </c>
      <c r="AI180" s="19" t="s">
        <v>63</v>
      </c>
      <c r="AJ180" s="19" t="s">
        <v>1513</v>
      </c>
      <c r="AK180" s="19"/>
      <c r="AL180" s="19"/>
      <c r="AM180" s="19"/>
      <c r="AN180" s="19" t="s">
        <v>65</v>
      </c>
      <c r="AO180" s="23">
        <v>45799.40902777778</v>
      </c>
      <c r="AP180" s="26">
        <f t="shared" si="5"/>
        <v>81</v>
      </c>
    </row>
    <row r="181" spans="1:42" ht="25.5" hidden="1" customHeight="1">
      <c r="A181" s="19" t="s">
        <v>285</v>
      </c>
      <c r="B181" s="19" t="s">
        <v>1514</v>
      </c>
      <c r="C181" s="19" t="s">
        <v>336</v>
      </c>
      <c r="D181" s="19" t="s">
        <v>45</v>
      </c>
      <c r="E181" s="19" t="s">
        <v>46</v>
      </c>
      <c r="F181" s="19" t="s">
        <v>1515</v>
      </c>
      <c r="G181" s="19" t="s">
        <v>48</v>
      </c>
      <c r="H181" s="19" t="s">
        <v>49</v>
      </c>
      <c r="I181" s="20">
        <v>45799.595833333333</v>
      </c>
      <c r="K181" s="19"/>
      <c r="L181" s="20">
        <v>45799.611111111109</v>
      </c>
      <c r="M181" s="19"/>
      <c r="N181" s="22">
        <f t="shared" si="4"/>
        <v>1.5277777776645962E-2</v>
      </c>
      <c r="O181" s="19" t="s">
        <v>50</v>
      </c>
      <c r="P181" s="19" t="s">
        <v>1516</v>
      </c>
      <c r="Q181" s="19" t="s">
        <v>1517</v>
      </c>
      <c r="R181" s="19"/>
      <c r="S181" s="19"/>
      <c r="U181" s="19"/>
      <c r="W181" s="19"/>
      <c r="X181" s="19" t="s">
        <v>314</v>
      </c>
      <c r="Y181" s="27" t="s">
        <v>133</v>
      </c>
      <c r="Z181" s="27" t="s">
        <v>361</v>
      </c>
      <c r="AA181" s="27" t="s">
        <v>1518</v>
      </c>
      <c r="AB181" s="27" t="s">
        <v>1519</v>
      </c>
      <c r="AC181" s="37" t="s">
        <v>1520</v>
      </c>
      <c r="AD181" s="38" t="s">
        <v>1521</v>
      </c>
      <c r="AE181" s="36">
        <v>45778</v>
      </c>
      <c r="AF181" s="19" t="s">
        <v>293</v>
      </c>
      <c r="AG181" s="19" t="s">
        <v>294</v>
      </c>
      <c r="AH181" s="19" t="s">
        <v>62</v>
      </c>
      <c r="AI181" s="19" t="s">
        <v>63</v>
      </c>
      <c r="AJ181" s="19" t="s">
        <v>1522</v>
      </c>
      <c r="AK181" s="19"/>
      <c r="AL181" s="19"/>
      <c r="AM181" s="19"/>
      <c r="AN181" s="19" t="s">
        <v>103</v>
      </c>
      <c r="AO181" s="23">
        <v>45799.595138888893</v>
      </c>
      <c r="AP181" s="26">
        <f t="shared" si="5"/>
        <v>22</v>
      </c>
    </row>
    <row r="182" spans="1:42" ht="25.5" hidden="1" customHeight="1">
      <c r="A182" s="19" t="s">
        <v>42</v>
      </c>
      <c r="B182" s="19" t="s">
        <v>1523</v>
      </c>
      <c r="C182" s="19" t="s">
        <v>118</v>
      </c>
      <c r="D182" s="19" t="s">
        <v>45</v>
      </c>
      <c r="E182" s="19" t="s">
        <v>46</v>
      </c>
      <c r="F182" s="19" t="s">
        <v>1524</v>
      </c>
      <c r="G182" s="19" t="s">
        <v>48</v>
      </c>
      <c r="H182" s="19" t="s">
        <v>49</v>
      </c>
      <c r="I182" s="20">
        <v>45799.927777777782</v>
      </c>
      <c r="K182" s="19"/>
      <c r="L182" s="20">
        <v>45799.972222222219</v>
      </c>
      <c r="M182" s="19"/>
      <c r="N182" s="22">
        <f t="shared" si="4"/>
        <v>4.4444444436521735E-2</v>
      </c>
      <c r="O182" s="19" t="s">
        <v>50</v>
      </c>
      <c r="P182" s="19" t="s">
        <v>1525</v>
      </c>
      <c r="Q182" s="19" t="s">
        <v>1526</v>
      </c>
      <c r="R182" s="19"/>
      <c r="S182" s="19"/>
      <c r="U182" s="19"/>
      <c r="W182" s="19"/>
      <c r="X182" s="19" t="s">
        <v>122</v>
      </c>
      <c r="Y182" s="27" t="s">
        <v>133</v>
      </c>
      <c r="Z182" s="27" t="s">
        <v>1527</v>
      </c>
      <c r="AA182" s="27" t="s">
        <v>1528</v>
      </c>
      <c r="AB182" s="27" t="s">
        <v>1529</v>
      </c>
      <c r="AC182" s="37" t="s">
        <v>1530</v>
      </c>
      <c r="AD182" s="38" t="s">
        <v>1531</v>
      </c>
      <c r="AE182" s="36">
        <v>45778</v>
      </c>
      <c r="AF182" s="19" t="s">
        <v>293</v>
      </c>
      <c r="AG182" s="19" t="s">
        <v>294</v>
      </c>
      <c r="AH182" s="19" t="s">
        <v>62</v>
      </c>
      <c r="AI182" s="19" t="s">
        <v>63</v>
      </c>
      <c r="AJ182" s="19" t="s">
        <v>1532</v>
      </c>
      <c r="AK182" s="19"/>
      <c r="AL182" s="19"/>
      <c r="AM182" s="19"/>
      <c r="AN182" s="19" t="s">
        <v>65</v>
      </c>
      <c r="AO182" s="23">
        <v>45799.927777777782</v>
      </c>
      <c r="AP182" s="26">
        <f t="shared" si="5"/>
        <v>64</v>
      </c>
    </row>
    <row r="183" spans="1:42" ht="25.5" hidden="1" customHeight="1">
      <c r="A183" s="19" t="s">
        <v>42</v>
      </c>
      <c r="B183" s="19" t="s">
        <v>66</v>
      </c>
      <c r="C183" s="19" t="s">
        <v>1533</v>
      </c>
      <c r="D183" s="19" t="s">
        <v>45</v>
      </c>
      <c r="E183" s="19" t="s">
        <v>46</v>
      </c>
      <c r="F183" s="19" t="s">
        <v>1534</v>
      </c>
      <c r="G183" s="19" t="s">
        <v>48</v>
      </c>
      <c r="H183" s="19" t="s">
        <v>49</v>
      </c>
      <c r="I183" s="20">
        <v>45800.384027777778</v>
      </c>
      <c r="K183" s="19"/>
      <c r="L183" s="20">
        <v>45800.401388888888</v>
      </c>
      <c r="M183" s="19"/>
      <c r="N183" s="22">
        <f t="shared" si="4"/>
        <v>1.7361111109494232E-2</v>
      </c>
      <c r="O183" s="19" t="s">
        <v>63</v>
      </c>
      <c r="P183" s="19" t="s">
        <v>1535</v>
      </c>
      <c r="Q183" s="19" t="s">
        <v>1536</v>
      </c>
      <c r="R183" s="19"/>
      <c r="S183" s="19"/>
      <c r="U183" s="19"/>
      <c r="W183" s="19"/>
      <c r="X183" s="19" t="s">
        <v>72</v>
      </c>
      <c r="Y183" s="27" t="s">
        <v>54</v>
      </c>
      <c r="Z183" s="27" t="s">
        <v>55</v>
      </c>
      <c r="AA183" s="27" t="s">
        <v>1537</v>
      </c>
      <c r="AB183" s="27" t="s">
        <v>1538</v>
      </c>
      <c r="AC183" s="37" t="s">
        <v>1539</v>
      </c>
      <c r="AD183" s="38" t="s">
        <v>1540</v>
      </c>
      <c r="AE183" s="36">
        <v>45778</v>
      </c>
      <c r="AF183" s="19" t="s">
        <v>89</v>
      </c>
      <c r="AG183" s="19" t="s">
        <v>90</v>
      </c>
      <c r="AH183" s="19" t="s">
        <v>62</v>
      </c>
      <c r="AI183" s="19" t="s">
        <v>63</v>
      </c>
      <c r="AJ183" s="19" t="s">
        <v>1541</v>
      </c>
      <c r="AK183" s="19"/>
      <c r="AL183" s="19"/>
      <c r="AM183" s="19"/>
      <c r="AN183" s="19" t="s">
        <v>65</v>
      </c>
      <c r="AO183" s="23">
        <v>45799.384027777778</v>
      </c>
      <c r="AP183" s="26">
        <f t="shared" si="5"/>
        <v>25</v>
      </c>
    </row>
    <row r="184" spans="1:42" ht="25.5" customHeight="1">
      <c r="A184" s="19" t="s">
        <v>42</v>
      </c>
      <c r="B184" s="19" t="s">
        <v>1542</v>
      </c>
      <c r="C184" s="19" t="s">
        <v>1543</v>
      </c>
      <c r="D184" s="19" t="s">
        <v>45</v>
      </c>
      <c r="E184" s="19" t="s">
        <v>46</v>
      </c>
      <c r="F184" s="19" t="s">
        <v>1544</v>
      </c>
      <c r="G184" s="19" t="s">
        <v>48</v>
      </c>
      <c r="H184" s="19" t="s">
        <v>152</v>
      </c>
      <c r="I184" s="20">
        <v>45800.856249999997</v>
      </c>
      <c r="J184" s="20">
        <v>45800.888888888891</v>
      </c>
      <c r="K184" s="19"/>
      <c r="L184" s="20">
        <v>45800.902777777781</v>
      </c>
      <c r="M184" s="19"/>
      <c r="N184" s="22">
        <f t="shared" si="4"/>
        <v>4.652777778392192E-2</v>
      </c>
      <c r="O184" s="19" t="s">
        <v>50</v>
      </c>
      <c r="P184" s="19" t="s">
        <v>1545</v>
      </c>
      <c r="Q184" s="19" t="s">
        <v>1546</v>
      </c>
      <c r="R184" s="19" t="s">
        <v>1547</v>
      </c>
      <c r="S184" s="19" t="s">
        <v>1548</v>
      </c>
      <c r="T184" s="20">
        <v>45801.60769675926</v>
      </c>
      <c r="U184" s="19">
        <v>45805.641030092593</v>
      </c>
      <c r="V184" s="19" t="s">
        <v>157</v>
      </c>
      <c r="W184" s="19"/>
      <c r="X184" s="19" t="s">
        <v>1549</v>
      </c>
      <c r="Y184" s="27" t="s">
        <v>133</v>
      </c>
      <c r="Z184" s="27" t="s">
        <v>1550</v>
      </c>
      <c r="AA184" s="27" t="s">
        <v>1551</v>
      </c>
      <c r="AB184" s="27" t="s">
        <v>1552</v>
      </c>
      <c r="AC184" s="37" t="s">
        <v>1553</v>
      </c>
      <c r="AD184" s="38" t="s">
        <v>1554</v>
      </c>
      <c r="AE184" s="36">
        <v>45778</v>
      </c>
      <c r="AF184" s="19" t="s">
        <v>1555</v>
      </c>
      <c r="AG184" s="19" t="s">
        <v>1556</v>
      </c>
      <c r="AH184" s="19" t="s">
        <v>164</v>
      </c>
      <c r="AI184" s="19" t="s">
        <v>63</v>
      </c>
      <c r="AJ184" s="19" t="s">
        <v>1557</v>
      </c>
      <c r="AK184" s="19"/>
      <c r="AL184" s="19"/>
      <c r="AM184" s="19"/>
      <c r="AN184" s="19" t="s">
        <v>65</v>
      </c>
      <c r="AO184" s="23">
        <v>45800.856249999997</v>
      </c>
      <c r="AP184" s="26">
        <f t="shared" si="5"/>
        <v>67</v>
      </c>
    </row>
    <row r="185" spans="1:42" ht="25.5" hidden="1" customHeight="1">
      <c r="A185" s="19" t="s">
        <v>92</v>
      </c>
      <c r="B185" s="19" t="s">
        <v>1558</v>
      </c>
      <c r="C185" s="19" t="s">
        <v>1559</v>
      </c>
      <c r="D185" s="19" t="s">
        <v>45</v>
      </c>
      <c r="E185" s="19" t="s">
        <v>405</v>
      </c>
      <c r="F185" s="19" t="s">
        <v>1560</v>
      </c>
      <c r="G185" s="19" t="s">
        <v>48</v>
      </c>
      <c r="H185" s="19" t="s">
        <v>49</v>
      </c>
      <c r="I185" s="20">
        <v>45801.022222222222</v>
      </c>
      <c r="K185" s="19"/>
      <c r="L185" s="20">
        <v>45801.0625</v>
      </c>
      <c r="M185" s="19"/>
      <c r="N185" s="22">
        <f t="shared" si="4"/>
        <v>4.0277777778101154E-2</v>
      </c>
      <c r="O185" s="19" t="s">
        <v>50</v>
      </c>
      <c r="P185" s="19" t="s">
        <v>1561</v>
      </c>
      <c r="Q185" s="19" t="s">
        <v>1562</v>
      </c>
      <c r="R185" s="19"/>
      <c r="S185" s="19"/>
      <c r="U185" s="19"/>
      <c r="W185" s="19"/>
      <c r="X185" s="19" t="s">
        <v>109</v>
      </c>
      <c r="Y185" s="27" t="s">
        <v>147</v>
      </c>
      <c r="Z185" s="27" t="s">
        <v>78</v>
      </c>
      <c r="AA185" s="27" t="s">
        <v>78</v>
      </c>
      <c r="AB185" s="27" t="s">
        <v>78</v>
      </c>
      <c r="AC185" s="37" t="s">
        <v>78</v>
      </c>
      <c r="AD185" s="38" t="s">
        <v>78</v>
      </c>
      <c r="AE185" s="36">
        <v>45778</v>
      </c>
      <c r="AF185" s="19" t="s">
        <v>60</v>
      </c>
      <c r="AG185" s="19" t="s">
        <v>78</v>
      </c>
      <c r="AH185" s="19" t="s">
        <v>62</v>
      </c>
      <c r="AI185" s="19" t="s">
        <v>63</v>
      </c>
      <c r="AJ185" s="19" t="s">
        <v>1563</v>
      </c>
      <c r="AK185" s="19"/>
      <c r="AL185" s="19"/>
      <c r="AM185" s="19"/>
      <c r="AN185" s="19" t="s">
        <v>65</v>
      </c>
      <c r="AO185" s="23">
        <v>45801.022222222222</v>
      </c>
      <c r="AP185" s="26">
        <f t="shared" si="5"/>
        <v>58</v>
      </c>
    </row>
    <row r="186" spans="1:42" ht="25.5" hidden="1" customHeight="1">
      <c r="A186" s="19" t="s">
        <v>285</v>
      </c>
      <c r="B186" s="19" t="s">
        <v>599</v>
      </c>
      <c r="C186" s="19" t="s">
        <v>1165</v>
      </c>
      <c r="D186" s="19" t="s">
        <v>45</v>
      </c>
      <c r="E186" s="19" t="s">
        <v>46</v>
      </c>
      <c r="F186" s="19" t="s">
        <v>1564</v>
      </c>
      <c r="G186" s="19" t="s">
        <v>48</v>
      </c>
      <c r="H186" s="19" t="s">
        <v>49</v>
      </c>
      <c r="I186" s="20">
        <v>45801.11041666667</v>
      </c>
      <c r="K186" s="19"/>
      <c r="L186" s="20">
        <v>45801.131944444453</v>
      </c>
      <c r="M186" s="19"/>
      <c r="N186" s="22">
        <f t="shared" si="4"/>
        <v>2.1527777782466728E-2</v>
      </c>
      <c r="O186" s="19" t="s">
        <v>50</v>
      </c>
      <c r="P186" s="19" t="s">
        <v>1565</v>
      </c>
      <c r="Q186" s="19" t="s">
        <v>1566</v>
      </c>
      <c r="R186" s="19"/>
      <c r="S186" s="19"/>
      <c r="U186" s="19"/>
      <c r="W186" s="19"/>
      <c r="X186" s="19" t="s">
        <v>122</v>
      </c>
      <c r="Y186" s="27" t="s">
        <v>54</v>
      </c>
      <c r="Z186" s="27" t="s">
        <v>784</v>
      </c>
      <c r="AA186" s="27" t="s">
        <v>1567</v>
      </c>
      <c r="AB186" s="27" t="s">
        <v>1568</v>
      </c>
      <c r="AC186" s="37">
        <v>45801.10833333333</v>
      </c>
      <c r="AD186" s="38">
        <v>45801.147916666669</v>
      </c>
      <c r="AE186" s="36">
        <v>45778</v>
      </c>
      <c r="AF186" s="19" t="s">
        <v>89</v>
      </c>
      <c r="AG186" s="19" t="s">
        <v>90</v>
      </c>
      <c r="AH186" s="19" t="s">
        <v>62</v>
      </c>
      <c r="AI186" s="19" t="s">
        <v>63</v>
      </c>
      <c r="AJ186" s="19" t="s">
        <v>1569</v>
      </c>
      <c r="AK186" s="19"/>
      <c r="AL186" s="19"/>
      <c r="AM186" s="19"/>
      <c r="AN186" s="19" t="s">
        <v>65</v>
      </c>
      <c r="AO186" s="23">
        <v>45801.11041666667</v>
      </c>
      <c r="AP186" s="26">
        <f t="shared" si="5"/>
        <v>31</v>
      </c>
    </row>
    <row r="187" spans="1:42" ht="25.5" hidden="1" customHeight="1">
      <c r="A187" s="19" t="s">
        <v>42</v>
      </c>
      <c r="B187" s="19" t="s">
        <v>186</v>
      </c>
      <c r="C187" s="19" t="s">
        <v>577</v>
      </c>
      <c r="D187" s="19" t="s">
        <v>45</v>
      </c>
      <c r="E187" s="19" t="s">
        <v>46</v>
      </c>
      <c r="F187" s="19" t="s">
        <v>1570</v>
      </c>
      <c r="G187" s="19" t="s">
        <v>48</v>
      </c>
      <c r="H187" s="19" t="s">
        <v>49</v>
      </c>
      <c r="I187" s="20">
        <v>45801.185416666667</v>
      </c>
      <c r="K187" s="19"/>
      <c r="L187" s="20">
        <v>45801.319444444453</v>
      </c>
      <c r="M187" s="19"/>
      <c r="N187" s="22">
        <f t="shared" si="4"/>
        <v>0.13402777778537711</v>
      </c>
      <c r="O187" s="19" t="s">
        <v>63</v>
      </c>
      <c r="P187" s="19" t="s">
        <v>1571</v>
      </c>
      <c r="Q187" s="19" t="s">
        <v>1572</v>
      </c>
      <c r="R187" s="19"/>
      <c r="S187" s="19"/>
      <c r="U187" s="19"/>
      <c r="W187" s="19"/>
      <c r="X187" s="19" t="s">
        <v>191</v>
      </c>
      <c r="Y187" s="27" t="s">
        <v>147</v>
      </c>
      <c r="Z187" s="27" t="s">
        <v>78</v>
      </c>
      <c r="AA187" s="27" t="s">
        <v>78</v>
      </c>
      <c r="AB187" s="27" t="s">
        <v>78</v>
      </c>
      <c r="AC187" s="37" t="s">
        <v>78</v>
      </c>
      <c r="AD187" s="38" t="s">
        <v>78</v>
      </c>
      <c r="AE187" s="36">
        <v>45778</v>
      </c>
      <c r="AF187" s="19" t="s">
        <v>89</v>
      </c>
      <c r="AG187" s="19" t="s">
        <v>90</v>
      </c>
      <c r="AH187" s="19" t="s">
        <v>62</v>
      </c>
      <c r="AI187" s="19" t="s">
        <v>63</v>
      </c>
      <c r="AJ187" s="19" t="s">
        <v>1573</v>
      </c>
      <c r="AK187" s="19"/>
      <c r="AL187" s="19"/>
      <c r="AM187" s="19"/>
      <c r="AN187" s="19" t="s">
        <v>65</v>
      </c>
      <c r="AO187" s="23">
        <v>45801.184027777781</v>
      </c>
      <c r="AP187" s="26">
        <f t="shared" si="5"/>
        <v>193</v>
      </c>
    </row>
    <row r="188" spans="1:42" ht="25.5" hidden="1" customHeight="1">
      <c r="A188" s="19" t="s">
        <v>116</v>
      </c>
      <c r="B188" s="19" t="s">
        <v>1574</v>
      </c>
      <c r="C188" s="19" t="s">
        <v>1575</v>
      </c>
      <c r="D188" s="19" t="s">
        <v>45</v>
      </c>
      <c r="E188" s="19" t="s">
        <v>46</v>
      </c>
      <c r="F188" s="19" t="s">
        <v>1576</v>
      </c>
      <c r="G188" s="19" t="s">
        <v>48</v>
      </c>
      <c r="H188" s="19" t="s">
        <v>49</v>
      </c>
      <c r="I188" s="20">
        <v>45801.470138888893</v>
      </c>
      <c r="K188" s="19"/>
      <c r="L188" s="20">
        <v>45801.489583333343</v>
      </c>
      <c r="M188" s="19"/>
      <c r="N188" s="22">
        <f t="shared" si="4"/>
        <v>1.9444444449618459E-2</v>
      </c>
      <c r="O188" s="19" t="s">
        <v>50</v>
      </c>
      <c r="P188" s="19" t="s">
        <v>1577</v>
      </c>
      <c r="Q188" s="19" t="s">
        <v>1578</v>
      </c>
      <c r="R188" s="19"/>
      <c r="S188" s="19"/>
      <c r="U188" s="19"/>
      <c r="W188" s="19"/>
      <c r="X188" s="19" t="s">
        <v>122</v>
      </c>
      <c r="Y188" s="27" t="s">
        <v>54</v>
      </c>
      <c r="Z188" s="27" t="s">
        <v>110</v>
      </c>
      <c r="AA188" s="27" t="s">
        <v>1579</v>
      </c>
      <c r="AB188" s="27" t="s">
        <v>1580</v>
      </c>
      <c r="AC188" s="37" t="s">
        <v>1581</v>
      </c>
      <c r="AD188" s="38" t="s">
        <v>1582</v>
      </c>
      <c r="AE188" s="36">
        <v>45778</v>
      </c>
      <c r="AF188" s="19" t="s">
        <v>89</v>
      </c>
      <c r="AG188" s="19" t="s">
        <v>90</v>
      </c>
      <c r="AH188" s="19" t="s">
        <v>62</v>
      </c>
      <c r="AI188" s="19" t="s">
        <v>63</v>
      </c>
      <c r="AJ188" s="19" t="s">
        <v>1583</v>
      </c>
      <c r="AK188" s="19"/>
      <c r="AL188" s="19"/>
      <c r="AM188" s="19"/>
      <c r="AN188" s="19" t="s">
        <v>65</v>
      </c>
      <c r="AO188" s="23">
        <v>45801.470138888893</v>
      </c>
      <c r="AP188" s="26">
        <f t="shared" si="5"/>
        <v>28</v>
      </c>
    </row>
    <row r="189" spans="1:42" ht="25.5" hidden="1" customHeight="1">
      <c r="A189" s="19" t="s">
        <v>42</v>
      </c>
      <c r="B189" s="19" t="s">
        <v>1584</v>
      </c>
      <c r="C189" s="19" t="s">
        <v>1585</v>
      </c>
      <c r="D189" s="19" t="s">
        <v>45</v>
      </c>
      <c r="E189" s="19" t="s">
        <v>46</v>
      </c>
      <c r="F189" s="19" t="s">
        <v>1586</v>
      </c>
      <c r="G189" s="19" t="s">
        <v>48</v>
      </c>
      <c r="H189" s="19" t="s">
        <v>49</v>
      </c>
      <c r="I189" s="20">
        <v>45801.525000000001</v>
      </c>
      <c r="K189" s="19"/>
      <c r="L189" s="20">
        <v>45801.529166666667</v>
      </c>
      <c r="M189" s="19"/>
      <c r="N189" s="22">
        <f t="shared" si="4"/>
        <v>4.166666665696539E-3</v>
      </c>
      <c r="O189" s="19" t="s">
        <v>50</v>
      </c>
      <c r="P189" s="19" t="s">
        <v>1587</v>
      </c>
      <c r="Q189" s="19" t="s">
        <v>1588</v>
      </c>
      <c r="R189" s="19"/>
      <c r="S189" s="19"/>
      <c r="U189" s="19"/>
      <c r="W189" s="19"/>
      <c r="X189" s="19" t="s">
        <v>1589</v>
      </c>
      <c r="Y189" s="27" t="s">
        <v>133</v>
      </c>
      <c r="Z189" s="27" t="s">
        <v>1550</v>
      </c>
      <c r="AA189" s="27" t="s">
        <v>1590</v>
      </c>
      <c r="AB189" s="27" t="s">
        <v>1591</v>
      </c>
      <c r="AC189" s="37" t="s">
        <v>1592</v>
      </c>
      <c r="AD189" s="38" t="s">
        <v>1593</v>
      </c>
      <c r="AE189" s="36">
        <v>45778</v>
      </c>
      <c r="AF189" s="19" t="s">
        <v>89</v>
      </c>
      <c r="AG189" s="19" t="s">
        <v>90</v>
      </c>
      <c r="AH189" s="19" t="s">
        <v>62</v>
      </c>
      <c r="AI189" s="19" t="s">
        <v>63</v>
      </c>
      <c r="AJ189" s="19" t="s">
        <v>1594</v>
      </c>
      <c r="AK189" s="19"/>
      <c r="AL189" s="19"/>
      <c r="AM189" s="19"/>
      <c r="AN189" s="19" t="s">
        <v>65</v>
      </c>
      <c r="AO189" s="23">
        <v>45801.525000000001</v>
      </c>
      <c r="AP189" s="26">
        <f t="shared" si="5"/>
        <v>6</v>
      </c>
    </row>
    <row r="190" spans="1:42" ht="25.5" hidden="1" customHeight="1">
      <c r="A190" s="19" t="s">
        <v>42</v>
      </c>
      <c r="B190" s="19" t="s">
        <v>470</v>
      </c>
      <c r="C190" s="19" t="s">
        <v>471</v>
      </c>
      <c r="D190" s="19" t="s">
        <v>45</v>
      </c>
      <c r="E190" s="19" t="s">
        <v>46</v>
      </c>
      <c r="F190" s="19" t="s">
        <v>1595</v>
      </c>
      <c r="G190" s="19" t="s">
        <v>48</v>
      </c>
      <c r="H190" s="19" t="s">
        <v>49</v>
      </c>
      <c r="I190" s="20">
        <v>45802.436111111107</v>
      </c>
      <c r="K190" s="19"/>
      <c r="L190" s="20">
        <v>45802.469444444447</v>
      </c>
      <c r="M190" s="19"/>
      <c r="N190" s="22">
        <f t="shared" si="4"/>
        <v>3.3333333340124227E-2</v>
      </c>
      <c r="O190" s="19" t="s">
        <v>50</v>
      </c>
      <c r="P190" s="19" t="s">
        <v>1596</v>
      </c>
      <c r="Q190" s="19" t="s">
        <v>1597</v>
      </c>
      <c r="R190" s="19"/>
      <c r="S190" s="19"/>
      <c r="U190" s="19"/>
      <c r="W190" s="19"/>
      <c r="X190" s="19" t="s">
        <v>258</v>
      </c>
      <c r="Y190" s="27" t="s">
        <v>54</v>
      </c>
      <c r="Z190" s="27" t="s">
        <v>1598</v>
      </c>
      <c r="AA190" s="27" t="s">
        <v>1599</v>
      </c>
      <c r="AB190" s="27" t="s">
        <v>1600</v>
      </c>
      <c r="AC190" s="37" t="s">
        <v>1601</v>
      </c>
      <c r="AD190" s="38" t="s">
        <v>1602</v>
      </c>
      <c r="AE190" s="36">
        <v>45778</v>
      </c>
      <c r="AF190" s="19" t="s">
        <v>99</v>
      </c>
      <c r="AG190" s="19" t="s">
        <v>100</v>
      </c>
      <c r="AH190" s="19" t="s">
        <v>62</v>
      </c>
      <c r="AI190" s="19" t="s">
        <v>63</v>
      </c>
      <c r="AJ190" s="19" t="s">
        <v>1603</v>
      </c>
      <c r="AK190" s="19" t="s">
        <v>1604</v>
      </c>
      <c r="AL190" s="19"/>
      <c r="AM190" s="19"/>
      <c r="AN190" s="19" t="s">
        <v>103</v>
      </c>
      <c r="AO190" s="23">
        <v>45802.436111111107</v>
      </c>
      <c r="AP190" s="26">
        <f t="shared" si="5"/>
        <v>48</v>
      </c>
    </row>
    <row r="191" spans="1:42" ht="25.5" customHeight="1">
      <c r="A191" s="19" t="s">
        <v>42</v>
      </c>
      <c r="B191" s="19" t="s">
        <v>854</v>
      </c>
      <c r="C191" s="19" t="s">
        <v>855</v>
      </c>
      <c r="D191" s="19" t="s">
        <v>45</v>
      </c>
      <c r="E191" s="19" t="s">
        <v>46</v>
      </c>
      <c r="F191" s="19" t="s">
        <v>1605</v>
      </c>
      <c r="G191" s="19" t="s">
        <v>48</v>
      </c>
      <c r="H191" s="19" t="s">
        <v>152</v>
      </c>
      <c r="I191" s="20">
        <v>45802.479166666657</v>
      </c>
      <c r="J191" s="20">
        <v>45802.541666666657</v>
      </c>
      <c r="K191" s="19"/>
      <c r="L191" s="20">
        <v>45802.576388888891</v>
      </c>
      <c r="M191" s="19"/>
      <c r="N191" s="22">
        <f t="shared" si="4"/>
        <v>9.7222222233540379E-2</v>
      </c>
      <c r="O191" s="19" t="s">
        <v>50</v>
      </c>
      <c r="P191" s="19" t="s">
        <v>1606</v>
      </c>
      <c r="Q191" s="19" t="s">
        <v>1607</v>
      </c>
      <c r="R191" s="19" t="s">
        <v>1608</v>
      </c>
      <c r="S191" s="19" t="s">
        <v>1609</v>
      </c>
      <c r="T191" s="20">
        <v>45802.673217592594</v>
      </c>
      <c r="U191" s="19">
        <v>45817.706250000003</v>
      </c>
      <c r="V191" s="19" t="s">
        <v>157</v>
      </c>
      <c r="W191" s="19"/>
      <c r="X191" s="19" t="s">
        <v>109</v>
      </c>
      <c r="Y191" s="27" t="s">
        <v>54</v>
      </c>
      <c r="Z191" s="27" t="s">
        <v>209</v>
      </c>
      <c r="AA191" s="27" t="s">
        <v>1610</v>
      </c>
      <c r="AB191" s="27" t="s">
        <v>1611</v>
      </c>
      <c r="AC191" s="37">
        <v>45802.383090277777</v>
      </c>
      <c r="AD191" s="38">
        <v>45802.427731481483</v>
      </c>
      <c r="AE191" s="36">
        <v>45778</v>
      </c>
      <c r="AF191" s="19" t="s">
        <v>89</v>
      </c>
      <c r="AG191" s="19" t="s">
        <v>90</v>
      </c>
      <c r="AH191" s="19" t="s">
        <v>62</v>
      </c>
      <c r="AI191" s="19" t="s">
        <v>63</v>
      </c>
      <c r="AJ191" s="19" t="s">
        <v>1612</v>
      </c>
      <c r="AK191" s="19" t="s">
        <v>1613</v>
      </c>
      <c r="AL191" s="19"/>
      <c r="AM191" s="19"/>
      <c r="AN191" s="19" t="s">
        <v>65</v>
      </c>
      <c r="AO191" s="23">
        <v>45802.479166666657</v>
      </c>
      <c r="AP191" s="26">
        <f t="shared" si="5"/>
        <v>140</v>
      </c>
    </row>
    <row r="192" spans="1:42" ht="25.5" hidden="1" customHeight="1">
      <c r="A192" s="19" t="s">
        <v>42</v>
      </c>
      <c r="B192" s="19" t="s">
        <v>202</v>
      </c>
      <c r="C192" s="19" t="s">
        <v>336</v>
      </c>
      <c r="D192" s="19" t="s">
        <v>45</v>
      </c>
      <c r="E192" s="19" t="s">
        <v>225</v>
      </c>
      <c r="F192" s="19" t="s">
        <v>1614</v>
      </c>
      <c r="G192" s="19" t="s">
        <v>48</v>
      </c>
      <c r="H192" s="19" t="s">
        <v>49</v>
      </c>
      <c r="I192" s="20">
        <v>45802.517361111109</v>
      </c>
      <c r="K192" s="19"/>
      <c r="L192" s="20">
        <v>45802.555555555547</v>
      </c>
      <c r="M192" s="19"/>
      <c r="N192" s="22">
        <f t="shared" si="4"/>
        <v>3.8194444437976927E-2</v>
      </c>
      <c r="O192" s="19" t="s">
        <v>63</v>
      </c>
      <c r="P192" s="19" t="s">
        <v>1615</v>
      </c>
      <c r="Q192" s="19" t="s">
        <v>1616</v>
      </c>
      <c r="R192" s="19"/>
      <c r="S192" s="19"/>
      <c r="U192" s="19"/>
      <c r="W192" s="19"/>
      <c r="X192" s="19" t="s">
        <v>314</v>
      </c>
      <c r="Y192" s="27" t="s">
        <v>54</v>
      </c>
      <c r="Z192" s="27" t="s">
        <v>1598</v>
      </c>
      <c r="AA192" s="27" t="s">
        <v>1617</v>
      </c>
      <c r="AB192" s="27" t="s">
        <v>1618</v>
      </c>
      <c r="AC192" s="37" t="s">
        <v>1619</v>
      </c>
      <c r="AD192" s="38" t="s">
        <v>1620</v>
      </c>
      <c r="AE192" s="36">
        <v>45778</v>
      </c>
      <c r="AF192" s="19" t="s">
        <v>89</v>
      </c>
      <c r="AG192" s="19" t="s">
        <v>90</v>
      </c>
      <c r="AH192" s="19" t="s">
        <v>62</v>
      </c>
      <c r="AI192" s="19" t="s">
        <v>63</v>
      </c>
      <c r="AJ192" s="19" t="s">
        <v>503</v>
      </c>
      <c r="AK192" s="19"/>
      <c r="AL192" s="19"/>
      <c r="AM192" s="19"/>
      <c r="AN192" s="19" t="s">
        <v>65</v>
      </c>
      <c r="AO192" s="23">
        <v>45802.517361111109</v>
      </c>
      <c r="AP192" s="26">
        <f t="shared" si="5"/>
        <v>55</v>
      </c>
    </row>
    <row r="193" spans="1:42" ht="25.5" hidden="1" customHeight="1">
      <c r="A193" s="19" t="s">
        <v>42</v>
      </c>
      <c r="B193" s="19" t="s">
        <v>186</v>
      </c>
      <c r="C193" s="19" t="s">
        <v>577</v>
      </c>
      <c r="D193" s="19" t="s">
        <v>45</v>
      </c>
      <c r="E193" s="19" t="s">
        <v>46</v>
      </c>
      <c r="F193" s="19" t="s">
        <v>1570</v>
      </c>
      <c r="G193" s="19" t="s">
        <v>226</v>
      </c>
      <c r="H193" s="19" t="s">
        <v>49</v>
      </c>
      <c r="I193" s="20">
        <v>45802.598611111112</v>
      </c>
      <c r="K193" s="19"/>
      <c r="L193" s="20">
        <v>45802.688888888893</v>
      </c>
      <c r="M193" s="19"/>
      <c r="N193" s="22">
        <f t="shared" si="4"/>
        <v>9.0277777781011537E-2</v>
      </c>
      <c r="O193" s="19" t="s">
        <v>63</v>
      </c>
      <c r="P193" s="19" t="s">
        <v>1621</v>
      </c>
      <c r="Q193" s="19" t="s">
        <v>1622</v>
      </c>
      <c r="R193" s="19"/>
      <c r="S193" s="19"/>
      <c r="U193" s="19"/>
      <c r="W193" s="19"/>
      <c r="X193" s="19" t="s">
        <v>191</v>
      </c>
      <c r="Y193" s="27" t="s">
        <v>147</v>
      </c>
      <c r="Z193" s="27" t="s">
        <v>78</v>
      </c>
      <c r="AA193" s="27" t="s">
        <v>78</v>
      </c>
      <c r="AB193" s="27" t="s">
        <v>78</v>
      </c>
      <c r="AC193" s="37" t="s">
        <v>78</v>
      </c>
      <c r="AD193" s="38" t="s">
        <v>78</v>
      </c>
      <c r="AE193" s="36">
        <v>45778</v>
      </c>
      <c r="AF193" s="19" t="s">
        <v>89</v>
      </c>
      <c r="AG193" s="19" t="s">
        <v>90</v>
      </c>
      <c r="AH193" s="19" t="s">
        <v>62</v>
      </c>
      <c r="AI193" s="19" t="s">
        <v>50</v>
      </c>
      <c r="AJ193" s="19" t="s">
        <v>1623</v>
      </c>
      <c r="AK193" s="19"/>
      <c r="AL193" s="19"/>
      <c r="AM193" s="19"/>
      <c r="AN193" s="19" t="s">
        <v>65</v>
      </c>
      <c r="AO193" s="23">
        <v>45802.598611111112</v>
      </c>
      <c r="AP193" s="26">
        <f t="shared" si="5"/>
        <v>130</v>
      </c>
    </row>
    <row r="194" spans="1:42" ht="25.5" hidden="1" customHeight="1">
      <c r="A194" s="19" t="s">
        <v>42</v>
      </c>
      <c r="B194" s="19" t="s">
        <v>186</v>
      </c>
      <c r="C194" s="19" t="s">
        <v>577</v>
      </c>
      <c r="D194" s="19" t="s">
        <v>45</v>
      </c>
      <c r="E194" s="19" t="s">
        <v>46</v>
      </c>
      <c r="F194" s="19" t="s">
        <v>1570</v>
      </c>
      <c r="G194" s="19" t="s">
        <v>226</v>
      </c>
      <c r="H194" s="19" t="s">
        <v>49</v>
      </c>
      <c r="I194" s="20">
        <v>45802.732638888891</v>
      </c>
      <c r="K194" s="19"/>
      <c r="L194" s="20">
        <v>45802.822916666657</v>
      </c>
      <c r="M194" s="19"/>
      <c r="N194" s="22">
        <f t="shared" ref="N194:N257" si="6">L194-I194</f>
        <v>9.0277777766459621E-2</v>
      </c>
      <c r="O194" s="19" t="s">
        <v>63</v>
      </c>
      <c r="P194" s="19" t="s">
        <v>1624</v>
      </c>
      <c r="Q194" s="19" t="s">
        <v>1625</v>
      </c>
      <c r="R194" s="19"/>
      <c r="S194" s="19"/>
      <c r="U194" s="19"/>
      <c r="W194" s="19"/>
      <c r="X194" s="19" t="s">
        <v>191</v>
      </c>
      <c r="Y194" s="27" t="s">
        <v>147</v>
      </c>
      <c r="Z194" s="27" t="s">
        <v>78</v>
      </c>
      <c r="AA194" s="27" t="s">
        <v>78</v>
      </c>
      <c r="AB194" s="27" t="s">
        <v>78</v>
      </c>
      <c r="AC194" s="37" t="s">
        <v>78</v>
      </c>
      <c r="AD194" s="38" t="s">
        <v>78</v>
      </c>
      <c r="AE194" s="36">
        <v>45778</v>
      </c>
      <c r="AF194" s="19" t="s">
        <v>89</v>
      </c>
      <c r="AG194" s="19" t="s">
        <v>90</v>
      </c>
      <c r="AH194" s="19" t="s">
        <v>62</v>
      </c>
      <c r="AI194" s="19" t="s">
        <v>50</v>
      </c>
      <c r="AJ194" s="19" t="s">
        <v>1624</v>
      </c>
      <c r="AK194" s="19"/>
      <c r="AL194" s="19"/>
      <c r="AM194" s="19"/>
      <c r="AN194" s="19" t="s">
        <v>65</v>
      </c>
      <c r="AO194" s="23">
        <v>45802.732638888891</v>
      </c>
      <c r="AP194" s="26">
        <f t="shared" ref="AP194:AP257" si="7">((HOUR(N194)*60)+MINUTE(N194)+(SECOND(N194)/60))</f>
        <v>130</v>
      </c>
    </row>
    <row r="195" spans="1:42" ht="25.5" customHeight="1">
      <c r="A195" s="19" t="s">
        <v>42</v>
      </c>
      <c r="B195" s="19" t="s">
        <v>1626</v>
      </c>
      <c r="C195" s="19" t="s">
        <v>1195</v>
      </c>
      <c r="D195" s="19" t="s">
        <v>45</v>
      </c>
      <c r="E195" s="19" t="s">
        <v>46</v>
      </c>
      <c r="F195" s="19" t="s">
        <v>1627</v>
      </c>
      <c r="G195" s="19" t="s">
        <v>48</v>
      </c>
      <c r="H195" s="19" t="s">
        <v>144</v>
      </c>
      <c r="I195" s="20">
        <v>45803.447222222218</v>
      </c>
      <c r="J195" s="20">
        <v>45803.480555555558</v>
      </c>
      <c r="K195" s="19">
        <v>45803.520833333343</v>
      </c>
      <c r="L195" s="20">
        <v>45803.541666666657</v>
      </c>
      <c r="M195" s="19"/>
      <c r="N195" s="22">
        <f t="shared" si="6"/>
        <v>9.4444444439432118E-2</v>
      </c>
      <c r="O195" s="19" t="s">
        <v>50</v>
      </c>
      <c r="P195" s="19" t="s">
        <v>1628</v>
      </c>
      <c r="Q195" s="19" t="s">
        <v>1629</v>
      </c>
      <c r="R195" s="19" t="s">
        <v>1630</v>
      </c>
      <c r="S195" s="19" t="s">
        <v>1631</v>
      </c>
      <c r="T195" s="20">
        <v>45803.632245370369</v>
      </c>
      <c r="U195" s="19">
        <v>45811.749305555553</v>
      </c>
      <c r="V195" s="19" t="s">
        <v>157</v>
      </c>
      <c r="W195" s="19"/>
      <c r="X195" s="19" t="s">
        <v>109</v>
      </c>
      <c r="Y195" s="27" t="s">
        <v>54</v>
      </c>
      <c r="Z195" s="27" t="s">
        <v>1527</v>
      </c>
      <c r="AA195" s="27" t="s">
        <v>1632</v>
      </c>
      <c r="AB195" s="27" t="s">
        <v>1633</v>
      </c>
      <c r="AC195" s="37" t="s">
        <v>1634</v>
      </c>
      <c r="AD195" s="38" t="s">
        <v>1635</v>
      </c>
      <c r="AE195" s="36">
        <v>45778</v>
      </c>
      <c r="AF195" s="19" t="s">
        <v>293</v>
      </c>
      <c r="AG195" s="19" t="s">
        <v>556</v>
      </c>
      <c r="AH195" s="19" t="s">
        <v>62</v>
      </c>
      <c r="AI195" s="19" t="s">
        <v>63</v>
      </c>
      <c r="AJ195" s="19" t="s">
        <v>1636</v>
      </c>
      <c r="AK195" s="19"/>
      <c r="AL195" s="19"/>
      <c r="AM195" s="19"/>
      <c r="AN195" s="19" t="s">
        <v>103</v>
      </c>
      <c r="AO195" s="23">
        <v>45803.445833333331</v>
      </c>
      <c r="AP195" s="26">
        <f t="shared" si="7"/>
        <v>136</v>
      </c>
    </row>
    <row r="196" spans="1:42" ht="25.5" hidden="1" customHeight="1">
      <c r="A196" s="19" t="s">
        <v>116</v>
      </c>
      <c r="B196" s="19" t="s">
        <v>309</v>
      </c>
      <c r="C196" s="19" t="s">
        <v>1637</v>
      </c>
      <c r="D196" s="19" t="s">
        <v>45</v>
      </c>
      <c r="E196" s="19" t="s">
        <v>46</v>
      </c>
      <c r="F196" s="19" t="s">
        <v>1638</v>
      </c>
      <c r="G196" s="19" t="s">
        <v>48</v>
      </c>
      <c r="H196" s="19" t="s">
        <v>49</v>
      </c>
      <c r="I196" s="20">
        <v>45803.527777777781</v>
      </c>
      <c r="K196" s="19"/>
      <c r="L196" s="20">
        <v>45803.555555555547</v>
      </c>
      <c r="M196" s="19"/>
      <c r="N196" s="22">
        <f t="shared" si="6"/>
        <v>2.7777777766459621E-2</v>
      </c>
      <c r="O196" s="19" t="s">
        <v>50</v>
      </c>
      <c r="P196" s="19" t="s">
        <v>1639</v>
      </c>
      <c r="Q196" s="19" t="s">
        <v>1640</v>
      </c>
      <c r="R196" s="19"/>
      <c r="S196" s="19"/>
      <c r="U196" s="19"/>
      <c r="W196" s="19"/>
      <c r="X196" s="19" t="s">
        <v>314</v>
      </c>
      <c r="Y196" s="27" t="s">
        <v>54</v>
      </c>
      <c r="Z196" s="27" t="s">
        <v>123</v>
      </c>
      <c r="AA196" s="27" t="s">
        <v>1641</v>
      </c>
      <c r="AB196" s="27" t="s">
        <v>1642</v>
      </c>
      <c r="AC196" s="37">
        <v>45803.529861111107</v>
      </c>
      <c r="AD196" s="38">
        <v>45803.533333333333</v>
      </c>
      <c r="AE196" s="36">
        <v>45778</v>
      </c>
      <c r="AF196" s="19" t="s">
        <v>89</v>
      </c>
      <c r="AG196" s="19" t="s">
        <v>90</v>
      </c>
      <c r="AH196" s="19" t="s">
        <v>62</v>
      </c>
      <c r="AI196" s="19" t="s">
        <v>63</v>
      </c>
      <c r="AJ196" s="19" t="s">
        <v>1643</v>
      </c>
      <c r="AK196" s="19"/>
      <c r="AL196" s="19"/>
      <c r="AM196" s="19"/>
      <c r="AN196" s="19" t="s">
        <v>65</v>
      </c>
      <c r="AO196" s="23">
        <v>45803.527777777781</v>
      </c>
      <c r="AP196" s="26">
        <f t="shared" si="7"/>
        <v>40</v>
      </c>
    </row>
    <row r="197" spans="1:42" ht="25.5" customHeight="1">
      <c r="A197" s="19" t="s">
        <v>285</v>
      </c>
      <c r="B197" s="19" t="s">
        <v>1644</v>
      </c>
      <c r="C197" s="19" t="s">
        <v>1645</v>
      </c>
      <c r="D197" s="19" t="s">
        <v>45</v>
      </c>
      <c r="E197" s="19" t="s">
        <v>46</v>
      </c>
      <c r="F197" s="19" t="s">
        <v>1646</v>
      </c>
      <c r="G197" s="19" t="s">
        <v>48</v>
      </c>
      <c r="H197" s="19" t="s">
        <v>144</v>
      </c>
      <c r="I197" s="20">
        <v>45803.634722222218</v>
      </c>
      <c r="J197" s="20">
        <v>45803.666666666657</v>
      </c>
      <c r="K197" s="19">
        <v>45803.694444444453</v>
      </c>
      <c r="L197" s="20">
        <v>45803.711805555547</v>
      </c>
      <c r="M197" s="19"/>
      <c r="N197" s="22">
        <f t="shared" si="6"/>
        <v>7.7083333329937886E-2</v>
      </c>
      <c r="O197" s="19" t="s">
        <v>50</v>
      </c>
      <c r="P197" s="19" t="s">
        <v>1647</v>
      </c>
      <c r="Q197" s="19" t="s">
        <v>1648</v>
      </c>
      <c r="R197" s="19" t="s">
        <v>1649</v>
      </c>
      <c r="S197" s="19" t="s">
        <v>1650</v>
      </c>
      <c r="T197" s="20">
        <v>45803.865277777782</v>
      </c>
      <c r="U197" s="19">
        <v>45812.738194444442</v>
      </c>
      <c r="V197" s="19" t="s">
        <v>157</v>
      </c>
      <c r="W197" s="19"/>
      <c r="X197" s="19" t="s">
        <v>1651</v>
      </c>
      <c r="Y197" s="27" t="s">
        <v>133</v>
      </c>
      <c r="Z197" s="27" t="s">
        <v>1652</v>
      </c>
      <c r="AA197" s="27" t="s">
        <v>1653</v>
      </c>
      <c r="AB197" s="27" t="s">
        <v>1654</v>
      </c>
      <c r="AC197" s="37" t="s">
        <v>1655</v>
      </c>
      <c r="AD197" s="38" t="s">
        <v>1656</v>
      </c>
      <c r="AE197" s="36">
        <v>45778</v>
      </c>
      <c r="AF197" s="19" t="s">
        <v>89</v>
      </c>
      <c r="AG197" s="19" t="s">
        <v>90</v>
      </c>
      <c r="AH197" s="19" t="s">
        <v>62</v>
      </c>
      <c r="AI197" s="19" t="s">
        <v>63</v>
      </c>
      <c r="AJ197" s="19" t="s">
        <v>1657</v>
      </c>
      <c r="AK197" s="19"/>
      <c r="AL197" s="19"/>
      <c r="AM197" s="19"/>
      <c r="AN197" s="19" t="s">
        <v>103</v>
      </c>
      <c r="AO197" s="23">
        <v>45803.642361111109</v>
      </c>
      <c r="AP197" s="26">
        <f t="shared" si="7"/>
        <v>111</v>
      </c>
    </row>
    <row r="198" spans="1:42" ht="25.5" hidden="1" customHeight="1">
      <c r="A198" s="19" t="s">
        <v>285</v>
      </c>
      <c r="C198" s="19" t="s">
        <v>717</v>
      </c>
      <c r="D198" s="19" t="s">
        <v>45</v>
      </c>
      <c r="E198" s="19" t="s">
        <v>46</v>
      </c>
      <c r="F198" s="19" t="s">
        <v>1658</v>
      </c>
      <c r="G198" s="19" t="s">
        <v>48</v>
      </c>
      <c r="H198" s="19" t="s">
        <v>49</v>
      </c>
      <c r="I198" s="20">
        <v>45803.81527777778</v>
      </c>
      <c r="K198" s="19"/>
      <c r="L198" s="20">
        <v>45803.854166666657</v>
      </c>
      <c r="M198" s="19"/>
      <c r="N198" s="22">
        <f t="shared" si="6"/>
        <v>3.8888888877409045E-2</v>
      </c>
      <c r="O198" s="19" t="s">
        <v>50</v>
      </c>
      <c r="P198" s="19" t="s">
        <v>1659</v>
      </c>
      <c r="Q198" s="19" t="s">
        <v>1660</v>
      </c>
      <c r="R198" s="19"/>
      <c r="S198" s="19"/>
      <c r="U198" s="19"/>
      <c r="W198" s="19"/>
      <c r="X198" s="19" t="s">
        <v>721</v>
      </c>
      <c r="Y198" s="27" t="s">
        <v>133</v>
      </c>
      <c r="Z198" s="27" t="s">
        <v>123</v>
      </c>
      <c r="AA198" s="27" t="s">
        <v>1661</v>
      </c>
      <c r="AB198" s="27" t="s">
        <v>1662</v>
      </c>
      <c r="AC198" s="37" t="s">
        <v>1663</v>
      </c>
      <c r="AD198" s="38">
        <v>45803.853437500002</v>
      </c>
      <c r="AE198" s="36">
        <v>45778</v>
      </c>
      <c r="AF198" s="19" t="s">
        <v>78</v>
      </c>
      <c r="AG198" s="19" t="s">
        <v>78</v>
      </c>
      <c r="AH198" s="19" t="s">
        <v>78</v>
      </c>
      <c r="AI198" s="19" t="s">
        <v>63</v>
      </c>
      <c r="AJ198" s="19" t="s">
        <v>1664</v>
      </c>
      <c r="AK198" s="19"/>
      <c r="AL198" s="19"/>
      <c r="AM198" s="19"/>
      <c r="AN198" s="19" t="s">
        <v>65</v>
      </c>
      <c r="AO198" s="23">
        <v>45803.854166666657</v>
      </c>
      <c r="AP198" s="26">
        <f t="shared" si="7"/>
        <v>56</v>
      </c>
    </row>
    <row r="199" spans="1:42" ht="25.5" hidden="1" customHeight="1">
      <c r="A199" s="19" t="s">
        <v>42</v>
      </c>
      <c r="B199" s="19" t="s">
        <v>242</v>
      </c>
      <c r="C199" s="19" t="s">
        <v>1050</v>
      </c>
      <c r="D199" s="19" t="s">
        <v>45</v>
      </c>
      <c r="E199" s="19" t="s">
        <v>46</v>
      </c>
      <c r="F199" s="19" t="s">
        <v>1665</v>
      </c>
      <c r="G199" s="19" t="s">
        <v>48</v>
      </c>
      <c r="H199" s="19" t="s">
        <v>49</v>
      </c>
      <c r="I199" s="20">
        <v>45804.466666666667</v>
      </c>
      <c r="K199" s="19"/>
      <c r="L199" s="20">
        <v>45804.715277777781</v>
      </c>
      <c r="M199" s="19"/>
      <c r="N199" s="22">
        <f t="shared" si="6"/>
        <v>0.24861111111385981</v>
      </c>
      <c r="O199" s="19" t="s">
        <v>50</v>
      </c>
      <c r="P199" s="19" t="s">
        <v>1666</v>
      </c>
      <c r="Q199" s="19" t="s">
        <v>1667</v>
      </c>
      <c r="R199" s="19"/>
      <c r="S199" s="19"/>
      <c r="U199" s="19"/>
      <c r="W199" s="19"/>
      <c r="X199" s="19" t="s">
        <v>122</v>
      </c>
      <c r="Y199" s="27" t="s">
        <v>147</v>
      </c>
      <c r="Z199" s="27" t="s">
        <v>78</v>
      </c>
      <c r="AA199" s="27" t="s">
        <v>78</v>
      </c>
      <c r="AB199" s="27" t="s">
        <v>78</v>
      </c>
      <c r="AC199" s="37" t="s">
        <v>78</v>
      </c>
      <c r="AD199" s="38" t="s">
        <v>78</v>
      </c>
      <c r="AE199" s="36">
        <v>45778</v>
      </c>
      <c r="AF199" s="19" t="s">
        <v>89</v>
      </c>
      <c r="AG199" s="19" t="s">
        <v>90</v>
      </c>
      <c r="AH199" s="19" t="s">
        <v>62</v>
      </c>
      <c r="AI199" s="19" t="s">
        <v>63</v>
      </c>
      <c r="AJ199" s="19" t="s">
        <v>1668</v>
      </c>
      <c r="AK199" s="19"/>
      <c r="AL199" s="19"/>
      <c r="AM199" s="19"/>
      <c r="AN199" s="19" t="s">
        <v>65</v>
      </c>
      <c r="AO199" s="23">
        <v>45804.466666666667</v>
      </c>
      <c r="AP199" s="26">
        <f t="shared" si="7"/>
        <v>358</v>
      </c>
    </row>
    <row r="200" spans="1:42" ht="25.5" hidden="1" customHeight="1">
      <c r="A200" s="19" t="s">
        <v>42</v>
      </c>
      <c r="B200" s="19" t="s">
        <v>1455</v>
      </c>
      <c r="C200" s="19" t="s">
        <v>129</v>
      </c>
      <c r="D200" s="19" t="s">
        <v>45</v>
      </c>
      <c r="E200" s="19" t="s">
        <v>46</v>
      </c>
      <c r="F200" s="19" t="s">
        <v>1669</v>
      </c>
      <c r="G200" s="19" t="s">
        <v>48</v>
      </c>
      <c r="H200" s="19" t="s">
        <v>49</v>
      </c>
      <c r="I200" s="20">
        <v>45804.550694444442</v>
      </c>
      <c r="K200" s="19"/>
      <c r="L200" s="20">
        <v>45804.560416666667</v>
      </c>
      <c r="M200" s="19"/>
      <c r="N200" s="22">
        <f t="shared" si="6"/>
        <v>9.7222222248092294E-3</v>
      </c>
      <c r="O200" s="19" t="s">
        <v>50</v>
      </c>
      <c r="P200" s="19" t="s">
        <v>1670</v>
      </c>
      <c r="Q200" s="19" t="s">
        <v>1671</v>
      </c>
      <c r="R200" s="19"/>
      <c r="S200" s="19"/>
      <c r="U200" s="19"/>
      <c r="W200" s="19"/>
      <c r="X200" s="19" t="s">
        <v>109</v>
      </c>
      <c r="Y200" s="27" t="s">
        <v>133</v>
      </c>
      <c r="Z200" s="27" t="s">
        <v>1672</v>
      </c>
      <c r="AA200" s="27" t="s">
        <v>1673</v>
      </c>
      <c r="AB200" s="27" t="s">
        <v>1674</v>
      </c>
      <c r="AC200" s="37" t="s">
        <v>1675</v>
      </c>
      <c r="AD200" s="38" t="s">
        <v>1676</v>
      </c>
      <c r="AE200" s="36">
        <v>45778</v>
      </c>
      <c r="AF200" s="19" t="s">
        <v>89</v>
      </c>
      <c r="AG200" s="19" t="s">
        <v>90</v>
      </c>
      <c r="AH200" s="19" t="s">
        <v>62</v>
      </c>
      <c r="AI200" s="19" t="s">
        <v>63</v>
      </c>
      <c r="AJ200" s="19" t="s">
        <v>1677</v>
      </c>
      <c r="AK200" s="19"/>
      <c r="AL200" s="19"/>
      <c r="AM200" s="19"/>
      <c r="AN200" s="19" t="s">
        <v>103</v>
      </c>
      <c r="AO200" s="23">
        <v>45803.550694444442</v>
      </c>
      <c r="AP200" s="26">
        <f t="shared" si="7"/>
        <v>14</v>
      </c>
    </row>
    <row r="201" spans="1:42" ht="25.5" hidden="1" customHeight="1">
      <c r="A201" s="19" t="s">
        <v>42</v>
      </c>
      <c r="B201" s="19" t="s">
        <v>309</v>
      </c>
      <c r="C201" s="19" t="s">
        <v>1678</v>
      </c>
      <c r="D201" s="19" t="s">
        <v>45</v>
      </c>
      <c r="E201" s="19" t="s">
        <v>46</v>
      </c>
      <c r="F201" s="19" t="s">
        <v>1679</v>
      </c>
      <c r="G201" s="19" t="s">
        <v>48</v>
      </c>
      <c r="H201" s="19" t="s">
        <v>49</v>
      </c>
      <c r="I201" s="20">
        <v>45804.729166666657</v>
      </c>
      <c r="K201" s="19"/>
      <c r="L201" s="20">
        <v>45804.777777777781</v>
      </c>
      <c r="M201" s="19"/>
      <c r="N201" s="22">
        <f t="shared" si="6"/>
        <v>4.8611111124046147E-2</v>
      </c>
      <c r="O201" s="19" t="s">
        <v>63</v>
      </c>
      <c r="P201" s="19" t="s">
        <v>1680</v>
      </c>
      <c r="Q201" s="19" t="s">
        <v>1681</v>
      </c>
      <c r="R201" s="19"/>
      <c r="S201" s="19"/>
      <c r="U201" s="19"/>
      <c r="W201" s="19"/>
      <c r="X201" s="19" t="s">
        <v>314</v>
      </c>
      <c r="Y201" s="27" t="s">
        <v>54</v>
      </c>
      <c r="Z201" s="27" t="s">
        <v>123</v>
      </c>
      <c r="AA201" s="27" t="s">
        <v>1682</v>
      </c>
      <c r="AB201" s="27" t="s">
        <v>1683</v>
      </c>
      <c r="AC201" s="37">
        <v>45804.716863425929</v>
      </c>
      <c r="AD201" s="38">
        <v>45804.744456018518</v>
      </c>
      <c r="AE201" s="36">
        <v>45778</v>
      </c>
      <c r="AF201" s="19" t="s">
        <v>60</v>
      </c>
      <c r="AG201" s="19" t="s">
        <v>78</v>
      </c>
      <c r="AH201" s="19" t="s">
        <v>78</v>
      </c>
      <c r="AI201" s="19" t="s">
        <v>63</v>
      </c>
      <c r="AJ201" s="19" t="s">
        <v>1684</v>
      </c>
      <c r="AK201" s="19"/>
      <c r="AL201" s="19"/>
      <c r="AM201" s="19"/>
      <c r="AN201" s="19" t="s">
        <v>65</v>
      </c>
      <c r="AO201" s="23">
        <v>45803.729166666657</v>
      </c>
      <c r="AP201" s="26">
        <f t="shared" si="7"/>
        <v>70</v>
      </c>
    </row>
    <row r="202" spans="1:42" ht="25.5" hidden="1" customHeight="1">
      <c r="A202" s="19" t="s">
        <v>42</v>
      </c>
      <c r="B202" s="19" t="s">
        <v>1685</v>
      </c>
      <c r="C202" s="19" t="s">
        <v>1686</v>
      </c>
      <c r="D202" s="19" t="s">
        <v>45</v>
      </c>
      <c r="E202" s="19" t="s">
        <v>46</v>
      </c>
      <c r="F202" s="19" t="s">
        <v>1687</v>
      </c>
      <c r="G202" s="19" t="s">
        <v>48</v>
      </c>
      <c r="H202" s="19" t="s">
        <v>49</v>
      </c>
      <c r="I202" s="20">
        <v>45805.09375</v>
      </c>
      <c r="K202" s="19"/>
      <c r="L202" s="20">
        <v>45805.215277777781</v>
      </c>
      <c r="M202" s="19"/>
      <c r="N202" s="22">
        <f t="shared" si="6"/>
        <v>0.12152777778101154</v>
      </c>
      <c r="O202" s="19" t="s">
        <v>50</v>
      </c>
      <c r="P202" s="19" t="s">
        <v>1688</v>
      </c>
      <c r="Q202" s="19" t="s">
        <v>1689</v>
      </c>
      <c r="R202" s="19"/>
      <c r="S202" s="19"/>
      <c r="U202" s="19"/>
      <c r="W202" s="19"/>
      <c r="X202" s="19" t="s">
        <v>1690</v>
      </c>
      <c r="Y202" s="27" t="s">
        <v>133</v>
      </c>
      <c r="Z202" s="27" t="s">
        <v>1691</v>
      </c>
      <c r="AA202" s="27" t="s">
        <v>1692</v>
      </c>
      <c r="AB202" s="27" t="s">
        <v>1693</v>
      </c>
      <c r="AC202" s="37" t="s">
        <v>1694</v>
      </c>
      <c r="AD202" s="38" t="s">
        <v>1695</v>
      </c>
      <c r="AE202" s="36">
        <v>45778</v>
      </c>
      <c r="AF202" s="19" t="s">
        <v>89</v>
      </c>
      <c r="AG202" s="19" t="s">
        <v>90</v>
      </c>
      <c r="AH202" s="19" t="s">
        <v>62</v>
      </c>
      <c r="AI202" s="19" t="s">
        <v>63</v>
      </c>
      <c r="AJ202" s="19" t="s">
        <v>503</v>
      </c>
      <c r="AK202" s="19"/>
      <c r="AL202" s="19"/>
      <c r="AM202" s="19"/>
      <c r="AN202" s="19" t="s">
        <v>65</v>
      </c>
      <c r="AO202" s="23">
        <v>45805.114583333343</v>
      </c>
      <c r="AP202" s="26">
        <f t="shared" si="7"/>
        <v>175</v>
      </c>
    </row>
    <row r="203" spans="1:42" ht="25.5" hidden="1" customHeight="1">
      <c r="A203" s="19" t="s">
        <v>285</v>
      </c>
      <c r="B203" s="19" t="s">
        <v>1696</v>
      </c>
      <c r="C203" s="19" t="s">
        <v>1697</v>
      </c>
      <c r="D203" s="19" t="s">
        <v>45</v>
      </c>
      <c r="E203" s="19" t="s">
        <v>967</v>
      </c>
      <c r="F203" s="19" t="s">
        <v>1698</v>
      </c>
      <c r="G203" s="19" t="s">
        <v>48</v>
      </c>
      <c r="H203" s="19" t="s">
        <v>49</v>
      </c>
      <c r="I203" s="20">
        <v>45805.320138888892</v>
      </c>
      <c r="K203" s="19"/>
      <c r="L203" s="20">
        <v>45805.385416666657</v>
      </c>
      <c r="M203" s="19"/>
      <c r="N203" s="22">
        <f t="shared" si="6"/>
        <v>6.527777776500443E-2</v>
      </c>
      <c r="O203" s="19" t="s">
        <v>50</v>
      </c>
      <c r="P203" s="19" t="s">
        <v>1699</v>
      </c>
      <c r="Q203" s="19" t="s">
        <v>1700</v>
      </c>
      <c r="R203" s="19"/>
      <c r="S203" s="19"/>
      <c r="U203" s="19"/>
      <c r="W203" s="19"/>
      <c r="X203" s="19" t="s">
        <v>269</v>
      </c>
      <c r="Y203" s="27" t="s">
        <v>133</v>
      </c>
      <c r="Z203" s="27" t="s">
        <v>1701</v>
      </c>
      <c r="AA203" s="27" t="s">
        <v>1702</v>
      </c>
      <c r="AB203" s="27" t="s">
        <v>1703</v>
      </c>
      <c r="AC203" s="37" t="s">
        <v>1704</v>
      </c>
      <c r="AD203" s="38" t="s">
        <v>1705</v>
      </c>
      <c r="AE203" s="36">
        <v>45778</v>
      </c>
      <c r="AF203" s="19" t="s">
        <v>89</v>
      </c>
      <c r="AG203" s="19" t="s">
        <v>90</v>
      </c>
      <c r="AH203" s="19" t="s">
        <v>62</v>
      </c>
      <c r="AI203" s="19" t="s">
        <v>63</v>
      </c>
      <c r="AJ203" s="19" t="s">
        <v>1706</v>
      </c>
      <c r="AK203" s="19"/>
      <c r="AL203" s="19"/>
      <c r="AM203" s="19"/>
      <c r="AN203" s="19" t="s">
        <v>65</v>
      </c>
      <c r="AO203" s="23">
        <v>45805.320138888892</v>
      </c>
      <c r="AP203" s="26">
        <f t="shared" si="7"/>
        <v>94</v>
      </c>
    </row>
    <row r="204" spans="1:42" ht="25.5" hidden="1" customHeight="1">
      <c r="A204" s="19" t="s">
        <v>116</v>
      </c>
      <c r="B204" s="19" t="s">
        <v>599</v>
      </c>
      <c r="C204" s="19" t="s">
        <v>892</v>
      </c>
      <c r="D204" s="19" t="s">
        <v>45</v>
      </c>
      <c r="E204" s="19" t="s">
        <v>46</v>
      </c>
      <c r="F204" s="19" t="s">
        <v>1707</v>
      </c>
      <c r="G204" s="19" t="s">
        <v>48</v>
      </c>
      <c r="H204" s="19" t="s">
        <v>49</v>
      </c>
      <c r="I204" s="20">
        <v>45805.34375</v>
      </c>
      <c r="K204" s="19"/>
      <c r="L204" s="20">
        <v>45805.706250000003</v>
      </c>
      <c r="M204" s="19"/>
      <c r="N204" s="22">
        <f t="shared" si="6"/>
        <v>0.36250000000291038</v>
      </c>
      <c r="O204" s="19" t="s">
        <v>50</v>
      </c>
      <c r="P204" s="19" t="s">
        <v>1708</v>
      </c>
      <c r="Q204" s="19" t="s">
        <v>1709</v>
      </c>
      <c r="R204" s="19"/>
      <c r="S204" s="19"/>
      <c r="U204" s="19"/>
      <c r="W204" s="19"/>
      <c r="X204" s="19" t="s">
        <v>122</v>
      </c>
      <c r="Y204" s="27" t="s">
        <v>147</v>
      </c>
      <c r="Z204" s="27" t="s">
        <v>78</v>
      </c>
      <c r="AA204" s="27" t="s">
        <v>78</v>
      </c>
      <c r="AB204" s="27" t="s">
        <v>78</v>
      </c>
      <c r="AC204" s="37" t="s">
        <v>78</v>
      </c>
      <c r="AD204" s="38" t="s">
        <v>78</v>
      </c>
      <c r="AE204" s="36">
        <v>45778</v>
      </c>
      <c r="AF204" s="19" t="s">
        <v>89</v>
      </c>
      <c r="AG204" s="19" t="s">
        <v>90</v>
      </c>
      <c r="AH204" s="19" t="s">
        <v>62</v>
      </c>
      <c r="AI204" s="19" t="s">
        <v>63</v>
      </c>
      <c r="AJ204" s="19" t="s">
        <v>1710</v>
      </c>
      <c r="AK204" s="19"/>
      <c r="AL204" s="19"/>
      <c r="AM204" s="19"/>
      <c r="AN204" s="19" t="s">
        <v>65</v>
      </c>
      <c r="AO204" s="23">
        <v>45805.34375</v>
      </c>
      <c r="AP204" s="26">
        <f t="shared" si="7"/>
        <v>522</v>
      </c>
    </row>
    <row r="205" spans="1:42" ht="25.5" hidden="1" customHeight="1">
      <c r="A205" s="19" t="s">
        <v>285</v>
      </c>
      <c r="B205" s="19" t="s">
        <v>1514</v>
      </c>
      <c r="C205" s="19" t="s">
        <v>336</v>
      </c>
      <c r="D205" s="19" t="s">
        <v>45</v>
      </c>
      <c r="E205" s="19" t="s">
        <v>46</v>
      </c>
      <c r="F205" s="19" t="s">
        <v>1711</v>
      </c>
      <c r="G205" s="19" t="s">
        <v>48</v>
      </c>
      <c r="H205" s="19" t="s">
        <v>49</v>
      </c>
      <c r="I205" s="20">
        <v>45805.399305555547</v>
      </c>
      <c r="K205" s="19"/>
      <c r="L205" s="20">
        <v>45805.440972222219</v>
      </c>
      <c r="M205" s="19"/>
      <c r="N205" s="22">
        <f t="shared" si="6"/>
        <v>4.1666666671517305E-2</v>
      </c>
      <c r="O205" s="19" t="s">
        <v>63</v>
      </c>
      <c r="P205" s="19" t="s">
        <v>1712</v>
      </c>
      <c r="Q205" s="19" t="s">
        <v>1713</v>
      </c>
      <c r="R205" s="19"/>
      <c r="S205" s="19"/>
      <c r="U205" s="19"/>
      <c r="W205" s="19"/>
      <c r="X205" s="19" t="s">
        <v>314</v>
      </c>
      <c r="Y205" s="27" t="s">
        <v>54</v>
      </c>
      <c r="Z205" s="27" t="s">
        <v>196</v>
      </c>
      <c r="AA205" s="27" t="s">
        <v>1714</v>
      </c>
      <c r="AB205" s="27" t="s">
        <v>1715</v>
      </c>
      <c r="AC205" s="37" t="s">
        <v>1716</v>
      </c>
      <c r="AD205" s="38" t="s">
        <v>1717</v>
      </c>
      <c r="AE205" s="36">
        <v>45778</v>
      </c>
      <c r="AF205" s="19" t="s">
        <v>89</v>
      </c>
      <c r="AG205" s="19" t="s">
        <v>90</v>
      </c>
      <c r="AH205" s="19" t="s">
        <v>62</v>
      </c>
      <c r="AI205" s="19" t="s">
        <v>63</v>
      </c>
      <c r="AJ205" s="19" t="s">
        <v>1718</v>
      </c>
      <c r="AK205" s="19"/>
      <c r="AL205" s="19"/>
      <c r="AM205" s="19"/>
      <c r="AN205" s="19" t="s">
        <v>103</v>
      </c>
      <c r="AO205" s="23">
        <v>45805.399305555547</v>
      </c>
      <c r="AP205" s="26">
        <f t="shared" si="7"/>
        <v>60</v>
      </c>
    </row>
    <row r="206" spans="1:42" ht="25.5" hidden="1" customHeight="1">
      <c r="A206" s="19" t="s">
        <v>42</v>
      </c>
      <c r="B206" s="19" t="s">
        <v>1719</v>
      </c>
      <c r="C206" s="19" t="s">
        <v>1720</v>
      </c>
      <c r="D206" s="19" t="s">
        <v>45</v>
      </c>
      <c r="E206" s="19" t="s">
        <v>46</v>
      </c>
      <c r="F206" s="19" t="s">
        <v>1721</v>
      </c>
      <c r="G206" s="19" t="s">
        <v>48</v>
      </c>
      <c r="H206" s="19" t="s">
        <v>49</v>
      </c>
      <c r="I206" s="20">
        <v>45805.586805555547</v>
      </c>
      <c r="K206" s="19"/>
      <c r="L206" s="20">
        <v>45805.601388888892</v>
      </c>
      <c r="M206" s="19"/>
      <c r="N206" s="22">
        <f t="shared" si="6"/>
        <v>1.4583333344489802E-2</v>
      </c>
      <c r="O206" s="19" t="s">
        <v>50</v>
      </c>
      <c r="P206" s="19" t="s">
        <v>1722</v>
      </c>
      <c r="Q206" s="19" t="s">
        <v>1723</v>
      </c>
      <c r="R206" s="19"/>
      <c r="S206" s="19"/>
      <c r="U206" s="19"/>
      <c r="W206" s="19"/>
      <c r="X206" s="19" t="s">
        <v>1724</v>
      </c>
      <c r="Y206" s="27" t="s">
        <v>54</v>
      </c>
      <c r="Z206" s="27" t="s">
        <v>361</v>
      </c>
      <c r="AA206" s="27" t="s">
        <v>1725</v>
      </c>
      <c r="AB206" s="27" t="s">
        <v>1726</v>
      </c>
      <c r="AC206" s="37" t="s">
        <v>1727</v>
      </c>
      <c r="AD206" s="38" t="s">
        <v>1728</v>
      </c>
      <c r="AE206" s="36">
        <v>45778</v>
      </c>
      <c r="AF206" s="19" t="s">
        <v>89</v>
      </c>
      <c r="AG206" s="19" t="s">
        <v>90</v>
      </c>
      <c r="AH206" s="19" t="s">
        <v>62</v>
      </c>
      <c r="AI206" s="19" t="s">
        <v>63</v>
      </c>
      <c r="AJ206" s="19" t="s">
        <v>1729</v>
      </c>
      <c r="AK206" s="19"/>
      <c r="AL206" s="19"/>
      <c r="AM206" s="19"/>
      <c r="AN206" s="19" t="s">
        <v>103</v>
      </c>
      <c r="AO206" s="23">
        <v>45805.586805555547</v>
      </c>
      <c r="AP206" s="26">
        <f t="shared" si="7"/>
        <v>21</v>
      </c>
    </row>
    <row r="207" spans="1:42" ht="25.5" hidden="1" customHeight="1">
      <c r="A207" s="19" t="s">
        <v>42</v>
      </c>
      <c r="C207" s="19" t="s">
        <v>430</v>
      </c>
      <c r="D207" s="19" t="s">
        <v>45</v>
      </c>
      <c r="E207" s="19" t="s">
        <v>46</v>
      </c>
      <c r="F207" s="19" t="s">
        <v>1730</v>
      </c>
      <c r="G207" s="19" t="s">
        <v>48</v>
      </c>
      <c r="H207" s="19" t="s">
        <v>49</v>
      </c>
      <c r="I207" s="20">
        <v>45805.833333333343</v>
      </c>
      <c r="K207" s="19"/>
      <c r="L207" s="20">
        <v>45805.909722222219</v>
      </c>
      <c r="M207" s="19"/>
      <c r="N207" s="22">
        <f t="shared" si="6"/>
        <v>7.6388888875953853E-2</v>
      </c>
      <c r="O207" s="19" t="s">
        <v>50</v>
      </c>
      <c r="P207" s="19" t="s">
        <v>1731</v>
      </c>
      <c r="Q207" s="19" t="s">
        <v>1732</v>
      </c>
      <c r="R207" s="19"/>
      <c r="S207" s="19"/>
      <c r="U207" s="19"/>
      <c r="W207" s="19"/>
      <c r="X207" s="19" t="s">
        <v>434</v>
      </c>
      <c r="Y207" s="27" t="s">
        <v>147</v>
      </c>
      <c r="Z207" s="27" t="s">
        <v>78</v>
      </c>
      <c r="AA207" s="27" t="s">
        <v>78</v>
      </c>
      <c r="AB207" s="27" t="s">
        <v>78</v>
      </c>
      <c r="AC207" s="37" t="s">
        <v>78</v>
      </c>
      <c r="AD207" s="38" t="s">
        <v>78</v>
      </c>
      <c r="AE207" s="36">
        <v>45778</v>
      </c>
      <c r="AF207" s="19" t="s">
        <v>89</v>
      </c>
      <c r="AG207" s="19" t="s">
        <v>90</v>
      </c>
      <c r="AH207" s="19" t="s">
        <v>62</v>
      </c>
      <c r="AI207" s="19" t="s">
        <v>63</v>
      </c>
      <c r="AJ207" s="19" t="s">
        <v>1733</v>
      </c>
      <c r="AK207" s="19"/>
      <c r="AL207" s="19"/>
      <c r="AM207" s="19"/>
      <c r="AN207" s="19" t="s">
        <v>65</v>
      </c>
      <c r="AO207" s="23">
        <v>45805.894444444442</v>
      </c>
      <c r="AP207" s="26">
        <f t="shared" si="7"/>
        <v>110</v>
      </c>
    </row>
    <row r="208" spans="1:42" ht="25.5" hidden="1" customHeight="1">
      <c r="A208" s="19" t="s">
        <v>285</v>
      </c>
      <c r="B208" s="19" t="s">
        <v>599</v>
      </c>
      <c r="C208" s="19" t="s">
        <v>1734</v>
      </c>
      <c r="D208" s="19" t="s">
        <v>45</v>
      </c>
      <c r="E208" s="19" t="s">
        <v>46</v>
      </c>
      <c r="F208" s="19" t="s">
        <v>1735</v>
      </c>
      <c r="G208" s="19" t="s">
        <v>48</v>
      </c>
      <c r="H208" s="19" t="s">
        <v>49</v>
      </c>
      <c r="I208" s="20">
        <v>45806.041666666657</v>
      </c>
      <c r="K208" s="19"/>
      <c r="L208" s="20">
        <v>45806.201388888891</v>
      </c>
      <c r="M208" s="19"/>
      <c r="N208" s="22">
        <f t="shared" si="6"/>
        <v>0.15972222223354038</v>
      </c>
      <c r="O208" s="19" t="s">
        <v>50</v>
      </c>
      <c r="P208" s="19" t="s">
        <v>1736</v>
      </c>
      <c r="Q208" s="19" t="s">
        <v>1737</v>
      </c>
      <c r="R208" s="19"/>
      <c r="S208" s="19"/>
      <c r="U208" s="19"/>
      <c r="W208" s="19"/>
      <c r="X208" s="19" t="s">
        <v>122</v>
      </c>
      <c r="Y208" s="27" t="s">
        <v>54</v>
      </c>
      <c r="Z208" s="27" t="s">
        <v>123</v>
      </c>
      <c r="AA208" s="27" t="s">
        <v>1738</v>
      </c>
      <c r="AB208" s="27" t="s">
        <v>1739</v>
      </c>
      <c r="AC208" s="37" t="s">
        <v>1740</v>
      </c>
      <c r="AD208" s="38" t="s">
        <v>1741</v>
      </c>
      <c r="AE208" s="36">
        <v>45778</v>
      </c>
      <c r="AF208" s="19" t="s">
        <v>89</v>
      </c>
      <c r="AG208" s="19" t="s">
        <v>126</v>
      </c>
      <c r="AH208" s="19" t="s">
        <v>62</v>
      </c>
      <c r="AI208" s="19" t="s">
        <v>63</v>
      </c>
      <c r="AJ208" s="19" t="s">
        <v>1742</v>
      </c>
      <c r="AK208" s="19"/>
      <c r="AL208" s="19"/>
      <c r="AM208" s="19"/>
      <c r="AN208" s="19" t="s">
        <v>65</v>
      </c>
      <c r="AO208" s="23">
        <v>45806.095833333333</v>
      </c>
      <c r="AP208" s="26">
        <f t="shared" si="7"/>
        <v>230</v>
      </c>
    </row>
    <row r="209" spans="1:42" ht="25.5" hidden="1" customHeight="1">
      <c r="A209" s="19" t="s">
        <v>42</v>
      </c>
      <c r="C209" s="19" t="s">
        <v>1743</v>
      </c>
      <c r="D209" s="19" t="s">
        <v>45</v>
      </c>
      <c r="E209" s="19" t="s">
        <v>46</v>
      </c>
      <c r="F209" s="19" t="s">
        <v>1744</v>
      </c>
      <c r="G209" s="19" t="s">
        <v>48</v>
      </c>
      <c r="H209" s="19" t="s">
        <v>49</v>
      </c>
      <c r="I209" s="20">
        <v>45807.183333333327</v>
      </c>
      <c r="K209" s="19"/>
      <c r="L209" s="20">
        <v>45807.25</v>
      </c>
      <c r="M209" s="19"/>
      <c r="N209" s="22">
        <f t="shared" si="6"/>
        <v>6.6666666672972497E-2</v>
      </c>
      <c r="O209" s="19" t="s">
        <v>63</v>
      </c>
      <c r="P209" s="19" t="s">
        <v>1745</v>
      </c>
      <c r="Q209" s="19" t="s">
        <v>1746</v>
      </c>
      <c r="R209" s="19"/>
      <c r="S209" s="19"/>
      <c r="U209" s="19"/>
      <c r="W209" s="19"/>
      <c r="X209" s="19" t="s">
        <v>1747</v>
      </c>
      <c r="Y209" s="27" t="s">
        <v>147</v>
      </c>
      <c r="Z209" s="27" t="s">
        <v>78</v>
      </c>
      <c r="AA209" s="27" t="s">
        <v>78</v>
      </c>
      <c r="AB209" s="27" t="s">
        <v>78</v>
      </c>
      <c r="AC209" s="37" t="s">
        <v>78</v>
      </c>
      <c r="AD209" s="38" t="s">
        <v>78</v>
      </c>
      <c r="AE209" s="36">
        <v>45778</v>
      </c>
      <c r="AF209" s="19" t="s">
        <v>89</v>
      </c>
      <c r="AG209" s="19" t="s">
        <v>90</v>
      </c>
      <c r="AH209" s="19" t="s">
        <v>62</v>
      </c>
      <c r="AI209" s="19" t="s">
        <v>63</v>
      </c>
      <c r="AJ209" s="19" t="s">
        <v>1748</v>
      </c>
      <c r="AK209" s="19"/>
      <c r="AL209" s="19"/>
      <c r="AM209" s="19"/>
      <c r="AN209" s="19" t="s">
        <v>65</v>
      </c>
      <c r="AO209" s="23">
        <v>45807.183333333327</v>
      </c>
      <c r="AP209" s="26">
        <f t="shared" si="7"/>
        <v>96</v>
      </c>
    </row>
    <row r="210" spans="1:42" ht="25.5" hidden="1" customHeight="1">
      <c r="A210" s="19" t="s">
        <v>42</v>
      </c>
      <c r="C210" s="19" t="s">
        <v>1749</v>
      </c>
      <c r="D210" s="19" t="s">
        <v>45</v>
      </c>
      <c r="E210" s="19" t="s">
        <v>46</v>
      </c>
      <c r="F210" s="19" t="s">
        <v>1750</v>
      </c>
      <c r="G210" s="19" t="s">
        <v>48</v>
      </c>
      <c r="H210" s="19" t="s">
        <v>49</v>
      </c>
      <c r="I210" s="20">
        <v>45807.447916666657</v>
      </c>
      <c r="K210" s="19"/>
      <c r="L210" s="20">
        <v>45807.486111111109</v>
      </c>
      <c r="M210" s="19"/>
      <c r="N210" s="22">
        <f t="shared" si="6"/>
        <v>3.8194444452528842E-2</v>
      </c>
      <c r="O210" s="19" t="s">
        <v>63</v>
      </c>
      <c r="P210" s="19" t="s">
        <v>1751</v>
      </c>
      <c r="Q210" s="19" t="s">
        <v>1752</v>
      </c>
      <c r="R210" s="19"/>
      <c r="S210" s="19"/>
      <c r="U210" s="19"/>
      <c r="W210" s="19"/>
      <c r="X210" s="19" t="s">
        <v>72</v>
      </c>
      <c r="Y210" s="27" t="s">
        <v>54</v>
      </c>
      <c r="Z210" s="27" t="s">
        <v>123</v>
      </c>
      <c r="AA210" s="27" t="s">
        <v>1753</v>
      </c>
      <c r="AB210" s="27" t="s">
        <v>1754</v>
      </c>
      <c r="AC210" s="37">
        <v>45807.442361111112</v>
      </c>
      <c r="AD210" s="38">
        <v>45807.46597222222</v>
      </c>
      <c r="AE210" s="36">
        <v>45778</v>
      </c>
      <c r="AF210" s="19" t="s">
        <v>89</v>
      </c>
      <c r="AG210" s="19" t="s">
        <v>90</v>
      </c>
      <c r="AH210" s="19" t="s">
        <v>62</v>
      </c>
      <c r="AI210" s="19" t="s">
        <v>63</v>
      </c>
      <c r="AJ210" s="19" t="s">
        <v>1755</v>
      </c>
      <c r="AK210" s="19"/>
      <c r="AL210" s="19"/>
      <c r="AM210" s="19"/>
      <c r="AN210" s="19" t="s">
        <v>65</v>
      </c>
      <c r="AO210" s="23">
        <v>45807.447916666657</v>
      </c>
      <c r="AP210" s="26">
        <f t="shared" si="7"/>
        <v>55</v>
      </c>
    </row>
    <row r="211" spans="1:42" ht="25.5" hidden="1" customHeight="1">
      <c r="A211" s="19" t="s">
        <v>42</v>
      </c>
      <c r="B211" s="19" t="s">
        <v>1756</v>
      </c>
      <c r="C211" s="19" t="s">
        <v>1757</v>
      </c>
      <c r="D211" s="19" t="s">
        <v>45</v>
      </c>
      <c r="E211" s="19" t="s">
        <v>46</v>
      </c>
      <c r="F211" s="19" t="s">
        <v>1758</v>
      </c>
      <c r="G211" s="19" t="s">
        <v>48</v>
      </c>
      <c r="H211" s="19" t="s">
        <v>49</v>
      </c>
      <c r="I211" s="20">
        <v>45807.491666666669</v>
      </c>
      <c r="K211" s="19"/>
      <c r="L211" s="20">
        <v>45807.525000000001</v>
      </c>
      <c r="M211" s="19"/>
      <c r="N211" s="22">
        <f t="shared" si="6"/>
        <v>3.3333333332848269E-2</v>
      </c>
      <c r="O211" s="19" t="s">
        <v>50</v>
      </c>
      <c r="P211" s="19" t="s">
        <v>1759</v>
      </c>
      <c r="Q211" s="19" t="s">
        <v>1760</v>
      </c>
      <c r="R211" s="19"/>
      <c r="S211" s="19"/>
      <c r="U211" s="19"/>
      <c r="W211" s="19"/>
      <c r="X211" s="19" t="s">
        <v>1761</v>
      </c>
      <c r="Y211" s="27" t="s">
        <v>133</v>
      </c>
      <c r="Z211" s="27" t="s">
        <v>348</v>
      </c>
      <c r="AA211" s="27" t="s">
        <v>1762</v>
      </c>
      <c r="AB211" s="27" t="s">
        <v>1763</v>
      </c>
      <c r="AC211" s="37" t="s">
        <v>1764</v>
      </c>
      <c r="AD211" s="38" t="s">
        <v>1765</v>
      </c>
      <c r="AE211" s="36">
        <v>45778</v>
      </c>
      <c r="AF211" s="19" t="s">
        <v>89</v>
      </c>
      <c r="AG211" s="19" t="s">
        <v>90</v>
      </c>
      <c r="AH211" s="19" t="s">
        <v>62</v>
      </c>
      <c r="AI211" s="19" t="s">
        <v>63</v>
      </c>
      <c r="AJ211" s="19" t="s">
        <v>1766</v>
      </c>
      <c r="AK211" s="19"/>
      <c r="AL211" s="19"/>
      <c r="AM211" s="19"/>
      <c r="AN211" s="19" t="s">
        <v>65</v>
      </c>
      <c r="AO211" s="23">
        <v>45807.491666666669</v>
      </c>
      <c r="AP211" s="26">
        <f t="shared" si="7"/>
        <v>48</v>
      </c>
    </row>
    <row r="212" spans="1:42" ht="25.5" hidden="1" customHeight="1">
      <c r="A212" s="19" t="s">
        <v>285</v>
      </c>
      <c r="B212" s="19" t="s">
        <v>43</v>
      </c>
      <c r="C212" s="19" t="s">
        <v>1767</v>
      </c>
      <c r="D212" s="19" t="s">
        <v>45</v>
      </c>
      <c r="E212" s="19" t="s">
        <v>46</v>
      </c>
      <c r="F212" s="19" t="s">
        <v>1768</v>
      </c>
      <c r="G212" s="19" t="s">
        <v>48</v>
      </c>
      <c r="H212" s="19" t="s">
        <v>49</v>
      </c>
      <c r="I212" s="20">
        <v>45807.637499999997</v>
      </c>
      <c r="K212" s="19"/>
      <c r="L212" s="20">
        <v>45807.658333333333</v>
      </c>
      <c r="M212" s="19"/>
      <c r="N212" s="22">
        <f t="shared" si="6"/>
        <v>2.0833333335758653E-2</v>
      </c>
      <c r="O212" s="19" t="s">
        <v>50</v>
      </c>
      <c r="P212" s="19" t="s">
        <v>1769</v>
      </c>
      <c r="Q212" s="19" t="s">
        <v>1770</v>
      </c>
      <c r="R212" s="19"/>
      <c r="S212" s="19"/>
      <c r="U212" s="19"/>
      <c r="W212" s="19"/>
      <c r="X212" s="19" t="s">
        <v>620</v>
      </c>
      <c r="Y212" s="27" t="s">
        <v>54</v>
      </c>
      <c r="Z212" s="27" t="s">
        <v>915</v>
      </c>
      <c r="AA212" s="27" t="s">
        <v>1771</v>
      </c>
      <c r="AB212" s="27" t="s">
        <v>1772</v>
      </c>
      <c r="AC212" s="37" t="s">
        <v>1773</v>
      </c>
      <c r="AD212" s="38" t="s">
        <v>1774</v>
      </c>
      <c r="AE212" s="36">
        <v>45778</v>
      </c>
      <c r="AF212" s="19" t="s">
        <v>89</v>
      </c>
      <c r="AG212" s="19" t="s">
        <v>90</v>
      </c>
      <c r="AH212" s="19" t="s">
        <v>62</v>
      </c>
      <c r="AI212" s="19" t="s">
        <v>63</v>
      </c>
      <c r="AJ212" s="19" t="s">
        <v>1775</v>
      </c>
      <c r="AK212" s="19"/>
      <c r="AL212" s="19"/>
      <c r="AM212" s="19"/>
      <c r="AN212" s="19" t="s">
        <v>65</v>
      </c>
      <c r="AO212" s="23">
        <v>45807.637499999997</v>
      </c>
      <c r="AP212" s="26">
        <f t="shared" si="7"/>
        <v>30</v>
      </c>
    </row>
    <row r="213" spans="1:42" ht="25.5" hidden="1" customHeight="1">
      <c r="A213" s="19" t="s">
        <v>42</v>
      </c>
      <c r="B213" s="19" t="s">
        <v>186</v>
      </c>
      <c r="C213" s="19" t="s">
        <v>577</v>
      </c>
      <c r="D213" s="19" t="s">
        <v>45</v>
      </c>
      <c r="E213" s="19" t="s">
        <v>46</v>
      </c>
      <c r="F213" s="19" t="s">
        <v>1776</v>
      </c>
      <c r="G213" s="19" t="s">
        <v>48</v>
      </c>
      <c r="H213" s="19" t="s">
        <v>49</v>
      </c>
      <c r="I213" s="20">
        <v>45808.065972222219</v>
      </c>
      <c r="K213" s="19"/>
      <c r="L213" s="20">
        <v>45808.118055555547</v>
      </c>
      <c r="M213" s="19"/>
      <c r="N213" s="22">
        <f t="shared" si="6"/>
        <v>5.2083333328482695E-2</v>
      </c>
      <c r="O213" s="19" t="s">
        <v>63</v>
      </c>
      <c r="P213" s="19" t="s">
        <v>1777</v>
      </c>
      <c r="Q213" s="19" t="s">
        <v>1778</v>
      </c>
      <c r="R213" s="19"/>
      <c r="S213" s="19"/>
      <c r="U213" s="19"/>
      <c r="W213" s="19"/>
      <c r="X213" s="19" t="s">
        <v>191</v>
      </c>
      <c r="Y213" s="27" t="s">
        <v>147</v>
      </c>
      <c r="Z213" s="27" t="s">
        <v>78</v>
      </c>
      <c r="AA213" s="27" t="s">
        <v>78</v>
      </c>
      <c r="AB213" s="27" t="s">
        <v>78</v>
      </c>
      <c r="AC213" s="37" t="s">
        <v>78</v>
      </c>
      <c r="AD213" s="38" t="s">
        <v>78</v>
      </c>
      <c r="AE213" s="36">
        <v>45778</v>
      </c>
      <c r="AF213" s="19" t="s">
        <v>89</v>
      </c>
      <c r="AG213" s="19" t="s">
        <v>90</v>
      </c>
      <c r="AH213" s="19" t="s">
        <v>62</v>
      </c>
      <c r="AI213" s="19" t="s">
        <v>63</v>
      </c>
      <c r="AJ213" s="19" t="s">
        <v>1779</v>
      </c>
      <c r="AK213" s="19"/>
      <c r="AL213" s="19"/>
      <c r="AM213" s="19"/>
      <c r="AN213" s="19" t="s">
        <v>65</v>
      </c>
      <c r="AO213" s="23">
        <v>45808.065972222219</v>
      </c>
      <c r="AP213" s="26">
        <f t="shared" si="7"/>
        <v>75</v>
      </c>
    </row>
    <row r="214" spans="1:42" ht="25.5" hidden="1" customHeight="1">
      <c r="A214" s="19" t="s">
        <v>285</v>
      </c>
      <c r="B214" s="19" t="s">
        <v>253</v>
      </c>
      <c r="C214" s="19" t="s">
        <v>1780</v>
      </c>
      <c r="D214" s="19" t="s">
        <v>45</v>
      </c>
      <c r="E214" s="19" t="s">
        <v>356</v>
      </c>
      <c r="F214" s="19" t="s">
        <v>1781</v>
      </c>
      <c r="G214" s="19" t="s">
        <v>48</v>
      </c>
      <c r="H214" s="19" t="s">
        <v>49</v>
      </c>
      <c r="I214" s="20">
        <v>45808.114583333343</v>
      </c>
      <c r="K214" s="19"/>
      <c r="L214" s="20">
        <v>45808.175694444442</v>
      </c>
      <c r="M214" s="19"/>
      <c r="N214" s="22">
        <f t="shared" si="6"/>
        <v>6.1111111099307891E-2</v>
      </c>
      <c r="O214" s="19" t="s">
        <v>50</v>
      </c>
      <c r="P214" s="19" t="s">
        <v>1782</v>
      </c>
      <c r="Q214" s="19" t="s">
        <v>1783</v>
      </c>
      <c r="R214" s="19"/>
      <c r="S214" s="19"/>
      <c r="U214" s="19"/>
      <c r="W214" s="19"/>
      <c r="X214" s="19" t="s">
        <v>1784</v>
      </c>
      <c r="Y214" s="27" t="s">
        <v>133</v>
      </c>
      <c r="Z214" s="27" t="s">
        <v>123</v>
      </c>
      <c r="AA214" s="27" t="s">
        <v>1785</v>
      </c>
      <c r="AB214" s="27" t="s">
        <v>1786</v>
      </c>
      <c r="AC214" s="37">
        <v>45808.045868055553</v>
      </c>
      <c r="AD214" s="38">
        <v>45808.141053240739</v>
      </c>
      <c r="AE214" s="36">
        <v>45778</v>
      </c>
      <c r="AF214" s="19" t="s">
        <v>89</v>
      </c>
      <c r="AG214" s="19" t="s">
        <v>90</v>
      </c>
      <c r="AH214" s="19" t="s">
        <v>62</v>
      </c>
      <c r="AI214" s="19" t="s">
        <v>63</v>
      </c>
      <c r="AJ214" s="19" t="s">
        <v>1787</v>
      </c>
      <c r="AK214" s="19"/>
      <c r="AL214" s="19"/>
      <c r="AM214" s="19"/>
      <c r="AN214" s="19" t="s">
        <v>65</v>
      </c>
      <c r="AO214" s="23">
        <v>45808.114583333343</v>
      </c>
      <c r="AP214" s="26">
        <f t="shared" si="7"/>
        <v>88</v>
      </c>
    </row>
    <row r="215" spans="1:42" ht="25.5" hidden="1" customHeight="1">
      <c r="A215" s="19" t="s">
        <v>285</v>
      </c>
      <c r="B215" s="19" t="s">
        <v>854</v>
      </c>
      <c r="C215" s="19" t="s">
        <v>855</v>
      </c>
      <c r="D215" s="19" t="s">
        <v>45</v>
      </c>
      <c r="E215" s="19" t="s">
        <v>967</v>
      </c>
      <c r="F215" s="19" t="s">
        <v>1788</v>
      </c>
      <c r="G215" s="19" t="s">
        <v>48</v>
      </c>
      <c r="H215" s="19" t="s">
        <v>49</v>
      </c>
      <c r="I215" s="20">
        <v>45808.469444444447</v>
      </c>
      <c r="K215" s="19"/>
      <c r="L215" s="20">
        <v>45808.541666666657</v>
      </c>
      <c r="M215" s="19"/>
      <c r="N215" s="22">
        <f t="shared" si="6"/>
        <v>7.2222222210257314E-2</v>
      </c>
      <c r="O215" s="19" t="s">
        <v>50</v>
      </c>
      <c r="P215" s="19" t="s">
        <v>1789</v>
      </c>
      <c r="Q215" s="19" t="s">
        <v>1790</v>
      </c>
      <c r="R215" s="19"/>
      <c r="S215" s="19"/>
      <c r="U215" s="19"/>
      <c r="W215" s="19"/>
      <c r="X215" s="19" t="s">
        <v>109</v>
      </c>
      <c r="Y215" s="27" t="s">
        <v>147</v>
      </c>
      <c r="Z215" s="27" t="s">
        <v>78</v>
      </c>
      <c r="AA215" s="27" t="s">
        <v>78</v>
      </c>
      <c r="AB215" s="27" t="s">
        <v>78</v>
      </c>
      <c r="AC215" s="37" t="s">
        <v>78</v>
      </c>
      <c r="AD215" s="38" t="s">
        <v>78</v>
      </c>
      <c r="AE215" s="36">
        <v>45778</v>
      </c>
      <c r="AF215" s="19" t="s">
        <v>293</v>
      </c>
      <c r="AG215" s="19" t="s">
        <v>294</v>
      </c>
      <c r="AH215" s="19" t="s">
        <v>62</v>
      </c>
      <c r="AI215" s="19" t="s">
        <v>63</v>
      </c>
      <c r="AJ215" s="19" t="s">
        <v>1791</v>
      </c>
      <c r="AK215" s="19" t="s">
        <v>1792</v>
      </c>
      <c r="AL215" s="19"/>
      <c r="AM215" s="19"/>
      <c r="AN215" s="19" t="s">
        <v>128</v>
      </c>
      <c r="AO215" s="23">
        <v>45808.469444444447</v>
      </c>
      <c r="AP215" s="26">
        <f t="shared" si="7"/>
        <v>104</v>
      </c>
    </row>
    <row r="216" spans="1:42" ht="25.5" hidden="1" customHeight="1">
      <c r="A216" s="19" t="s">
        <v>42</v>
      </c>
      <c r="B216" s="19" t="s">
        <v>66</v>
      </c>
      <c r="C216" s="19" t="s">
        <v>1793</v>
      </c>
      <c r="D216" s="19" t="s">
        <v>45</v>
      </c>
      <c r="E216" s="19" t="s">
        <v>46</v>
      </c>
      <c r="F216" s="19" t="s">
        <v>1794</v>
      </c>
      <c r="G216" s="19" t="s">
        <v>48</v>
      </c>
      <c r="H216" s="19" t="s">
        <v>49</v>
      </c>
      <c r="I216" s="20">
        <v>45808.572916666657</v>
      </c>
      <c r="K216" s="19"/>
      <c r="L216" s="20">
        <v>45808.777777777781</v>
      </c>
      <c r="M216" s="19"/>
      <c r="N216" s="22">
        <f t="shared" si="6"/>
        <v>0.20486111112404615</v>
      </c>
      <c r="O216" s="19" t="s">
        <v>50</v>
      </c>
      <c r="P216" s="19" t="s">
        <v>1795</v>
      </c>
      <c r="Q216" s="19" t="s">
        <v>1796</v>
      </c>
      <c r="R216" s="19"/>
      <c r="S216" s="19"/>
      <c r="U216" s="19"/>
      <c r="W216" s="19"/>
      <c r="X216" s="19" t="s">
        <v>72</v>
      </c>
      <c r="Y216" s="27" t="s">
        <v>147</v>
      </c>
      <c r="Z216" s="27" t="s">
        <v>78</v>
      </c>
      <c r="AA216" s="27" t="s">
        <v>78</v>
      </c>
      <c r="AB216" s="27" t="s">
        <v>78</v>
      </c>
      <c r="AC216" s="37" t="s">
        <v>78</v>
      </c>
      <c r="AD216" s="38" t="s">
        <v>78</v>
      </c>
      <c r="AE216" s="36">
        <v>45778</v>
      </c>
      <c r="AF216" s="19" t="s">
        <v>78</v>
      </c>
      <c r="AG216" s="19" t="s">
        <v>78</v>
      </c>
      <c r="AH216" s="19" t="s">
        <v>78</v>
      </c>
      <c r="AI216" s="19" t="s">
        <v>63</v>
      </c>
      <c r="AJ216" s="19" t="s">
        <v>1797</v>
      </c>
      <c r="AK216" s="19"/>
      <c r="AL216" s="19"/>
      <c r="AM216" s="19"/>
      <c r="AN216" s="19" t="s">
        <v>65</v>
      </c>
      <c r="AO216" s="23">
        <v>45808.696527777778</v>
      </c>
      <c r="AP216" s="26">
        <f t="shared" si="7"/>
        <v>295</v>
      </c>
    </row>
    <row r="217" spans="1:42" ht="25.5" hidden="1" customHeight="1">
      <c r="A217" s="19" t="s">
        <v>42</v>
      </c>
      <c r="B217" s="19" t="s">
        <v>1798</v>
      </c>
      <c r="C217" s="19" t="s">
        <v>336</v>
      </c>
      <c r="D217" s="19" t="s">
        <v>45</v>
      </c>
      <c r="E217" s="19" t="s">
        <v>46</v>
      </c>
      <c r="F217" s="19" t="s">
        <v>1799</v>
      </c>
      <c r="G217" s="19" t="s">
        <v>48</v>
      </c>
      <c r="H217" s="19" t="s">
        <v>49</v>
      </c>
      <c r="I217" s="20">
        <v>45809.385416666657</v>
      </c>
      <c r="K217" s="19"/>
      <c r="L217" s="20">
        <v>45809.461805555547</v>
      </c>
      <c r="M217" s="19"/>
      <c r="N217" s="22">
        <f t="shared" si="6"/>
        <v>7.6388888890505768E-2</v>
      </c>
      <c r="O217" s="19" t="s">
        <v>63</v>
      </c>
      <c r="P217" s="19" t="s">
        <v>1800</v>
      </c>
      <c r="Q217" s="19" t="s">
        <v>1801</v>
      </c>
      <c r="R217" s="19"/>
      <c r="S217" s="19"/>
      <c r="U217" s="19"/>
      <c r="W217" s="19"/>
      <c r="X217" s="19" t="s">
        <v>314</v>
      </c>
      <c r="Y217" s="27" t="s">
        <v>147</v>
      </c>
      <c r="Z217" s="27" t="s">
        <v>78</v>
      </c>
      <c r="AA217" s="27" t="s">
        <v>78</v>
      </c>
      <c r="AB217" s="27" t="s">
        <v>78</v>
      </c>
      <c r="AC217" s="37" t="s">
        <v>78</v>
      </c>
      <c r="AD217" s="38" t="s">
        <v>78</v>
      </c>
      <c r="AE217" s="36">
        <v>45833</v>
      </c>
      <c r="AF217" s="19" t="s">
        <v>89</v>
      </c>
      <c r="AG217" s="19" t="s">
        <v>90</v>
      </c>
      <c r="AH217" s="19" t="s">
        <v>62</v>
      </c>
      <c r="AI217" s="19" t="s">
        <v>63</v>
      </c>
      <c r="AJ217" s="19" t="s">
        <v>1802</v>
      </c>
      <c r="AK217" s="19"/>
      <c r="AL217" s="19"/>
      <c r="AM217" s="19"/>
      <c r="AN217" s="19" t="s">
        <v>103</v>
      </c>
      <c r="AO217" s="23">
        <v>45809.385416666657</v>
      </c>
      <c r="AP217" s="26">
        <f t="shared" si="7"/>
        <v>110</v>
      </c>
    </row>
    <row r="218" spans="1:42" ht="25.5" hidden="1" customHeight="1">
      <c r="A218" s="19" t="s">
        <v>42</v>
      </c>
      <c r="B218" s="19" t="s">
        <v>1803</v>
      </c>
      <c r="C218" s="19" t="s">
        <v>1804</v>
      </c>
      <c r="D218" s="19" t="s">
        <v>45</v>
      </c>
      <c r="E218" s="19" t="s">
        <v>46</v>
      </c>
      <c r="F218" s="19" t="s">
        <v>1805</v>
      </c>
      <c r="G218" s="19" t="s">
        <v>48</v>
      </c>
      <c r="H218" s="19" t="s">
        <v>49</v>
      </c>
      <c r="I218" s="20">
        <v>45809.420138888891</v>
      </c>
      <c r="K218" s="19"/>
      <c r="L218" s="20">
        <v>45809.495833333327</v>
      </c>
      <c r="M218" s="19"/>
      <c r="N218" s="22">
        <f t="shared" si="6"/>
        <v>7.5694444436521735E-2</v>
      </c>
      <c r="O218" s="19" t="s">
        <v>50</v>
      </c>
      <c r="P218" s="19" t="s">
        <v>1806</v>
      </c>
      <c r="Q218" s="19" t="s">
        <v>1807</v>
      </c>
      <c r="R218" s="19" t="s">
        <v>1808</v>
      </c>
      <c r="S218" s="19" t="s">
        <v>1809</v>
      </c>
      <c r="T218" s="20">
        <v>45809.647824074083</v>
      </c>
      <c r="U218" s="19">
        <v>45811.755555555559</v>
      </c>
      <c r="V218" s="19" t="s">
        <v>157</v>
      </c>
      <c r="W218" s="19"/>
      <c r="X218" s="19" t="s">
        <v>53</v>
      </c>
      <c r="Y218" s="27" t="s">
        <v>54</v>
      </c>
      <c r="Z218" s="27" t="s">
        <v>1810</v>
      </c>
      <c r="AA218" s="27" t="s">
        <v>1811</v>
      </c>
      <c r="AB218" s="27" t="s">
        <v>1812</v>
      </c>
      <c r="AC218" s="37" t="s">
        <v>1813</v>
      </c>
      <c r="AD218" s="38" t="s">
        <v>1814</v>
      </c>
      <c r="AE218" s="36">
        <v>45833</v>
      </c>
      <c r="AF218" s="19" t="s">
        <v>89</v>
      </c>
      <c r="AG218" s="19" t="s">
        <v>90</v>
      </c>
      <c r="AH218" s="19" t="s">
        <v>62</v>
      </c>
      <c r="AI218" s="19" t="s">
        <v>63</v>
      </c>
      <c r="AJ218" s="19" t="s">
        <v>1815</v>
      </c>
      <c r="AK218" s="19"/>
      <c r="AL218" s="19"/>
      <c r="AM218" s="19"/>
      <c r="AN218" s="19" t="s">
        <v>65</v>
      </c>
      <c r="AO218" s="23">
        <v>45809.420138888891</v>
      </c>
      <c r="AP218" s="26">
        <f t="shared" si="7"/>
        <v>109</v>
      </c>
    </row>
    <row r="219" spans="1:42" ht="25.5" customHeight="1">
      <c r="A219" s="19" t="s">
        <v>285</v>
      </c>
      <c r="B219" s="19" t="s">
        <v>93</v>
      </c>
      <c r="C219" s="19" t="s">
        <v>1816</v>
      </c>
      <c r="D219" s="19" t="s">
        <v>45</v>
      </c>
      <c r="E219" s="19" t="s">
        <v>46</v>
      </c>
      <c r="F219" s="19" t="s">
        <v>1817</v>
      </c>
      <c r="G219" s="19" t="s">
        <v>48</v>
      </c>
      <c r="H219" s="19" t="s">
        <v>152</v>
      </c>
      <c r="I219" s="20">
        <v>45809.510416666657</v>
      </c>
      <c r="J219" s="20">
        <v>45809.541666666657</v>
      </c>
      <c r="K219" s="19"/>
      <c r="L219" s="20">
        <v>45809.604166666657</v>
      </c>
      <c r="M219" s="19"/>
      <c r="N219" s="22">
        <f t="shared" si="6"/>
        <v>9.375E-2</v>
      </c>
      <c r="O219" s="19" t="s">
        <v>50</v>
      </c>
      <c r="P219" s="19" t="s">
        <v>1818</v>
      </c>
      <c r="Q219" s="19" t="s">
        <v>1819</v>
      </c>
      <c r="R219" s="19" t="s">
        <v>1820</v>
      </c>
      <c r="S219" s="19" t="s">
        <v>1821</v>
      </c>
      <c r="T219" s="20">
        <v>45809.85015046296</v>
      </c>
      <c r="U219" s="19">
        <v>45814.638194444437</v>
      </c>
      <c r="V219" s="19" t="s">
        <v>157</v>
      </c>
      <c r="W219" s="19"/>
      <c r="X219" s="19" t="s">
        <v>1822</v>
      </c>
      <c r="Y219" s="27" t="s">
        <v>133</v>
      </c>
      <c r="Z219" s="27" t="s">
        <v>811</v>
      </c>
      <c r="AA219" s="27" t="s">
        <v>1823</v>
      </c>
      <c r="AB219" s="27" t="s">
        <v>1824</v>
      </c>
      <c r="AC219" s="37" t="s">
        <v>1825</v>
      </c>
      <c r="AD219" s="38" t="s">
        <v>1826</v>
      </c>
      <c r="AE219" s="36">
        <v>45833</v>
      </c>
      <c r="AF219" s="19" t="s">
        <v>293</v>
      </c>
      <c r="AG219" s="19" t="s">
        <v>307</v>
      </c>
      <c r="AH219" s="19" t="s">
        <v>164</v>
      </c>
      <c r="AI219" s="19" t="s">
        <v>63</v>
      </c>
      <c r="AJ219" s="19" t="s">
        <v>1827</v>
      </c>
      <c r="AK219" s="19"/>
      <c r="AL219" s="19"/>
      <c r="AM219" s="19"/>
      <c r="AN219" s="19" t="s">
        <v>65</v>
      </c>
      <c r="AO219" s="23">
        <v>45809.561805555553</v>
      </c>
      <c r="AP219" s="26">
        <f t="shared" si="7"/>
        <v>135</v>
      </c>
    </row>
    <row r="220" spans="1:42" ht="25.5" customHeight="1">
      <c r="A220" s="19" t="s">
        <v>42</v>
      </c>
      <c r="B220" s="19" t="s">
        <v>43</v>
      </c>
      <c r="C220" s="19" t="s">
        <v>44</v>
      </c>
      <c r="D220" s="19" t="s">
        <v>45</v>
      </c>
      <c r="E220" s="19" t="s">
        <v>46</v>
      </c>
      <c r="F220" s="19" t="s">
        <v>1828</v>
      </c>
      <c r="G220" s="19" t="s">
        <v>48</v>
      </c>
      <c r="H220" s="19" t="s">
        <v>69</v>
      </c>
      <c r="I220" s="20">
        <v>45809.73333333333</v>
      </c>
      <c r="J220" s="20">
        <v>45809.753472222219</v>
      </c>
      <c r="K220" s="19">
        <v>45809.796527777777</v>
      </c>
      <c r="L220" s="20">
        <v>45809.802083333343</v>
      </c>
      <c r="M220" s="19"/>
      <c r="N220" s="22">
        <f t="shared" si="6"/>
        <v>6.8750000013096724E-2</v>
      </c>
      <c r="O220" s="19" t="s">
        <v>50</v>
      </c>
      <c r="P220" s="19" t="s">
        <v>1829</v>
      </c>
      <c r="Q220" s="19" t="s">
        <v>1830</v>
      </c>
      <c r="R220" s="19" t="s">
        <v>1831</v>
      </c>
      <c r="S220" s="19" t="s">
        <v>1832</v>
      </c>
      <c r="T220" s="20">
        <v>45809.965451388889</v>
      </c>
      <c r="U220" s="19">
        <v>45817.525694444441</v>
      </c>
      <c r="V220" s="19" t="s">
        <v>157</v>
      </c>
      <c r="W220" s="19"/>
      <c r="X220" s="19" t="s">
        <v>53</v>
      </c>
      <c r="Y220" s="27" t="s">
        <v>54</v>
      </c>
      <c r="Z220" s="27" t="s">
        <v>1833</v>
      </c>
      <c r="AA220" s="27" t="s">
        <v>1834</v>
      </c>
      <c r="AB220" s="27" t="s">
        <v>1835</v>
      </c>
      <c r="AC220" s="37" t="s">
        <v>1836</v>
      </c>
      <c r="AD220" s="38" t="s">
        <v>1837</v>
      </c>
      <c r="AE220" s="36">
        <v>45833</v>
      </c>
      <c r="AF220" s="19" t="s">
        <v>89</v>
      </c>
      <c r="AG220" s="19" t="s">
        <v>90</v>
      </c>
      <c r="AH220" s="19" t="s">
        <v>62</v>
      </c>
      <c r="AI220" s="19" t="s">
        <v>63</v>
      </c>
      <c r="AJ220" s="19" t="s">
        <v>1838</v>
      </c>
      <c r="AK220" s="19"/>
      <c r="AL220" s="19"/>
      <c r="AM220" s="19"/>
      <c r="AN220" s="19" t="s">
        <v>65</v>
      </c>
      <c r="AO220" s="23">
        <v>45809.73333333333</v>
      </c>
      <c r="AP220" s="26">
        <f t="shared" si="7"/>
        <v>99</v>
      </c>
    </row>
    <row r="221" spans="1:42" ht="25.5" hidden="1" customHeight="1">
      <c r="A221" s="19" t="s">
        <v>285</v>
      </c>
      <c r="B221" s="19" t="s">
        <v>1839</v>
      </c>
      <c r="C221" s="19" t="s">
        <v>1840</v>
      </c>
      <c r="D221" s="19" t="s">
        <v>45</v>
      </c>
      <c r="E221" s="19" t="s">
        <v>46</v>
      </c>
      <c r="F221" s="19" t="s">
        <v>1841</v>
      </c>
      <c r="G221" s="19" t="s">
        <v>48</v>
      </c>
      <c r="H221" s="19" t="s">
        <v>49</v>
      </c>
      <c r="I221" s="20">
        <v>45809.868750000001</v>
      </c>
      <c r="K221" s="19"/>
      <c r="L221" s="20">
        <v>45809.895833333343</v>
      </c>
      <c r="M221" s="19"/>
      <c r="N221" s="22">
        <f t="shared" si="6"/>
        <v>2.7083333341579419E-2</v>
      </c>
      <c r="O221" s="19" t="s">
        <v>50</v>
      </c>
      <c r="P221" s="19" t="s">
        <v>1842</v>
      </c>
      <c r="Q221" s="19" t="s">
        <v>1843</v>
      </c>
      <c r="R221" s="19"/>
      <c r="S221" s="19"/>
      <c r="U221" s="19"/>
      <c r="W221" s="19"/>
      <c r="X221" s="19" t="s">
        <v>122</v>
      </c>
      <c r="Y221" s="27" t="s">
        <v>133</v>
      </c>
      <c r="Z221" s="27" t="s">
        <v>123</v>
      </c>
      <c r="AA221" s="27" t="s">
        <v>1844</v>
      </c>
      <c r="AB221" s="27" t="s">
        <v>1845</v>
      </c>
      <c r="AC221" s="37" t="s">
        <v>1846</v>
      </c>
      <c r="AD221" s="38">
        <v>45809.514768518522</v>
      </c>
      <c r="AE221" s="36">
        <v>45833</v>
      </c>
      <c r="AF221" s="19" t="s">
        <v>293</v>
      </c>
      <c r="AG221" s="19" t="s">
        <v>307</v>
      </c>
      <c r="AH221" s="19" t="s">
        <v>164</v>
      </c>
      <c r="AI221" s="19" t="s">
        <v>63</v>
      </c>
      <c r="AJ221" s="19" t="s">
        <v>1847</v>
      </c>
      <c r="AK221" s="19"/>
      <c r="AL221" s="19"/>
      <c r="AM221" s="19"/>
      <c r="AN221" s="19" t="s">
        <v>65</v>
      </c>
      <c r="AO221" s="23">
        <v>45809.868750000001</v>
      </c>
      <c r="AP221" s="26">
        <f t="shared" si="7"/>
        <v>39</v>
      </c>
    </row>
    <row r="222" spans="1:42" ht="25.5" hidden="1" customHeight="1">
      <c r="A222" s="19" t="s">
        <v>42</v>
      </c>
      <c r="B222" s="19" t="s">
        <v>93</v>
      </c>
      <c r="C222" s="19" t="s">
        <v>1848</v>
      </c>
      <c r="D222" s="19" t="s">
        <v>45</v>
      </c>
      <c r="E222" s="19" t="s">
        <v>46</v>
      </c>
      <c r="F222" s="19" t="s">
        <v>1849</v>
      </c>
      <c r="G222" s="19" t="s">
        <v>48</v>
      </c>
      <c r="H222" s="19" t="s">
        <v>49</v>
      </c>
      <c r="I222" s="20">
        <v>45810.333333333343</v>
      </c>
      <c r="K222" s="19"/>
      <c r="L222" s="20">
        <v>45810.453472222223</v>
      </c>
      <c r="M222" s="19"/>
      <c r="N222" s="22">
        <f t="shared" si="6"/>
        <v>0.12013888888031943</v>
      </c>
      <c r="O222" s="19" t="s">
        <v>50</v>
      </c>
      <c r="P222" s="19" t="s">
        <v>1850</v>
      </c>
      <c r="Q222" s="19" t="s">
        <v>1851</v>
      </c>
      <c r="R222" s="19" t="s">
        <v>1808</v>
      </c>
      <c r="S222" s="19" t="s">
        <v>1809</v>
      </c>
      <c r="T222" s="20">
        <v>45809.647824074083</v>
      </c>
      <c r="U222" s="19">
        <v>45811.755555555559</v>
      </c>
      <c r="V222" s="19" t="s">
        <v>157</v>
      </c>
      <c r="W222" s="19"/>
      <c r="X222" s="19" t="s">
        <v>53</v>
      </c>
      <c r="Y222" s="27" t="s">
        <v>133</v>
      </c>
      <c r="Z222" s="27" t="s">
        <v>1852</v>
      </c>
      <c r="AA222" s="27" t="s">
        <v>1853</v>
      </c>
      <c r="AB222" s="27" t="s">
        <v>1854</v>
      </c>
      <c r="AC222" s="37" t="s">
        <v>1855</v>
      </c>
      <c r="AD222" s="38" t="s">
        <v>1856</v>
      </c>
      <c r="AE222" s="36">
        <v>45833</v>
      </c>
      <c r="AF222" s="19" t="s">
        <v>89</v>
      </c>
      <c r="AG222" s="19" t="s">
        <v>90</v>
      </c>
      <c r="AH222" s="19" t="s">
        <v>62</v>
      </c>
      <c r="AI222" s="19" t="s">
        <v>63</v>
      </c>
      <c r="AJ222" s="19" t="s">
        <v>1857</v>
      </c>
      <c r="AK222" s="19"/>
      <c r="AL222" s="19"/>
      <c r="AM222" s="19"/>
      <c r="AN222" s="19" t="s">
        <v>103</v>
      </c>
      <c r="AO222" s="23">
        <v>45810.333333333343</v>
      </c>
      <c r="AP222" s="26">
        <f t="shared" si="7"/>
        <v>173</v>
      </c>
    </row>
    <row r="223" spans="1:42" ht="25.5" hidden="1" customHeight="1">
      <c r="A223" s="19" t="s">
        <v>42</v>
      </c>
      <c r="B223" s="19" t="s">
        <v>1858</v>
      </c>
      <c r="C223" s="19" t="s">
        <v>1859</v>
      </c>
      <c r="D223" s="19" t="s">
        <v>45</v>
      </c>
      <c r="E223" s="19" t="s">
        <v>46</v>
      </c>
      <c r="F223" s="19" t="s">
        <v>1860</v>
      </c>
      <c r="G223" s="19" t="s">
        <v>48</v>
      </c>
      <c r="H223" s="19" t="s">
        <v>49</v>
      </c>
      <c r="I223" s="20">
        <v>45810.534722222219</v>
      </c>
      <c r="K223" s="19"/>
      <c r="L223" s="20">
        <v>45810.551388888889</v>
      </c>
      <c r="M223" s="19"/>
      <c r="N223" s="22">
        <f t="shared" si="6"/>
        <v>1.6666666670062114E-2</v>
      </c>
      <c r="O223" s="19" t="s">
        <v>50</v>
      </c>
      <c r="P223" s="19" t="s">
        <v>1861</v>
      </c>
      <c r="Q223" s="19" t="s">
        <v>1862</v>
      </c>
      <c r="R223" s="19"/>
      <c r="S223" s="19"/>
      <c r="U223" s="19"/>
      <c r="W223" s="19"/>
      <c r="X223" s="19" t="s">
        <v>109</v>
      </c>
      <c r="Y223" s="27" t="s">
        <v>54</v>
      </c>
      <c r="Z223" s="27" t="s">
        <v>414</v>
      </c>
      <c r="AA223" s="27" t="s">
        <v>1863</v>
      </c>
      <c r="AB223" s="27" t="s">
        <v>1864</v>
      </c>
      <c r="AC223" s="37">
        <v>45810.522916666669</v>
      </c>
      <c r="AD223" s="38">
        <v>45810.55672453704</v>
      </c>
      <c r="AE223" s="36">
        <v>45833</v>
      </c>
      <c r="AF223" s="19" t="s">
        <v>99</v>
      </c>
      <c r="AG223" s="19" t="s">
        <v>100</v>
      </c>
      <c r="AH223" s="19" t="s">
        <v>62</v>
      </c>
      <c r="AI223" s="19" t="s">
        <v>63</v>
      </c>
      <c r="AJ223" s="19" t="s">
        <v>1865</v>
      </c>
      <c r="AK223" s="19"/>
      <c r="AL223" s="19"/>
      <c r="AM223" s="19"/>
      <c r="AN223" s="19" t="s">
        <v>103</v>
      </c>
      <c r="AO223" s="23">
        <v>45810.451388888891</v>
      </c>
      <c r="AP223" s="26">
        <f t="shared" si="7"/>
        <v>24</v>
      </c>
    </row>
    <row r="224" spans="1:42" ht="25.5" hidden="1" customHeight="1">
      <c r="A224" s="19" t="s">
        <v>285</v>
      </c>
      <c r="C224" s="19" t="s">
        <v>404</v>
      </c>
      <c r="D224" s="19" t="s">
        <v>45</v>
      </c>
      <c r="E224" s="19" t="s">
        <v>46</v>
      </c>
      <c r="F224" s="19" t="s">
        <v>1866</v>
      </c>
      <c r="G224" s="19" t="s">
        <v>48</v>
      </c>
      <c r="H224" s="19" t="s">
        <v>49</v>
      </c>
      <c r="I224" s="20">
        <v>45811.050694444442</v>
      </c>
      <c r="K224" s="19"/>
      <c r="L224" s="20">
        <v>45811.145833333343</v>
      </c>
      <c r="M224" s="19"/>
      <c r="N224" s="22">
        <f t="shared" si="6"/>
        <v>9.5138888900692109E-2</v>
      </c>
      <c r="O224" s="19" t="s">
        <v>63</v>
      </c>
      <c r="P224" s="19" t="s">
        <v>1867</v>
      </c>
      <c r="Q224" s="19" t="s">
        <v>1868</v>
      </c>
      <c r="R224" s="19"/>
      <c r="S224" s="19"/>
      <c r="U224" s="19"/>
      <c r="W224" s="19"/>
      <c r="X224" s="19" t="s">
        <v>109</v>
      </c>
      <c r="Y224" s="27" t="s">
        <v>133</v>
      </c>
      <c r="Z224" s="27" t="s">
        <v>811</v>
      </c>
      <c r="AA224" s="27" t="s">
        <v>1869</v>
      </c>
      <c r="AB224" s="27" t="s">
        <v>1870</v>
      </c>
      <c r="AC224" s="37" t="s">
        <v>1871</v>
      </c>
      <c r="AD224" s="38" t="s">
        <v>1872</v>
      </c>
      <c r="AE224" s="36">
        <v>45833</v>
      </c>
      <c r="AF224" s="19" t="s">
        <v>89</v>
      </c>
      <c r="AG224" s="19" t="s">
        <v>90</v>
      </c>
      <c r="AH224" s="19" t="s">
        <v>62</v>
      </c>
      <c r="AI224" s="19" t="s">
        <v>63</v>
      </c>
      <c r="AJ224" s="19" t="s">
        <v>1873</v>
      </c>
      <c r="AK224" s="19"/>
      <c r="AL224" s="19"/>
      <c r="AM224" s="19"/>
      <c r="AN224" s="19" t="s">
        <v>128</v>
      </c>
      <c r="AO224" s="23">
        <v>45811.050694444442</v>
      </c>
      <c r="AP224" s="26">
        <f t="shared" si="7"/>
        <v>137</v>
      </c>
    </row>
    <row r="225" spans="1:42" ht="25.5" hidden="1" customHeight="1">
      <c r="A225" s="19" t="s">
        <v>285</v>
      </c>
      <c r="B225" s="19" t="s">
        <v>186</v>
      </c>
      <c r="C225" s="19" t="s">
        <v>577</v>
      </c>
      <c r="D225" s="19" t="s">
        <v>45</v>
      </c>
      <c r="E225" s="19" t="s">
        <v>46</v>
      </c>
      <c r="F225" s="19" t="s">
        <v>1874</v>
      </c>
      <c r="G225" s="19" t="s">
        <v>48</v>
      </c>
      <c r="H225" s="19" t="s">
        <v>49</v>
      </c>
      <c r="I225" s="20">
        <v>45811.368055555547</v>
      </c>
      <c r="K225" s="19"/>
      <c r="L225" s="20">
        <v>45811.395833333343</v>
      </c>
      <c r="M225" s="19"/>
      <c r="N225" s="22">
        <f t="shared" si="6"/>
        <v>2.7777777795563452E-2</v>
      </c>
      <c r="O225" s="19" t="s">
        <v>50</v>
      </c>
      <c r="P225" s="19" t="s">
        <v>1875</v>
      </c>
      <c r="Q225" s="19" t="s">
        <v>1876</v>
      </c>
      <c r="R225" s="19"/>
      <c r="S225" s="19"/>
      <c r="U225" s="19"/>
      <c r="W225" s="19"/>
      <c r="X225" s="19" t="s">
        <v>191</v>
      </c>
      <c r="Y225" s="27" t="s">
        <v>54</v>
      </c>
      <c r="Z225" s="27" t="s">
        <v>123</v>
      </c>
      <c r="AA225" s="27" t="s">
        <v>1877</v>
      </c>
      <c r="AB225" s="27" t="s">
        <v>1878</v>
      </c>
      <c r="AC225" s="37">
        <v>45811.020833333343</v>
      </c>
      <c r="AD225" s="38" t="s">
        <v>861</v>
      </c>
      <c r="AE225" s="36">
        <v>45833</v>
      </c>
      <c r="AF225" s="19" t="s">
        <v>89</v>
      </c>
      <c r="AG225" s="19" t="s">
        <v>90</v>
      </c>
      <c r="AH225" s="19" t="s">
        <v>62</v>
      </c>
      <c r="AI225" s="19" t="s">
        <v>63</v>
      </c>
      <c r="AJ225" s="19" t="s">
        <v>1879</v>
      </c>
      <c r="AK225" s="19"/>
      <c r="AL225" s="19"/>
      <c r="AM225" s="19"/>
      <c r="AN225" s="19" t="s">
        <v>65</v>
      </c>
      <c r="AO225" s="23">
        <v>45811.368055555547</v>
      </c>
      <c r="AP225" s="26">
        <f t="shared" si="7"/>
        <v>40</v>
      </c>
    </row>
    <row r="226" spans="1:42" ht="25.5" hidden="1" customHeight="1">
      <c r="A226" s="19" t="s">
        <v>42</v>
      </c>
      <c r="B226" s="19" t="s">
        <v>470</v>
      </c>
      <c r="C226" s="19" t="s">
        <v>1880</v>
      </c>
      <c r="D226" s="19" t="s">
        <v>45</v>
      </c>
      <c r="E226" s="19" t="s">
        <v>46</v>
      </c>
      <c r="F226" s="19" t="s">
        <v>1881</v>
      </c>
      <c r="G226" s="19" t="s">
        <v>48</v>
      </c>
      <c r="H226" s="19" t="s">
        <v>49</v>
      </c>
      <c r="I226" s="20">
        <v>45811.447916666657</v>
      </c>
      <c r="K226" s="19"/>
      <c r="L226" s="20">
        <v>45811.506944444453</v>
      </c>
      <c r="M226" s="19"/>
      <c r="N226" s="22">
        <f t="shared" si="6"/>
        <v>5.9027777795563452E-2</v>
      </c>
      <c r="O226" s="19" t="s">
        <v>50</v>
      </c>
      <c r="P226" s="19" t="s">
        <v>1882</v>
      </c>
      <c r="Q226" s="19" t="s">
        <v>1883</v>
      </c>
      <c r="R226" s="19"/>
      <c r="S226" s="19"/>
      <c r="U226" s="19"/>
      <c r="W226" s="19"/>
      <c r="X226" s="19" t="s">
        <v>1589</v>
      </c>
      <c r="Y226" s="27" t="s">
        <v>133</v>
      </c>
      <c r="Z226" s="27" t="s">
        <v>123</v>
      </c>
      <c r="AA226" s="27" t="s">
        <v>1884</v>
      </c>
      <c r="AB226" s="27" t="s">
        <v>1885</v>
      </c>
      <c r="AC226" s="37">
        <v>45811.343055555553</v>
      </c>
      <c r="AD226" s="38">
        <v>45811.40902777778</v>
      </c>
      <c r="AE226" s="36">
        <v>45833</v>
      </c>
      <c r="AF226" s="19" t="s">
        <v>89</v>
      </c>
      <c r="AG226" s="19" t="s">
        <v>90</v>
      </c>
      <c r="AH226" s="19" t="s">
        <v>62</v>
      </c>
      <c r="AI226" s="19" t="s">
        <v>63</v>
      </c>
      <c r="AJ226" s="19" t="s">
        <v>1886</v>
      </c>
      <c r="AK226" s="19"/>
      <c r="AL226" s="19"/>
      <c r="AM226" s="19"/>
      <c r="AN226" s="19" t="s">
        <v>65</v>
      </c>
      <c r="AO226" s="23">
        <v>45811.447916666657</v>
      </c>
      <c r="AP226" s="26">
        <f t="shared" si="7"/>
        <v>85</v>
      </c>
    </row>
    <row r="227" spans="1:42" ht="25.5" hidden="1" customHeight="1">
      <c r="A227" s="19" t="s">
        <v>285</v>
      </c>
      <c r="B227" s="19" t="s">
        <v>1887</v>
      </c>
      <c r="C227" s="19" t="s">
        <v>1888</v>
      </c>
      <c r="D227" s="19" t="s">
        <v>45</v>
      </c>
      <c r="E227" s="19" t="s">
        <v>46</v>
      </c>
      <c r="F227" s="19" t="s">
        <v>1889</v>
      </c>
      <c r="G227" s="19" t="s">
        <v>48</v>
      </c>
      <c r="H227" s="19" t="s">
        <v>49</v>
      </c>
      <c r="I227" s="20">
        <v>45811.852777777778</v>
      </c>
      <c r="K227" s="19"/>
      <c r="L227" s="20">
        <v>45811.875</v>
      </c>
      <c r="M227" s="19"/>
      <c r="N227" s="22">
        <f t="shared" si="6"/>
        <v>2.2222222221898846E-2</v>
      </c>
      <c r="O227" s="19" t="s">
        <v>50</v>
      </c>
      <c r="P227" s="19" t="s">
        <v>1890</v>
      </c>
      <c r="Q227" s="19" t="s">
        <v>1891</v>
      </c>
      <c r="R227" s="19" t="s">
        <v>1649</v>
      </c>
      <c r="S227" s="19" t="s">
        <v>1892</v>
      </c>
      <c r="T227" s="20">
        <v>45811.985150462962</v>
      </c>
      <c r="U227" s="19">
        <v>45812.738194444442</v>
      </c>
      <c r="V227" s="19" t="s">
        <v>157</v>
      </c>
      <c r="W227" s="19"/>
      <c r="X227" s="19" t="s">
        <v>269</v>
      </c>
      <c r="Y227" s="27" t="s">
        <v>133</v>
      </c>
      <c r="Z227" s="27" t="s">
        <v>944</v>
      </c>
      <c r="AA227" s="27" t="s">
        <v>1893</v>
      </c>
      <c r="AB227" s="27" t="s">
        <v>1894</v>
      </c>
      <c r="AC227" s="37" t="s">
        <v>1895</v>
      </c>
      <c r="AD227" s="38" t="s">
        <v>1896</v>
      </c>
      <c r="AE227" s="36">
        <v>45833</v>
      </c>
      <c r="AF227" s="19" t="s">
        <v>89</v>
      </c>
      <c r="AG227" s="19" t="s">
        <v>90</v>
      </c>
      <c r="AH227" s="19" t="s">
        <v>62</v>
      </c>
      <c r="AI227" s="19" t="s">
        <v>63</v>
      </c>
      <c r="AJ227" s="19" t="s">
        <v>1897</v>
      </c>
      <c r="AK227" s="19"/>
      <c r="AL227" s="19"/>
      <c r="AM227" s="19"/>
      <c r="AN227" s="19" t="s">
        <v>65</v>
      </c>
      <c r="AO227" s="23">
        <v>45811.852777777778</v>
      </c>
      <c r="AP227" s="26">
        <f t="shared" si="7"/>
        <v>32</v>
      </c>
    </row>
    <row r="228" spans="1:42" ht="25.5" hidden="1" customHeight="1">
      <c r="A228" s="19" t="s">
        <v>42</v>
      </c>
      <c r="C228" s="19" t="s">
        <v>1898</v>
      </c>
      <c r="D228" s="19" t="s">
        <v>45</v>
      </c>
      <c r="E228" s="19" t="s">
        <v>46</v>
      </c>
      <c r="F228" s="19" t="s">
        <v>1899</v>
      </c>
      <c r="G228" s="19" t="s">
        <v>48</v>
      </c>
      <c r="H228" s="19" t="s">
        <v>49</v>
      </c>
      <c r="I228" s="20">
        <v>45812.729166666657</v>
      </c>
      <c r="K228" s="19"/>
      <c r="L228" s="20">
        <v>45813.01666666667</v>
      </c>
      <c r="M228" s="19"/>
      <c r="N228" s="22">
        <f t="shared" si="6"/>
        <v>0.28750000001309672</v>
      </c>
      <c r="O228" s="19" t="s">
        <v>63</v>
      </c>
      <c r="P228" s="19" t="s">
        <v>1900</v>
      </c>
      <c r="Q228" s="19" t="s">
        <v>1901</v>
      </c>
      <c r="R228" s="19"/>
      <c r="S228" s="19"/>
      <c r="U228" s="19"/>
      <c r="W228" s="19"/>
      <c r="X228" s="19" t="s">
        <v>72</v>
      </c>
      <c r="Y228" s="27" t="s">
        <v>78</v>
      </c>
      <c r="Z228" s="27" t="s">
        <v>78</v>
      </c>
      <c r="AA228" s="27" t="s">
        <v>78</v>
      </c>
      <c r="AB228" s="27" t="s">
        <v>78</v>
      </c>
      <c r="AC228" s="37" t="s">
        <v>78</v>
      </c>
      <c r="AD228" s="38" t="s">
        <v>78</v>
      </c>
      <c r="AE228" s="36">
        <v>45833</v>
      </c>
      <c r="AF228" s="19" t="s">
        <v>89</v>
      </c>
      <c r="AG228" s="19" t="s">
        <v>90</v>
      </c>
      <c r="AH228" s="19" t="s">
        <v>62</v>
      </c>
      <c r="AI228" s="19" t="s">
        <v>63</v>
      </c>
      <c r="AJ228" s="19" t="s">
        <v>1902</v>
      </c>
      <c r="AK228" s="19"/>
      <c r="AL228" s="19"/>
      <c r="AM228" s="19"/>
      <c r="AN228" s="19" t="s">
        <v>65</v>
      </c>
      <c r="AO228" s="23">
        <v>45812.960416666669</v>
      </c>
      <c r="AP228" s="26">
        <f t="shared" si="7"/>
        <v>414</v>
      </c>
    </row>
    <row r="229" spans="1:42" ht="25.5" hidden="1" customHeight="1">
      <c r="A229" s="19" t="s">
        <v>42</v>
      </c>
      <c r="C229" s="19" t="s">
        <v>1903</v>
      </c>
      <c r="D229" s="19" t="s">
        <v>45</v>
      </c>
      <c r="E229" s="19" t="s">
        <v>46</v>
      </c>
      <c r="F229" s="19" t="s">
        <v>1904</v>
      </c>
      <c r="G229" s="19" t="s">
        <v>48</v>
      </c>
      <c r="H229" s="19" t="s">
        <v>49</v>
      </c>
      <c r="I229" s="20">
        <v>45813.035416666673</v>
      </c>
      <c r="K229" s="19"/>
      <c r="L229" s="20">
        <v>45813.100694444453</v>
      </c>
      <c r="M229" s="19"/>
      <c r="N229" s="22">
        <f t="shared" si="6"/>
        <v>6.5277777779556345E-2</v>
      </c>
      <c r="O229" s="19" t="s">
        <v>63</v>
      </c>
      <c r="P229" s="19" t="s">
        <v>1905</v>
      </c>
      <c r="Q229" s="19" t="s">
        <v>1906</v>
      </c>
      <c r="R229" s="19"/>
      <c r="S229" s="19"/>
      <c r="U229" s="19"/>
      <c r="W229" s="19"/>
      <c r="X229" s="19" t="s">
        <v>98</v>
      </c>
      <c r="Y229" s="27" t="s">
        <v>133</v>
      </c>
      <c r="Z229" s="27" t="s">
        <v>1907</v>
      </c>
      <c r="AA229" s="27" t="s">
        <v>1908</v>
      </c>
      <c r="AB229" s="27" t="s">
        <v>1909</v>
      </c>
      <c r="AC229" s="37" t="s">
        <v>1910</v>
      </c>
      <c r="AD229" s="38" t="s">
        <v>1911</v>
      </c>
      <c r="AE229" s="36">
        <v>45833</v>
      </c>
      <c r="AF229" s="19" t="s">
        <v>89</v>
      </c>
      <c r="AG229" s="19" t="s">
        <v>90</v>
      </c>
      <c r="AH229" s="19" t="s">
        <v>62</v>
      </c>
      <c r="AI229" s="19" t="s">
        <v>63</v>
      </c>
      <c r="AJ229" s="19" t="s">
        <v>1912</v>
      </c>
      <c r="AK229" s="19"/>
      <c r="AL229" s="19"/>
      <c r="AM229" s="19"/>
      <c r="AN229" s="19" t="s">
        <v>65</v>
      </c>
      <c r="AO229" s="23">
        <v>45813.035416666673</v>
      </c>
      <c r="AP229" s="26">
        <f t="shared" si="7"/>
        <v>94</v>
      </c>
    </row>
    <row r="230" spans="1:42" ht="25.5" hidden="1" customHeight="1">
      <c r="A230" s="19" t="s">
        <v>42</v>
      </c>
      <c r="B230" s="19" t="s">
        <v>117</v>
      </c>
      <c r="C230" s="19" t="s">
        <v>984</v>
      </c>
      <c r="D230" s="19" t="s">
        <v>45</v>
      </c>
      <c r="E230" s="19" t="s">
        <v>46</v>
      </c>
      <c r="F230" s="19" t="s">
        <v>1913</v>
      </c>
      <c r="G230" s="19" t="s">
        <v>48</v>
      </c>
      <c r="H230" s="19" t="s">
        <v>49</v>
      </c>
      <c r="I230" s="20">
        <v>45813.282638888893</v>
      </c>
      <c r="K230" s="19"/>
      <c r="L230" s="20">
        <v>45813.375</v>
      </c>
      <c r="M230" s="19"/>
      <c r="N230" s="22">
        <f t="shared" si="6"/>
        <v>9.2361111106583849E-2</v>
      </c>
      <c r="O230" s="19" t="s">
        <v>63</v>
      </c>
      <c r="P230" s="19" t="s">
        <v>1914</v>
      </c>
      <c r="Q230" s="19" t="s">
        <v>1915</v>
      </c>
      <c r="R230" s="19"/>
      <c r="S230" s="19"/>
      <c r="U230" s="19"/>
      <c r="W230" s="19"/>
      <c r="X230" s="19" t="s">
        <v>662</v>
      </c>
      <c r="Y230" s="27" t="s">
        <v>78</v>
      </c>
      <c r="Z230" s="27" t="s">
        <v>78</v>
      </c>
      <c r="AA230" s="27" t="s">
        <v>78</v>
      </c>
      <c r="AB230" s="27" t="s">
        <v>78</v>
      </c>
      <c r="AC230" s="37" t="s">
        <v>78</v>
      </c>
      <c r="AD230" s="38" t="s">
        <v>78</v>
      </c>
      <c r="AE230" s="36">
        <v>45833</v>
      </c>
      <c r="AF230" s="19" t="s">
        <v>89</v>
      </c>
      <c r="AG230" s="19" t="s">
        <v>90</v>
      </c>
      <c r="AH230" s="19" t="s">
        <v>62</v>
      </c>
      <c r="AI230" s="19" t="s">
        <v>63</v>
      </c>
      <c r="AJ230" s="19" t="s">
        <v>1916</v>
      </c>
      <c r="AK230" s="19"/>
      <c r="AL230" s="19"/>
      <c r="AM230" s="19"/>
      <c r="AN230" s="19" t="s">
        <v>65</v>
      </c>
      <c r="AO230" s="23">
        <v>45813.282638888893</v>
      </c>
      <c r="AP230" s="26">
        <f t="shared" si="7"/>
        <v>133</v>
      </c>
    </row>
    <row r="231" spans="1:42" ht="25.5" hidden="1" customHeight="1">
      <c r="A231" s="19" t="s">
        <v>92</v>
      </c>
      <c r="B231" s="19" t="s">
        <v>1917</v>
      </c>
      <c r="C231" s="19" t="s">
        <v>1918</v>
      </c>
      <c r="D231" s="19" t="s">
        <v>45</v>
      </c>
      <c r="E231" s="19" t="s">
        <v>46</v>
      </c>
      <c r="F231" s="19" t="s">
        <v>1919</v>
      </c>
      <c r="G231" s="19" t="s">
        <v>48</v>
      </c>
      <c r="H231" s="19" t="s">
        <v>49</v>
      </c>
      <c r="I231" s="20">
        <v>45813.35833333333</v>
      </c>
      <c r="K231" s="19"/>
      <c r="L231" s="20">
        <v>45813.371527777781</v>
      </c>
      <c r="M231" s="19"/>
      <c r="N231" s="22">
        <f t="shared" si="6"/>
        <v>1.319444445107365E-2</v>
      </c>
      <c r="O231" s="19" t="s">
        <v>50</v>
      </c>
      <c r="P231" s="19" t="s">
        <v>1920</v>
      </c>
      <c r="Q231" s="19" t="s">
        <v>1921</v>
      </c>
      <c r="R231" s="19"/>
      <c r="S231" s="19"/>
      <c r="U231" s="19"/>
      <c r="W231" s="19"/>
      <c r="X231" s="19" t="s">
        <v>109</v>
      </c>
      <c r="Y231" s="27" t="s">
        <v>133</v>
      </c>
      <c r="Z231" s="27" t="s">
        <v>123</v>
      </c>
      <c r="AA231" s="27" t="s">
        <v>1922</v>
      </c>
      <c r="AB231" s="27" t="s">
        <v>1923</v>
      </c>
      <c r="AC231" s="37">
        <v>45813.363194444442</v>
      </c>
      <c r="AD231" s="38">
        <v>45813.379861111112</v>
      </c>
      <c r="AE231" s="36">
        <v>45833</v>
      </c>
      <c r="AF231" s="19" t="s">
        <v>60</v>
      </c>
      <c r="AG231" s="19" t="s">
        <v>78</v>
      </c>
      <c r="AH231" s="19" t="s">
        <v>78</v>
      </c>
      <c r="AI231" s="19" t="s">
        <v>63</v>
      </c>
      <c r="AJ231" s="19" t="s">
        <v>1924</v>
      </c>
      <c r="AK231" s="19"/>
      <c r="AL231" s="19"/>
      <c r="AM231" s="19"/>
      <c r="AN231" s="19" t="s">
        <v>103</v>
      </c>
      <c r="AO231" s="23">
        <v>45813.35833333333</v>
      </c>
      <c r="AP231" s="26">
        <f t="shared" si="7"/>
        <v>19</v>
      </c>
    </row>
    <row r="232" spans="1:42" ht="25.5" hidden="1" customHeight="1">
      <c r="A232" s="19" t="s">
        <v>42</v>
      </c>
      <c r="C232" s="19" t="s">
        <v>1903</v>
      </c>
      <c r="D232" s="19" t="s">
        <v>45</v>
      </c>
      <c r="E232" s="19" t="s">
        <v>46</v>
      </c>
      <c r="F232" s="19" t="s">
        <v>1925</v>
      </c>
      <c r="G232" s="19" t="s">
        <v>48</v>
      </c>
      <c r="H232" s="19" t="s">
        <v>49</v>
      </c>
      <c r="I232" s="20">
        <v>45813.411111111112</v>
      </c>
      <c r="K232" s="19"/>
      <c r="L232" s="20">
        <v>45813.902083333327</v>
      </c>
      <c r="M232" s="19"/>
      <c r="N232" s="22">
        <f t="shared" si="6"/>
        <v>0.49097222221462289</v>
      </c>
      <c r="O232" s="19" t="s">
        <v>63</v>
      </c>
      <c r="P232" s="19" t="s">
        <v>1926</v>
      </c>
      <c r="Q232" s="19" t="s">
        <v>1927</v>
      </c>
      <c r="R232" s="19"/>
      <c r="S232" s="19"/>
      <c r="U232" s="19"/>
      <c r="W232" s="19"/>
      <c r="X232" s="19" t="s">
        <v>98</v>
      </c>
      <c r="Y232" s="27" t="s">
        <v>78</v>
      </c>
      <c r="Z232" s="27" t="s">
        <v>78</v>
      </c>
      <c r="AA232" s="27" t="s">
        <v>78</v>
      </c>
      <c r="AB232" s="27" t="s">
        <v>78</v>
      </c>
      <c r="AC232" s="37" t="s">
        <v>78</v>
      </c>
      <c r="AD232" s="38" t="s">
        <v>78</v>
      </c>
      <c r="AE232" s="36">
        <v>45833</v>
      </c>
      <c r="AF232" s="19" t="s">
        <v>89</v>
      </c>
      <c r="AG232" s="19" t="s">
        <v>90</v>
      </c>
      <c r="AH232" s="19" t="s">
        <v>62</v>
      </c>
      <c r="AI232" s="19" t="s">
        <v>63</v>
      </c>
      <c r="AJ232" s="19" t="s">
        <v>1928</v>
      </c>
      <c r="AK232" s="19"/>
      <c r="AL232" s="19"/>
      <c r="AM232" s="19"/>
      <c r="AN232" s="19" t="s">
        <v>65</v>
      </c>
      <c r="AO232" s="23">
        <v>45813.411111111112</v>
      </c>
      <c r="AP232" s="26">
        <f t="shared" si="7"/>
        <v>707</v>
      </c>
    </row>
    <row r="233" spans="1:42" ht="25.5" customHeight="1">
      <c r="A233" s="19" t="s">
        <v>42</v>
      </c>
      <c r="B233" s="19" t="s">
        <v>43</v>
      </c>
      <c r="C233" s="19" t="s">
        <v>1767</v>
      </c>
      <c r="D233" s="19" t="s">
        <v>45</v>
      </c>
      <c r="E233" s="19" t="s">
        <v>46</v>
      </c>
      <c r="F233" s="19" t="s">
        <v>1929</v>
      </c>
      <c r="G233" s="19" t="s">
        <v>48</v>
      </c>
      <c r="H233" s="19" t="s">
        <v>152</v>
      </c>
      <c r="I233" s="20">
        <v>45813.506944444453</v>
      </c>
      <c r="J233" s="20">
        <v>45813.541666666657</v>
      </c>
      <c r="K233" s="19"/>
      <c r="L233" s="20">
        <v>45813.583333333343</v>
      </c>
      <c r="M233" s="19"/>
      <c r="N233" s="22">
        <f t="shared" si="6"/>
        <v>7.6388888890505768E-2</v>
      </c>
      <c r="O233" s="19" t="s">
        <v>50</v>
      </c>
      <c r="P233" s="19" t="s">
        <v>1930</v>
      </c>
      <c r="Q233" s="19" t="s">
        <v>1931</v>
      </c>
      <c r="R233" s="19" t="s">
        <v>1932</v>
      </c>
      <c r="S233" s="19" t="s">
        <v>1933</v>
      </c>
      <c r="T233" s="20">
        <v>45813.642638888887</v>
      </c>
      <c r="U233" s="19">
        <v>45820.754861111112</v>
      </c>
      <c r="V233" s="19" t="s">
        <v>157</v>
      </c>
      <c r="W233" s="19"/>
      <c r="X233" s="19" t="s">
        <v>53</v>
      </c>
      <c r="Y233" s="27" t="s">
        <v>54</v>
      </c>
      <c r="Z233" s="27" t="s">
        <v>196</v>
      </c>
      <c r="AA233" s="27" t="s">
        <v>1934</v>
      </c>
      <c r="AB233" s="27" t="s">
        <v>1935</v>
      </c>
      <c r="AC233" s="37" t="s">
        <v>1936</v>
      </c>
      <c r="AD233" s="38" t="s">
        <v>1937</v>
      </c>
      <c r="AE233" s="36">
        <v>45833</v>
      </c>
      <c r="AF233" s="19" t="s">
        <v>1555</v>
      </c>
      <c r="AG233" s="19" t="s">
        <v>1556</v>
      </c>
      <c r="AH233" s="19" t="s">
        <v>164</v>
      </c>
      <c r="AI233" s="19" t="s">
        <v>63</v>
      </c>
      <c r="AJ233" s="19" t="s">
        <v>1938</v>
      </c>
      <c r="AK233" s="19"/>
      <c r="AL233" s="19"/>
      <c r="AM233" s="19"/>
      <c r="AN233" s="19" t="s">
        <v>65</v>
      </c>
      <c r="AO233" s="23">
        <v>45813.411111111112</v>
      </c>
      <c r="AP233" s="26">
        <f t="shared" si="7"/>
        <v>110</v>
      </c>
    </row>
    <row r="234" spans="1:42" ht="25.5" customHeight="1">
      <c r="A234" s="19" t="s">
        <v>285</v>
      </c>
      <c r="B234" s="19" t="s">
        <v>104</v>
      </c>
      <c r="C234" s="19" t="s">
        <v>1939</v>
      </c>
      <c r="D234" s="19" t="s">
        <v>45</v>
      </c>
      <c r="E234" s="19" t="s">
        <v>46</v>
      </c>
      <c r="F234" s="19" t="s">
        <v>1940</v>
      </c>
      <c r="G234" s="19" t="s">
        <v>48</v>
      </c>
      <c r="H234" s="19" t="s">
        <v>152</v>
      </c>
      <c r="I234" s="20">
        <v>45813.584722222222</v>
      </c>
      <c r="J234" s="20">
        <v>45813.597916666673</v>
      </c>
      <c r="K234" s="19"/>
      <c r="L234" s="20">
        <v>45813.611805555563</v>
      </c>
      <c r="M234" s="19"/>
      <c r="N234" s="22">
        <f t="shared" si="6"/>
        <v>2.7083333341579419E-2</v>
      </c>
      <c r="O234" s="19" t="s">
        <v>50</v>
      </c>
      <c r="P234" s="19" t="s">
        <v>1941</v>
      </c>
      <c r="Q234" s="19" t="s">
        <v>1942</v>
      </c>
      <c r="R234" s="19" t="s">
        <v>1943</v>
      </c>
      <c r="S234" s="19" t="s">
        <v>1944</v>
      </c>
      <c r="T234" s="20">
        <v>45813.70652777778</v>
      </c>
      <c r="U234" s="19">
        <v>45818.67291666667</v>
      </c>
      <c r="V234" s="19" t="s">
        <v>157</v>
      </c>
      <c r="W234" s="19"/>
      <c r="X234" s="19" t="s">
        <v>109</v>
      </c>
      <c r="Y234" s="27" t="s">
        <v>133</v>
      </c>
      <c r="Z234" s="27" t="s">
        <v>1945</v>
      </c>
      <c r="AA234" s="27" t="s">
        <v>1946</v>
      </c>
      <c r="AB234" s="27" t="s">
        <v>1947</v>
      </c>
      <c r="AC234" s="37" t="s">
        <v>1948</v>
      </c>
      <c r="AD234" s="38" t="s">
        <v>1949</v>
      </c>
      <c r="AE234" s="36">
        <v>45833</v>
      </c>
      <c r="AF234" s="19" t="s">
        <v>89</v>
      </c>
      <c r="AG234" s="19" t="s">
        <v>90</v>
      </c>
      <c r="AH234" s="19" t="s">
        <v>62</v>
      </c>
      <c r="AI234" s="19" t="s">
        <v>63</v>
      </c>
      <c r="AJ234" s="19" t="s">
        <v>1950</v>
      </c>
      <c r="AK234" s="19"/>
      <c r="AL234" s="19"/>
      <c r="AM234" s="19"/>
      <c r="AN234" s="19" t="s">
        <v>65</v>
      </c>
      <c r="AO234" s="23">
        <v>45813.584722222222</v>
      </c>
      <c r="AP234" s="26">
        <f t="shared" si="7"/>
        <v>39</v>
      </c>
    </row>
    <row r="235" spans="1:42" ht="25.5" hidden="1" customHeight="1">
      <c r="A235" s="19" t="s">
        <v>42</v>
      </c>
      <c r="B235" s="19" t="s">
        <v>242</v>
      </c>
      <c r="C235" s="19" t="s">
        <v>1951</v>
      </c>
      <c r="D235" s="19" t="s">
        <v>45</v>
      </c>
      <c r="E235" s="19" t="s">
        <v>46</v>
      </c>
      <c r="F235" s="19" t="s">
        <v>1952</v>
      </c>
      <c r="G235" s="19" t="s">
        <v>48</v>
      </c>
      <c r="H235" s="19" t="s">
        <v>49</v>
      </c>
      <c r="I235" s="20">
        <v>45814.3125</v>
      </c>
      <c r="K235" s="19"/>
      <c r="L235" s="20">
        <v>45814.326388888891</v>
      </c>
      <c r="M235" s="19"/>
      <c r="N235" s="22">
        <f t="shared" si="6"/>
        <v>1.3888888890505768E-2</v>
      </c>
      <c r="O235" s="19" t="s">
        <v>50</v>
      </c>
      <c r="P235" s="19" t="s">
        <v>1953</v>
      </c>
      <c r="Q235" s="19" t="s">
        <v>1954</v>
      </c>
      <c r="R235" s="19" t="s">
        <v>1955</v>
      </c>
      <c r="S235" s="19"/>
      <c r="U235" s="19"/>
      <c r="W235" s="19"/>
      <c r="X235" s="19" t="s">
        <v>109</v>
      </c>
      <c r="Y235" s="27" t="s">
        <v>54</v>
      </c>
      <c r="Z235" s="27" t="s">
        <v>414</v>
      </c>
      <c r="AA235" s="27" t="s">
        <v>1956</v>
      </c>
      <c r="AB235" s="27" t="s">
        <v>1957</v>
      </c>
      <c r="AC235" s="37">
        <v>45814.309027777781</v>
      </c>
      <c r="AD235" s="38">
        <v>45814.335810185177</v>
      </c>
      <c r="AE235" s="36">
        <v>45833</v>
      </c>
      <c r="AF235" s="19" t="s">
        <v>89</v>
      </c>
      <c r="AG235" s="19" t="s">
        <v>126</v>
      </c>
      <c r="AH235" s="19" t="s">
        <v>164</v>
      </c>
      <c r="AI235" s="19" t="s">
        <v>63</v>
      </c>
      <c r="AJ235" s="19" t="s">
        <v>1958</v>
      </c>
      <c r="AK235" s="19"/>
      <c r="AL235" s="19"/>
      <c r="AM235" s="19"/>
      <c r="AN235" s="19" t="s">
        <v>65</v>
      </c>
      <c r="AO235" s="23">
        <v>45814.3125</v>
      </c>
      <c r="AP235" s="26">
        <f t="shared" si="7"/>
        <v>20</v>
      </c>
    </row>
    <row r="236" spans="1:42" ht="25.5" hidden="1" customHeight="1">
      <c r="A236" s="19" t="s">
        <v>42</v>
      </c>
      <c r="C236" s="19" t="s">
        <v>752</v>
      </c>
      <c r="D236" s="19" t="s">
        <v>45</v>
      </c>
      <c r="E236" s="19" t="s">
        <v>46</v>
      </c>
      <c r="F236" s="19" t="s">
        <v>1959</v>
      </c>
      <c r="G236" s="19" t="s">
        <v>48</v>
      </c>
      <c r="H236" s="19" t="s">
        <v>49</v>
      </c>
      <c r="I236" s="20">
        <v>45814.46875</v>
      </c>
      <c r="K236" s="19"/>
      <c r="L236" s="20">
        <v>45814.527777777781</v>
      </c>
      <c r="M236" s="19"/>
      <c r="N236" s="22">
        <f t="shared" si="6"/>
        <v>5.9027777781011537E-2</v>
      </c>
      <c r="O236" s="19" t="s">
        <v>50</v>
      </c>
      <c r="P236" s="19" t="s">
        <v>1960</v>
      </c>
      <c r="Q236" s="19" t="s">
        <v>1961</v>
      </c>
      <c r="R236" s="19"/>
      <c r="S236" s="19"/>
      <c r="U236" s="19"/>
      <c r="W236" s="19"/>
      <c r="X236" s="19" t="s">
        <v>72</v>
      </c>
      <c r="Y236" s="27" t="s">
        <v>78</v>
      </c>
      <c r="Z236" s="27" t="s">
        <v>78</v>
      </c>
      <c r="AA236" s="27" t="s">
        <v>78</v>
      </c>
      <c r="AB236" s="27" t="s">
        <v>78</v>
      </c>
      <c r="AC236" s="37" t="s">
        <v>78</v>
      </c>
      <c r="AD236" s="38" t="s">
        <v>78</v>
      </c>
      <c r="AE236" s="36">
        <v>45833</v>
      </c>
      <c r="AF236" s="19" t="s">
        <v>99</v>
      </c>
      <c r="AG236" s="19" t="s">
        <v>100</v>
      </c>
      <c r="AH236" s="19" t="s">
        <v>62</v>
      </c>
      <c r="AI236" s="19" t="s">
        <v>63</v>
      </c>
      <c r="AJ236" s="19" t="s">
        <v>1962</v>
      </c>
      <c r="AK236" s="19" t="s">
        <v>1963</v>
      </c>
      <c r="AL236" s="19"/>
      <c r="AM236" s="19"/>
      <c r="AN236" s="19" t="s">
        <v>65</v>
      </c>
      <c r="AO236" s="23">
        <v>45814.46875</v>
      </c>
      <c r="AP236" s="26">
        <f t="shared" si="7"/>
        <v>85</v>
      </c>
    </row>
    <row r="237" spans="1:42" ht="25.5" hidden="1" customHeight="1">
      <c r="A237" s="19" t="s">
        <v>285</v>
      </c>
      <c r="B237" s="19" t="s">
        <v>43</v>
      </c>
      <c r="C237" s="19" t="s">
        <v>1903</v>
      </c>
      <c r="D237" s="19" t="s">
        <v>45</v>
      </c>
      <c r="E237" s="19" t="s">
        <v>46</v>
      </c>
      <c r="F237" s="19" t="s">
        <v>1964</v>
      </c>
      <c r="G237" s="19" t="s">
        <v>48</v>
      </c>
      <c r="H237" s="19" t="s">
        <v>49</v>
      </c>
      <c r="I237" s="20">
        <v>45814.475694444453</v>
      </c>
      <c r="K237" s="19"/>
      <c r="L237" s="20">
        <v>45814.5</v>
      </c>
      <c r="M237" s="19"/>
      <c r="N237" s="22">
        <f t="shared" si="6"/>
        <v>2.4305555547471158E-2</v>
      </c>
      <c r="O237" s="19" t="s">
        <v>63</v>
      </c>
      <c r="P237" s="19" t="s">
        <v>1965</v>
      </c>
      <c r="Q237" s="19" t="s">
        <v>1966</v>
      </c>
      <c r="R237" s="19"/>
      <c r="S237" s="19"/>
      <c r="U237" s="19"/>
      <c r="W237" s="19"/>
      <c r="X237" s="19" t="s">
        <v>98</v>
      </c>
      <c r="Y237" s="27" t="s">
        <v>133</v>
      </c>
      <c r="Z237" s="27" t="s">
        <v>1852</v>
      </c>
      <c r="AA237" s="27" t="s">
        <v>1967</v>
      </c>
      <c r="AB237" s="27" t="s">
        <v>1968</v>
      </c>
      <c r="AC237" s="37" t="s">
        <v>1969</v>
      </c>
      <c r="AD237" s="38" t="s">
        <v>1969</v>
      </c>
      <c r="AE237" s="36">
        <v>45833</v>
      </c>
      <c r="AF237" s="19" t="s">
        <v>293</v>
      </c>
      <c r="AG237" s="19" t="s">
        <v>294</v>
      </c>
      <c r="AH237" s="19" t="s">
        <v>62</v>
      </c>
      <c r="AI237" s="19" t="s">
        <v>63</v>
      </c>
      <c r="AJ237" s="19" t="s">
        <v>1970</v>
      </c>
      <c r="AK237" s="19"/>
      <c r="AL237" s="19"/>
      <c r="AM237" s="19"/>
      <c r="AN237" s="19" t="s">
        <v>65</v>
      </c>
      <c r="AO237" s="23">
        <v>45814.475694444453</v>
      </c>
      <c r="AP237" s="26">
        <f t="shared" si="7"/>
        <v>35</v>
      </c>
    </row>
    <row r="238" spans="1:42" ht="25.5" hidden="1" customHeight="1">
      <c r="A238" s="19" t="s">
        <v>42</v>
      </c>
      <c r="B238" s="19" t="s">
        <v>43</v>
      </c>
      <c r="C238" s="19" t="s">
        <v>1971</v>
      </c>
      <c r="D238" s="19" t="s">
        <v>45</v>
      </c>
      <c r="E238" s="19" t="s">
        <v>46</v>
      </c>
      <c r="F238" s="19" t="s">
        <v>1972</v>
      </c>
      <c r="G238" s="19" t="s">
        <v>48</v>
      </c>
      <c r="H238" s="19" t="s">
        <v>49</v>
      </c>
      <c r="I238" s="20">
        <v>45814.518055555563</v>
      </c>
      <c r="K238" s="19"/>
      <c r="L238" s="20">
        <v>45814.541666666657</v>
      </c>
      <c r="M238" s="19"/>
      <c r="N238" s="22">
        <f t="shared" si="6"/>
        <v>2.3611111093487125E-2</v>
      </c>
      <c r="O238" s="19" t="s">
        <v>50</v>
      </c>
      <c r="P238" s="19" t="s">
        <v>1973</v>
      </c>
      <c r="Q238" s="19" t="s">
        <v>1974</v>
      </c>
      <c r="R238" s="19"/>
      <c r="S238" s="19"/>
      <c r="U238" s="19"/>
      <c r="W238" s="19"/>
      <c r="X238" s="19" t="s">
        <v>53</v>
      </c>
      <c r="Y238" s="27" t="s">
        <v>54</v>
      </c>
      <c r="Z238" s="27" t="s">
        <v>1852</v>
      </c>
      <c r="AA238" s="27" t="s">
        <v>1975</v>
      </c>
      <c r="AB238" s="27" t="s">
        <v>1976</v>
      </c>
      <c r="AC238" s="37" t="s">
        <v>1977</v>
      </c>
      <c r="AD238" s="38" t="s">
        <v>1978</v>
      </c>
      <c r="AE238" s="36">
        <v>45833</v>
      </c>
      <c r="AF238" s="19" t="s">
        <v>89</v>
      </c>
      <c r="AG238" s="19" t="s">
        <v>90</v>
      </c>
      <c r="AH238" s="19" t="s">
        <v>62</v>
      </c>
      <c r="AI238" s="19" t="s">
        <v>63</v>
      </c>
      <c r="AJ238" s="19" t="s">
        <v>1979</v>
      </c>
      <c r="AK238" s="19"/>
      <c r="AL238" s="19"/>
      <c r="AM238" s="19"/>
      <c r="AN238" s="19" t="s">
        <v>65</v>
      </c>
      <c r="AO238" s="23">
        <v>45814.518055555563</v>
      </c>
      <c r="AP238" s="26">
        <f t="shared" si="7"/>
        <v>34</v>
      </c>
    </row>
    <row r="239" spans="1:42" ht="25.5" hidden="1" customHeight="1">
      <c r="A239" s="19" t="s">
        <v>285</v>
      </c>
      <c r="B239" s="19" t="s">
        <v>43</v>
      </c>
      <c r="C239" s="19" t="s">
        <v>1903</v>
      </c>
      <c r="D239" s="19" t="s">
        <v>45</v>
      </c>
      <c r="E239" s="19" t="s">
        <v>46</v>
      </c>
      <c r="F239" s="19" t="s">
        <v>1964</v>
      </c>
      <c r="G239" s="19" t="s">
        <v>226</v>
      </c>
      <c r="H239" s="19" t="s">
        <v>49</v>
      </c>
      <c r="I239" s="20">
        <v>45814.527777777781</v>
      </c>
      <c r="K239" s="19"/>
      <c r="L239" s="20">
        <v>45814.541666666657</v>
      </c>
      <c r="M239" s="19"/>
      <c r="N239" s="22">
        <f t="shared" si="6"/>
        <v>1.3888888875953853E-2</v>
      </c>
      <c r="O239" s="19" t="s">
        <v>63</v>
      </c>
      <c r="P239" s="19" t="s">
        <v>1965</v>
      </c>
      <c r="Q239" s="19" t="s">
        <v>1980</v>
      </c>
      <c r="R239" s="19"/>
      <c r="S239" s="19"/>
      <c r="U239" s="19"/>
      <c r="W239" s="19"/>
      <c r="X239" s="19" t="s">
        <v>98</v>
      </c>
      <c r="Y239" s="27" t="s">
        <v>133</v>
      </c>
      <c r="Z239" s="27" t="s">
        <v>1852</v>
      </c>
      <c r="AA239" s="27" t="s">
        <v>1981</v>
      </c>
      <c r="AB239" s="27" t="s">
        <v>1982</v>
      </c>
      <c r="AC239" s="37" t="s">
        <v>1983</v>
      </c>
      <c r="AD239" s="38" t="s">
        <v>1984</v>
      </c>
      <c r="AE239" s="36">
        <v>45833</v>
      </c>
      <c r="AF239" s="19" t="s">
        <v>293</v>
      </c>
      <c r="AG239" s="19" t="s">
        <v>294</v>
      </c>
      <c r="AH239" s="19" t="s">
        <v>62</v>
      </c>
      <c r="AI239" s="19" t="s">
        <v>50</v>
      </c>
      <c r="AJ239" s="19" t="s">
        <v>1970</v>
      </c>
      <c r="AK239" s="19"/>
      <c r="AL239" s="19"/>
      <c r="AM239" s="19"/>
      <c r="AN239" s="19" t="s">
        <v>65</v>
      </c>
      <c r="AO239" s="23">
        <v>45814.527777777781</v>
      </c>
      <c r="AP239" s="26">
        <f t="shared" si="7"/>
        <v>20</v>
      </c>
    </row>
    <row r="240" spans="1:42" ht="25.5" hidden="1" customHeight="1">
      <c r="A240" s="19" t="s">
        <v>42</v>
      </c>
      <c r="B240" s="19" t="s">
        <v>66</v>
      </c>
      <c r="C240" s="19" t="s">
        <v>901</v>
      </c>
      <c r="D240" s="19" t="s">
        <v>45</v>
      </c>
      <c r="E240" s="19" t="s">
        <v>46</v>
      </c>
      <c r="F240" s="19" t="s">
        <v>1985</v>
      </c>
      <c r="G240" s="19" t="s">
        <v>48</v>
      </c>
      <c r="H240" s="19" t="s">
        <v>49</v>
      </c>
      <c r="I240" s="20">
        <v>45815.291666666657</v>
      </c>
      <c r="K240" s="19"/>
      <c r="L240" s="20">
        <v>45815.45</v>
      </c>
      <c r="M240" s="19"/>
      <c r="N240" s="22">
        <f t="shared" si="6"/>
        <v>0.15833333334012423</v>
      </c>
      <c r="O240" s="19" t="s">
        <v>50</v>
      </c>
      <c r="P240" s="19" t="s">
        <v>1986</v>
      </c>
      <c r="Q240" s="19" t="s">
        <v>1987</v>
      </c>
      <c r="R240" s="19"/>
      <c r="S240" s="19"/>
      <c r="U240" s="19"/>
      <c r="W240" s="19"/>
      <c r="X240" s="19" t="s">
        <v>72</v>
      </c>
      <c r="Y240" s="27" t="s">
        <v>54</v>
      </c>
      <c r="Z240" s="27" t="s">
        <v>1988</v>
      </c>
      <c r="AA240" s="27" t="s">
        <v>1989</v>
      </c>
      <c r="AB240" s="27" t="s">
        <v>1990</v>
      </c>
      <c r="AC240" s="37" t="s">
        <v>1991</v>
      </c>
      <c r="AD240" s="38" t="s">
        <v>1992</v>
      </c>
      <c r="AE240" s="36">
        <v>45833</v>
      </c>
      <c r="AF240" s="19" t="s">
        <v>60</v>
      </c>
      <c r="AG240" s="19" t="s">
        <v>78</v>
      </c>
      <c r="AH240" s="19" t="s">
        <v>62</v>
      </c>
      <c r="AI240" s="19" t="s">
        <v>63</v>
      </c>
      <c r="AJ240" s="19" t="s">
        <v>1993</v>
      </c>
      <c r="AK240" s="19"/>
      <c r="AL240" s="19"/>
      <c r="AM240" s="19"/>
      <c r="AN240" s="19" t="s">
        <v>65</v>
      </c>
      <c r="AO240" s="23">
        <v>45815.291666666657</v>
      </c>
      <c r="AP240" s="26">
        <f t="shared" si="7"/>
        <v>228</v>
      </c>
    </row>
    <row r="241" spans="1:42" ht="25.5" hidden="1" customHeight="1">
      <c r="A241" s="19" t="s">
        <v>42</v>
      </c>
      <c r="B241" s="19" t="s">
        <v>1994</v>
      </c>
      <c r="C241" s="19" t="s">
        <v>1995</v>
      </c>
      <c r="D241" s="19" t="s">
        <v>45</v>
      </c>
      <c r="E241" s="19" t="s">
        <v>46</v>
      </c>
      <c r="F241" s="19" t="s">
        <v>1996</v>
      </c>
      <c r="G241" s="19" t="s">
        <v>48</v>
      </c>
      <c r="H241" s="19" t="s">
        <v>49</v>
      </c>
      <c r="I241" s="20">
        <v>45816.305555555547</v>
      </c>
      <c r="K241" s="19"/>
      <c r="L241" s="20">
        <v>45816.431944444441</v>
      </c>
      <c r="M241" s="19"/>
      <c r="N241" s="22">
        <f t="shared" si="6"/>
        <v>0.12638888889341615</v>
      </c>
      <c r="O241" s="19" t="s">
        <v>50</v>
      </c>
      <c r="P241" s="19" t="s">
        <v>1997</v>
      </c>
      <c r="Q241" s="19" t="s">
        <v>1998</v>
      </c>
      <c r="R241" s="19"/>
      <c r="S241" s="19"/>
      <c r="U241" s="19"/>
      <c r="W241" s="19"/>
      <c r="X241" s="19" t="s">
        <v>314</v>
      </c>
      <c r="Y241" s="27" t="s">
        <v>133</v>
      </c>
      <c r="Z241" s="27" t="s">
        <v>361</v>
      </c>
      <c r="AA241" s="27" t="s">
        <v>1999</v>
      </c>
      <c r="AB241" s="27" t="s">
        <v>2000</v>
      </c>
      <c r="AC241" s="37" t="s">
        <v>2001</v>
      </c>
      <c r="AD241" s="38" t="s">
        <v>2002</v>
      </c>
      <c r="AE241" s="36">
        <v>45833</v>
      </c>
      <c r="AF241" s="19" t="s">
        <v>89</v>
      </c>
      <c r="AG241" s="19" t="s">
        <v>90</v>
      </c>
      <c r="AH241" s="19" t="s">
        <v>62</v>
      </c>
      <c r="AI241" s="19" t="s">
        <v>63</v>
      </c>
      <c r="AJ241" s="19" t="s">
        <v>2003</v>
      </c>
      <c r="AK241" s="19"/>
      <c r="AL241" s="19"/>
      <c r="AM241" s="19"/>
      <c r="AN241" s="19" t="s">
        <v>103</v>
      </c>
      <c r="AO241" s="23">
        <v>45816.305555555547</v>
      </c>
      <c r="AP241" s="26">
        <f t="shared" si="7"/>
        <v>182</v>
      </c>
    </row>
    <row r="242" spans="1:42" ht="25.5" hidden="1" customHeight="1">
      <c r="A242" s="19" t="s">
        <v>42</v>
      </c>
      <c r="B242" s="19" t="s">
        <v>43</v>
      </c>
      <c r="C242" s="19" t="s">
        <v>868</v>
      </c>
      <c r="D242" s="19" t="s">
        <v>45</v>
      </c>
      <c r="E242" s="19" t="s">
        <v>46</v>
      </c>
      <c r="F242" s="19" t="s">
        <v>2004</v>
      </c>
      <c r="G242" s="19" t="s">
        <v>48</v>
      </c>
      <c r="H242" s="19" t="s">
        <v>49</v>
      </c>
      <c r="I242" s="20">
        <v>45816.679166666669</v>
      </c>
      <c r="K242" s="19"/>
      <c r="L242" s="20">
        <v>45816.73333333333</v>
      </c>
      <c r="M242" s="19"/>
      <c r="N242" s="22">
        <f t="shared" si="6"/>
        <v>5.4166666661330964E-2</v>
      </c>
      <c r="O242" s="19" t="s">
        <v>50</v>
      </c>
      <c r="P242" s="19" t="s">
        <v>2005</v>
      </c>
      <c r="Q242" s="19" t="s">
        <v>2006</v>
      </c>
      <c r="R242" s="19" t="s">
        <v>2007</v>
      </c>
      <c r="S242" s="19"/>
      <c r="U242" s="19"/>
      <c r="W242" s="19"/>
      <c r="X242" s="19" t="s">
        <v>746</v>
      </c>
      <c r="Y242" s="27" t="s">
        <v>54</v>
      </c>
      <c r="Z242" s="27" t="s">
        <v>123</v>
      </c>
      <c r="AA242" s="27" t="s">
        <v>2008</v>
      </c>
      <c r="AB242" s="27" t="s">
        <v>2009</v>
      </c>
      <c r="AC242" s="37">
        <v>45816.665972222218</v>
      </c>
      <c r="AD242" s="38">
        <v>45816.699305555558</v>
      </c>
      <c r="AE242" s="36">
        <v>45833</v>
      </c>
      <c r="AF242" s="19" t="s">
        <v>89</v>
      </c>
      <c r="AG242" s="19" t="s">
        <v>90</v>
      </c>
      <c r="AH242" s="19" t="s">
        <v>62</v>
      </c>
      <c r="AI242" s="19" t="s">
        <v>50</v>
      </c>
      <c r="AJ242" s="19" t="s">
        <v>2010</v>
      </c>
      <c r="AK242" s="19"/>
      <c r="AL242" s="19"/>
      <c r="AM242" s="19"/>
      <c r="AN242" s="19" t="s">
        <v>103</v>
      </c>
      <c r="AO242" s="23">
        <v>45816.679166666669</v>
      </c>
      <c r="AP242" s="26">
        <f t="shared" si="7"/>
        <v>78</v>
      </c>
    </row>
    <row r="243" spans="1:42" ht="25.5" hidden="1" customHeight="1">
      <c r="A243" s="19" t="s">
        <v>42</v>
      </c>
      <c r="C243" s="19" t="s">
        <v>2011</v>
      </c>
      <c r="D243" s="19" t="s">
        <v>45</v>
      </c>
      <c r="E243" s="19" t="s">
        <v>46</v>
      </c>
      <c r="F243" s="19" t="s">
        <v>2012</v>
      </c>
      <c r="G243" s="19" t="s">
        <v>48</v>
      </c>
      <c r="H243" s="19" t="s">
        <v>49</v>
      </c>
      <c r="I243" s="20">
        <v>45817.291666666657</v>
      </c>
      <c r="K243" s="19"/>
      <c r="L243" s="20">
        <v>45817.319444444453</v>
      </c>
      <c r="M243" s="19"/>
      <c r="N243" s="22">
        <f t="shared" si="6"/>
        <v>2.7777777795563452E-2</v>
      </c>
      <c r="O243" s="19" t="s">
        <v>63</v>
      </c>
      <c r="P243" s="19" t="s">
        <v>2013</v>
      </c>
      <c r="Q243" s="19" t="s">
        <v>2014</v>
      </c>
      <c r="R243" s="19"/>
      <c r="S243" s="19"/>
      <c r="U243" s="19"/>
      <c r="W243" s="19"/>
      <c r="X243" s="19" t="s">
        <v>72</v>
      </c>
      <c r="Y243" s="27" t="s">
        <v>54</v>
      </c>
      <c r="Z243" s="27" t="s">
        <v>123</v>
      </c>
      <c r="AA243" s="27" t="s">
        <v>2015</v>
      </c>
      <c r="AB243" s="27" t="s">
        <v>2016</v>
      </c>
      <c r="AC243" s="37">
        <v>45817.070833333331</v>
      </c>
      <c r="AD243" s="38">
        <v>45817.092361111107</v>
      </c>
      <c r="AE243" s="36">
        <v>45833</v>
      </c>
      <c r="AF243" s="19" t="s">
        <v>99</v>
      </c>
      <c r="AG243" s="19" t="s">
        <v>139</v>
      </c>
      <c r="AH243" s="19" t="s">
        <v>62</v>
      </c>
      <c r="AI243" s="19" t="s">
        <v>63</v>
      </c>
      <c r="AJ243" s="19" t="s">
        <v>2017</v>
      </c>
      <c r="AK243" s="19" t="s">
        <v>2018</v>
      </c>
      <c r="AL243" s="19"/>
      <c r="AM243" s="19"/>
      <c r="AN243" s="19" t="s">
        <v>65</v>
      </c>
      <c r="AO243" s="23">
        <v>45817.32708333333</v>
      </c>
      <c r="AP243" s="26">
        <f t="shared" si="7"/>
        <v>40</v>
      </c>
    </row>
    <row r="244" spans="1:42" ht="25.5" hidden="1" customHeight="1">
      <c r="A244" s="19" t="s">
        <v>42</v>
      </c>
      <c r="B244" s="19" t="s">
        <v>383</v>
      </c>
      <c r="C244" s="19" t="s">
        <v>2019</v>
      </c>
      <c r="D244" s="19" t="s">
        <v>45</v>
      </c>
      <c r="E244" s="19" t="s">
        <v>46</v>
      </c>
      <c r="F244" s="19" t="s">
        <v>2020</v>
      </c>
      <c r="G244" s="19" t="s">
        <v>48</v>
      </c>
      <c r="H244" s="19" t="s">
        <v>49</v>
      </c>
      <c r="I244" s="20">
        <v>45817.291666666657</v>
      </c>
      <c r="K244" s="19"/>
      <c r="L244" s="20">
        <v>45817.34652777778</v>
      </c>
      <c r="M244" s="19"/>
      <c r="N244" s="22">
        <f t="shared" si="6"/>
        <v>5.4861111122590955E-2</v>
      </c>
      <c r="O244" s="19" t="s">
        <v>50</v>
      </c>
      <c r="P244" s="19" t="s">
        <v>1183</v>
      </c>
      <c r="Q244" s="19" t="s">
        <v>2021</v>
      </c>
      <c r="R244" s="19"/>
      <c r="S244" s="19"/>
      <c r="U244" s="19"/>
      <c r="W244" s="19"/>
      <c r="X244" s="19" t="s">
        <v>109</v>
      </c>
      <c r="Y244" s="27" t="s">
        <v>133</v>
      </c>
      <c r="Z244" s="27" t="s">
        <v>123</v>
      </c>
      <c r="AA244" s="27" t="s">
        <v>2022</v>
      </c>
      <c r="AB244" s="27" t="s">
        <v>2023</v>
      </c>
      <c r="AC244" s="37">
        <v>45817.304166666669</v>
      </c>
      <c r="AD244" s="38">
        <v>45817.359722222223</v>
      </c>
      <c r="AE244" s="36">
        <v>45833</v>
      </c>
      <c r="AF244" s="19" t="s">
        <v>89</v>
      </c>
      <c r="AG244" s="19" t="s">
        <v>90</v>
      </c>
      <c r="AH244" s="19" t="s">
        <v>62</v>
      </c>
      <c r="AI244" s="19" t="s">
        <v>63</v>
      </c>
      <c r="AJ244" s="19" t="s">
        <v>2024</v>
      </c>
      <c r="AK244" s="19"/>
      <c r="AL244" s="19"/>
      <c r="AM244" s="19"/>
      <c r="AN244" s="19" t="s">
        <v>622</v>
      </c>
      <c r="AO244" s="23">
        <v>45817.388888888891</v>
      </c>
      <c r="AP244" s="26">
        <f t="shared" si="7"/>
        <v>79</v>
      </c>
    </row>
    <row r="245" spans="1:42" ht="25.5" hidden="1" customHeight="1">
      <c r="A245" s="19" t="s">
        <v>116</v>
      </c>
      <c r="B245" s="19" t="s">
        <v>599</v>
      </c>
      <c r="C245" s="19" t="s">
        <v>2025</v>
      </c>
      <c r="D245" s="19" t="s">
        <v>45</v>
      </c>
      <c r="E245" s="19" t="s">
        <v>46</v>
      </c>
      <c r="F245" s="19" t="s">
        <v>2026</v>
      </c>
      <c r="G245" s="19" t="s">
        <v>48</v>
      </c>
      <c r="H245" s="19" t="s">
        <v>49</v>
      </c>
      <c r="I245" s="20">
        <v>45817.363194444442</v>
      </c>
      <c r="K245" s="19"/>
      <c r="L245" s="20">
        <v>45817.377083333333</v>
      </c>
      <c r="M245" s="19"/>
      <c r="N245" s="22">
        <f t="shared" si="6"/>
        <v>1.3888888890505768E-2</v>
      </c>
      <c r="O245" s="19" t="s">
        <v>50</v>
      </c>
      <c r="P245" s="19" t="s">
        <v>2027</v>
      </c>
      <c r="Q245" s="19" t="s">
        <v>2028</v>
      </c>
      <c r="R245" s="19"/>
      <c r="S245" s="19"/>
      <c r="U245" s="19"/>
      <c r="W245" s="19"/>
      <c r="X245" s="19" t="s">
        <v>1288</v>
      </c>
      <c r="Y245" s="27" t="s">
        <v>54</v>
      </c>
      <c r="Z245" s="27" t="s">
        <v>361</v>
      </c>
      <c r="AA245" s="27" t="s">
        <v>2029</v>
      </c>
      <c r="AB245" s="27" t="s">
        <v>2030</v>
      </c>
      <c r="AC245" s="37" t="s">
        <v>2031</v>
      </c>
      <c r="AD245" s="38" t="s">
        <v>2032</v>
      </c>
      <c r="AE245" s="36">
        <v>45833</v>
      </c>
      <c r="AF245" s="19" t="s">
        <v>78</v>
      </c>
      <c r="AG245" s="19" t="s">
        <v>78</v>
      </c>
      <c r="AH245" s="19" t="s">
        <v>62</v>
      </c>
      <c r="AI245" s="19" t="s">
        <v>63</v>
      </c>
      <c r="AJ245" s="19" t="s">
        <v>2033</v>
      </c>
      <c r="AK245" s="19"/>
      <c r="AL245" s="19"/>
      <c r="AM245" s="19"/>
      <c r="AN245" s="19" t="s">
        <v>103</v>
      </c>
      <c r="AO245" s="23">
        <v>45817.363194444442</v>
      </c>
      <c r="AP245" s="26">
        <f t="shared" si="7"/>
        <v>20</v>
      </c>
    </row>
    <row r="246" spans="1:42" ht="25.5" hidden="1" customHeight="1">
      <c r="A246" s="19" t="s">
        <v>42</v>
      </c>
      <c r="B246" s="19" t="s">
        <v>43</v>
      </c>
      <c r="C246" s="19" t="s">
        <v>129</v>
      </c>
      <c r="D246" s="19" t="s">
        <v>45</v>
      </c>
      <c r="E246" s="19" t="s">
        <v>46</v>
      </c>
      <c r="F246" s="19" t="s">
        <v>2034</v>
      </c>
      <c r="G246" s="19" t="s">
        <v>48</v>
      </c>
      <c r="H246" s="19" t="s">
        <v>49</v>
      </c>
      <c r="I246" s="20">
        <v>45817.504166666673</v>
      </c>
      <c r="K246" s="19"/>
      <c r="L246" s="20">
        <v>45817.546527777777</v>
      </c>
      <c r="M246" s="19"/>
      <c r="N246" s="22">
        <f t="shared" si="6"/>
        <v>4.2361111103673466E-2</v>
      </c>
      <c r="O246" s="19" t="s">
        <v>63</v>
      </c>
      <c r="P246" s="19" t="s">
        <v>2035</v>
      </c>
      <c r="Q246" s="19" t="s">
        <v>2036</v>
      </c>
      <c r="R246" s="19"/>
      <c r="S246" s="19"/>
      <c r="U246" s="19"/>
      <c r="W246" s="19"/>
      <c r="X246" s="19" t="s">
        <v>109</v>
      </c>
      <c r="Y246" s="27" t="s">
        <v>54</v>
      </c>
      <c r="Z246" s="27" t="s">
        <v>123</v>
      </c>
      <c r="AA246" s="27" t="s">
        <v>2037</v>
      </c>
      <c r="AB246" s="27" t="s">
        <v>2038</v>
      </c>
      <c r="AC246" s="37">
        <v>45817.275000000001</v>
      </c>
      <c r="AD246" s="38" t="s">
        <v>861</v>
      </c>
      <c r="AE246" s="36">
        <v>45833</v>
      </c>
      <c r="AF246" s="19" t="s">
        <v>89</v>
      </c>
      <c r="AG246" s="19" t="s">
        <v>90</v>
      </c>
      <c r="AH246" s="19" t="s">
        <v>62</v>
      </c>
      <c r="AI246" s="19" t="s">
        <v>63</v>
      </c>
      <c r="AJ246" s="19" t="s">
        <v>2039</v>
      </c>
      <c r="AK246" s="19"/>
      <c r="AL246" s="19"/>
      <c r="AM246" s="19"/>
      <c r="AN246" s="19" t="s">
        <v>65</v>
      </c>
      <c r="AO246" s="23">
        <v>45817.504166666673</v>
      </c>
      <c r="AP246" s="26">
        <f t="shared" si="7"/>
        <v>61</v>
      </c>
    </row>
    <row r="247" spans="1:42" ht="25.5" hidden="1" customHeight="1">
      <c r="A247" s="19" t="s">
        <v>42</v>
      </c>
      <c r="B247" s="19" t="s">
        <v>2040</v>
      </c>
      <c r="C247" s="19" t="s">
        <v>232</v>
      </c>
      <c r="D247" s="19" t="s">
        <v>45</v>
      </c>
      <c r="E247" s="19" t="s">
        <v>46</v>
      </c>
      <c r="F247" s="19" t="s">
        <v>2041</v>
      </c>
      <c r="G247" s="19" t="s">
        <v>48</v>
      </c>
      <c r="H247" s="19" t="s">
        <v>49</v>
      </c>
      <c r="I247" s="20">
        <v>45817.911805555559</v>
      </c>
      <c r="K247" s="19"/>
      <c r="L247" s="20">
        <v>45817.96597222222</v>
      </c>
      <c r="M247" s="19"/>
      <c r="N247" s="22">
        <f t="shared" si="6"/>
        <v>5.4166666661330964E-2</v>
      </c>
      <c r="O247" s="19" t="s">
        <v>50</v>
      </c>
      <c r="P247" s="19" t="s">
        <v>2042</v>
      </c>
      <c r="Q247" s="19" t="s">
        <v>2043</v>
      </c>
      <c r="R247" s="19"/>
      <c r="S247" s="19"/>
      <c r="U247" s="19"/>
      <c r="W247" s="19"/>
      <c r="X247" s="19" t="s">
        <v>2044</v>
      </c>
      <c r="Y247" s="27" t="s">
        <v>54</v>
      </c>
      <c r="Z247" s="27" t="s">
        <v>123</v>
      </c>
      <c r="AA247" s="27" t="s">
        <v>2045</v>
      </c>
      <c r="AB247" s="27" t="s">
        <v>2046</v>
      </c>
      <c r="AC247" s="37">
        <v>45817.896770833337</v>
      </c>
      <c r="AD247" s="38">
        <v>45817.939131944448</v>
      </c>
      <c r="AE247" s="36">
        <v>45833</v>
      </c>
      <c r="AF247" s="19" t="s">
        <v>89</v>
      </c>
      <c r="AG247" s="19" t="s">
        <v>90</v>
      </c>
      <c r="AH247" s="19" t="s">
        <v>62</v>
      </c>
      <c r="AI247" s="19" t="s">
        <v>63</v>
      </c>
      <c r="AJ247" s="19" t="s">
        <v>2047</v>
      </c>
      <c r="AK247" s="19"/>
      <c r="AL247" s="19"/>
      <c r="AM247" s="19"/>
      <c r="AN247" s="19" t="s">
        <v>65</v>
      </c>
      <c r="AO247" s="23">
        <v>45817.911805555559</v>
      </c>
      <c r="AP247" s="26">
        <f t="shared" si="7"/>
        <v>78</v>
      </c>
    </row>
    <row r="248" spans="1:42" ht="25.5" hidden="1" customHeight="1">
      <c r="A248" s="19" t="s">
        <v>42</v>
      </c>
      <c r="B248" s="19" t="s">
        <v>2048</v>
      </c>
      <c r="C248" s="19" t="s">
        <v>2049</v>
      </c>
      <c r="D248" s="19" t="s">
        <v>45</v>
      </c>
      <c r="E248" s="19" t="s">
        <v>46</v>
      </c>
      <c r="F248" s="19" t="s">
        <v>2050</v>
      </c>
      <c r="G248" s="19" t="s">
        <v>48</v>
      </c>
      <c r="H248" s="19" t="s">
        <v>49</v>
      </c>
      <c r="I248" s="20">
        <v>45818.526388888888</v>
      </c>
      <c r="K248" s="19"/>
      <c r="L248" s="20">
        <v>45818.552083333343</v>
      </c>
      <c r="M248" s="19"/>
      <c r="N248" s="22">
        <f t="shared" si="6"/>
        <v>2.5694444455439225E-2</v>
      </c>
      <c r="O248" s="19" t="s">
        <v>50</v>
      </c>
      <c r="P248" s="19" t="s">
        <v>2051</v>
      </c>
      <c r="Q248" s="19" t="s">
        <v>2052</v>
      </c>
      <c r="R248" s="19"/>
      <c r="S248" s="19"/>
      <c r="U248" s="19"/>
      <c r="W248" s="19"/>
      <c r="X248" s="19" t="s">
        <v>2053</v>
      </c>
      <c r="Y248" s="27" t="s">
        <v>54</v>
      </c>
      <c r="Z248" s="27" t="s">
        <v>123</v>
      </c>
      <c r="AA248" s="27" t="s">
        <v>2054</v>
      </c>
      <c r="AB248" s="27" t="s">
        <v>2055</v>
      </c>
      <c r="AC248" s="37">
        <v>45818.520833333343</v>
      </c>
      <c r="AD248" s="38">
        <v>45818.572916666657</v>
      </c>
      <c r="AE248" s="36">
        <v>45833</v>
      </c>
      <c r="AF248" s="19" t="s">
        <v>89</v>
      </c>
      <c r="AG248" s="19" t="s">
        <v>90</v>
      </c>
      <c r="AH248" s="19" t="s">
        <v>62</v>
      </c>
      <c r="AI248" s="19" t="s">
        <v>63</v>
      </c>
      <c r="AJ248" s="19" t="s">
        <v>2056</v>
      </c>
      <c r="AK248" s="19"/>
      <c r="AL248" s="19"/>
      <c r="AM248" s="19"/>
      <c r="AN248" s="19" t="s">
        <v>65</v>
      </c>
      <c r="AO248" s="23">
        <v>45818.526388888888</v>
      </c>
      <c r="AP248" s="26">
        <f t="shared" si="7"/>
        <v>37</v>
      </c>
    </row>
    <row r="249" spans="1:42" ht="25.5" hidden="1" customHeight="1">
      <c r="A249" s="19" t="s">
        <v>42</v>
      </c>
      <c r="C249" s="19" t="s">
        <v>2057</v>
      </c>
      <c r="D249" s="19" t="s">
        <v>45</v>
      </c>
      <c r="E249" s="19" t="s">
        <v>46</v>
      </c>
      <c r="F249" s="19" t="s">
        <v>2058</v>
      </c>
      <c r="G249" s="19" t="s">
        <v>48</v>
      </c>
      <c r="H249" s="19" t="s">
        <v>49</v>
      </c>
      <c r="I249" s="20">
        <v>45818.659722222219</v>
      </c>
      <c r="K249" s="19"/>
      <c r="L249" s="20">
        <v>45818.67083333333</v>
      </c>
      <c r="M249" s="19"/>
      <c r="N249" s="22">
        <f t="shared" si="6"/>
        <v>1.1111111110949423E-2</v>
      </c>
      <c r="O249" s="19" t="s">
        <v>50</v>
      </c>
      <c r="P249" s="19" t="s">
        <v>2059</v>
      </c>
      <c r="Q249" s="19" t="s">
        <v>2060</v>
      </c>
      <c r="R249" s="19"/>
      <c r="S249" s="19"/>
      <c r="U249" s="19"/>
      <c r="W249" s="19"/>
      <c r="X249" s="19" t="s">
        <v>269</v>
      </c>
      <c r="Y249" s="27" t="s">
        <v>78</v>
      </c>
      <c r="Z249" s="27" t="s">
        <v>78</v>
      </c>
      <c r="AA249" s="27" t="s">
        <v>78</v>
      </c>
      <c r="AB249" s="27" t="s">
        <v>78</v>
      </c>
      <c r="AC249" s="37" t="s">
        <v>78</v>
      </c>
      <c r="AD249" s="38" t="s">
        <v>78</v>
      </c>
      <c r="AE249" s="36">
        <v>45833</v>
      </c>
      <c r="AF249" s="19" t="s">
        <v>78</v>
      </c>
      <c r="AG249" s="19" t="s">
        <v>78</v>
      </c>
      <c r="AH249" s="19" t="s">
        <v>78</v>
      </c>
      <c r="AI249" s="19" t="s">
        <v>63</v>
      </c>
      <c r="AJ249" s="19" t="s">
        <v>2061</v>
      </c>
      <c r="AK249" s="19"/>
      <c r="AL249" s="19"/>
      <c r="AM249" s="19"/>
      <c r="AN249" s="19" t="s">
        <v>103</v>
      </c>
      <c r="AO249" s="23">
        <v>45818.659722222219</v>
      </c>
      <c r="AP249" s="26">
        <f t="shared" si="7"/>
        <v>16</v>
      </c>
    </row>
    <row r="250" spans="1:42" ht="25.5" customHeight="1">
      <c r="A250" s="19" t="s">
        <v>116</v>
      </c>
      <c r="B250" s="19" t="s">
        <v>2062</v>
      </c>
      <c r="C250" s="19" t="s">
        <v>118</v>
      </c>
      <c r="D250" s="19" t="s">
        <v>45</v>
      </c>
      <c r="E250" s="19" t="s">
        <v>46</v>
      </c>
      <c r="F250" s="19" t="s">
        <v>2063</v>
      </c>
      <c r="G250" s="19" t="s">
        <v>48</v>
      </c>
      <c r="H250" s="19" t="s">
        <v>152</v>
      </c>
      <c r="I250" s="20">
        <v>45818.993055555547</v>
      </c>
      <c r="J250" s="20">
        <v>45819</v>
      </c>
      <c r="K250" s="19"/>
      <c r="L250" s="20">
        <v>45819.024305555547</v>
      </c>
      <c r="M250" s="19"/>
      <c r="N250" s="22">
        <f t="shared" si="6"/>
        <v>3.125E-2</v>
      </c>
      <c r="O250" s="19" t="s">
        <v>50</v>
      </c>
      <c r="P250" s="19" t="s">
        <v>2064</v>
      </c>
      <c r="Q250" s="19" t="s">
        <v>2065</v>
      </c>
      <c r="R250" s="19" t="s">
        <v>2066</v>
      </c>
      <c r="S250" s="19" t="s">
        <v>2067</v>
      </c>
      <c r="T250" s="20">
        <v>45819.405844907407</v>
      </c>
      <c r="U250" s="19">
        <v>45824.739583333343</v>
      </c>
      <c r="V250" s="19" t="s">
        <v>157</v>
      </c>
      <c r="W250" s="19"/>
      <c r="X250" s="19" t="s">
        <v>122</v>
      </c>
      <c r="Y250" s="27" t="s">
        <v>54</v>
      </c>
      <c r="Z250" s="27" t="s">
        <v>2068</v>
      </c>
      <c r="AA250" s="27" t="s">
        <v>2069</v>
      </c>
      <c r="AB250" s="27" t="s">
        <v>2070</v>
      </c>
      <c r="AC250" s="37" t="s">
        <v>2071</v>
      </c>
      <c r="AD250" s="38" t="s">
        <v>2072</v>
      </c>
      <c r="AE250" s="36">
        <v>45833</v>
      </c>
      <c r="AF250" s="19" t="s">
        <v>99</v>
      </c>
      <c r="AG250" s="19" t="s">
        <v>139</v>
      </c>
      <c r="AH250" s="19" t="s">
        <v>62</v>
      </c>
      <c r="AI250" s="19" t="s">
        <v>63</v>
      </c>
      <c r="AJ250" s="19" t="s">
        <v>2073</v>
      </c>
      <c r="AK250" s="19" t="s">
        <v>2074</v>
      </c>
      <c r="AL250" s="19"/>
      <c r="AM250" s="19"/>
      <c r="AN250" s="19" t="s">
        <v>128</v>
      </c>
      <c r="AO250" s="23">
        <v>45818.993055555547</v>
      </c>
      <c r="AP250" s="26">
        <f t="shared" si="7"/>
        <v>45</v>
      </c>
    </row>
    <row r="251" spans="1:42" ht="25.5" hidden="1" customHeight="1">
      <c r="A251" s="19" t="s">
        <v>42</v>
      </c>
      <c r="B251" s="19" t="s">
        <v>1356</v>
      </c>
      <c r="C251" s="19" t="s">
        <v>1206</v>
      </c>
      <c r="D251" s="19" t="s">
        <v>45</v>
      </c>
      <c r="E251" s="19" t="s">
        <v>46</v>
      </c>
      <c r="F251" s="19" t="s">
        <v>2075</v>
      </c>
      <c r="G251" s="19" t="s">
        <v>48</v>
      </c>
      <c r="H251" s="19" t="s">
        <v>49</v>
      </c>
      <c r="I251" s="20">
        <v>45819.482638888891</v>
      </c>
      <c r="K251" s="19"/>
      <c r="L251" s="20">
        <v>45819.665972222218</v>
      </c>
      <c r="M251" s="19"/>
      <c r="N251" s="22">
        <f t="shared" si="6"/>
        <v>0.1833333333270275</v>
      </c>
      <c r="O251" s="19" t="s">
        <v>50</v>
      </c>
      <c r="P251" s="19" t="s">
        <v>2076</v>
      </c>
      <c r="Q251" s="19" t="s">
        <v>2077</v>
      </c>
      <c r="R251" s="19"/>
      <c r="S251" s="19"/>
      <c r="U251" s="19"/>
      <c r="W251" s="19"/>
      <c r="X251" s="19" t="s">
        <v>122</v>
      </c>
      <c r="Y251" s="27" t="s">
        <v>54</v>
      </c>
      <c r="Z251" s="27" t="s">
        <v>123</v>
      </c>
      <c r="AA251" s="27" t="s">
        <v>2078</v>
      </c>
      <c r="AB251" s="27" t="s">
        <v>2079</v>
      </c>
      <c r="AC251" s="37">
        <v>45819.461111111108</v>
      </c>
      <c r="AD251" s="38">
        <v>45819.480555555558</v>
      </c>
      <c r="AE251" s="36">
        <v>45833</v>
      </c>
      <c r="AF251" s="19" t="s">
        <v>89</v>
      </c>
      <c r="AG251" s="19" t="s">
        <v>90</v>
      </c>
      <c r="AH251" s="19" t="s">
        <v>62</v>
      </c>
      <c r="AI251" s="19" t="s">
        <v>63</v>
      </c>
      <c r="AJ251" s="19" t="s">
        <v>2080</v>
      </c>
      <c r="AK251" s="19"/>
      <c r="AL251" s="19"/>
      <c r="AM251" s="19"/>
      <c r="AN251" s="19" t="s">
        <v>65</v>
      </c>
      <c r="AO251" s="23">
        <v>45819.482638888891</v>
      </c>
      <c r="AP251" s="26">
        <f t="shared" si="7"/>
        <v>264</v>
      </c>
    </row>
    <row r="252" spans="1:42" ht="25.5" hidden="1" customHeight="1">
      <c r="A252" s="19" t="s">
        <v>42</v>
      </c>
      <c r="B252" s="19" t="s">
        <v>43</v>
      </c>
      <c r="C252" s="19" t="s">
        <v>129</v>
      </c>
      <c r="D252" s="19" t="s">
        <v>45</v>
      </c>
      <c r="E252" s="19" t="s">
        <v>46</v>
      </c>
      <c r="F252" s="19" t="s">
        <v>2081</v>
      </c>
      <c r="G252" s="19" t="s">
        <v>48</v>
      </c>
      <c r="H252" s="19" t="s">
        <v>49</v>
      </c>
      <c r="I252" s="20">
        <v>45819.597222222219</v>
      </c>
      <c r="K252" s="19"/>
      <c r="L252" s="20">
        <v>45819.602777777778</v>
      </c>
      <c r="M252" s="19"/>
      <c r="N252" s="22">
        <f t="shared" si="6"/>
        <v>5.5555555591126904E-3</v>
      </c>
      <c r="O252" s="19" t="s">
        <v>50</v>
      </c>
      <c r="P252" s="19" t="s">
        <v>2082</v>
      </c>
      <c r="Q252" s="19" t="s">
        <v>2083</v>
      </c>
      <c r="R252" s="19"/>
      <c r="S252" s="19"/>
      <c r="U252" s="19"/>
      <c r="W252" s="19"/>
      <c r="X252" s="19" t="s">
        <v>109</v>
      </c>
      <c r="Y252" s="27" t="s">
        <v>133</v>
      </c>
      <c r="Z252" s="27" t="s">
        <v>811</v>
      </c>
      <c r="AA252" s="27" t="s">
        <v>2084</v>
      </c>
      <c r="AB252" s="27" t="s">
        <v>2085</v>
      </c>
      <c r="AC252" s="37" t="s">
        <v>2086</v>
      </c>
      <c r="AD252" s="38" t="s">
        <v>2087</v>
      </c>
      <c r="AE252" s="36">
        <v>45833</v>
      </c>
      <c r="AF252" s="19" t="s">
        <v>78</v>
      </c>
      <c r="AG252" s="19" t="s">
        <v>78</v>
      </c>
      <c r="AH252" s="19" t="s">
        <v>78</v>
      </c>
      <c r="AI252" s="19" t="s">
        <v>63</v>
      </c>
      <c r="AJ252" s="19" t="s">
        <v>2088</v>
      </c>
      <c r="AK252" s="19"/>
      <c r="AL252" s="19"/>
      <c r="AM252" s="19"/>
      <c r="AN252" s="19" t="s">
        <v>103</v>
      </c>
      <c r="AO252" s="23">
        <v>45819.597222222219</v>
      </c>
      <c r="AP252" s="26">
        <f t="shared" si="7"/>
        <v>8</v>
      </c>
    </row>
    <row r="253" spans="1:42" ht="25.5" hidden="1" customHeight="1">
      <c r="A253" s="19" t="s">
        <v>42</v>
      </c>
      <c r="B253" s="19" t="s">
        <v>43</v>
      </c>
      <c r="C253" s="19" t="s">
        <v>1456</v>
      </c>
      <c r="D253" s="19" t="s">
        <v>45</v>
      </c>
      <c r="E253" s="19" t="s">
        <v>46</v>
      </c>
      <c r="F253" s="19" t="s">
        <v>2089</v>
      </c>
      <c r="G253" s="19" t="s">
        <v>48</v>
      </c>
      <c r="H253" s="19" t="s">
        <v>49</v>
      </c>
      <c r="I253" s="20">
        <v>45820.5625</v>
      </c>
      <c r="K253" s="19"/>
      <c r="L253" s="20">
        <v>45820.580555555563</v>
      </c>
      <c r="M253" s="19"/>
      <c r="N253" s="22">
        <f t="shared" si="6"/>
        <v>1.8055555563478265E-2</v>
      </c>
      <c r="O253" s="19" t="s">
        <v>50</v>
      </c>
      <c r="P253" s="19" t="s">
        <v>2090</v>
      </c>
      <c r="Q253" s="19" t="s">
        <v>2091</v>
      </c>
      <c r="R253" s="19"/>
      <c r="S253" s="19"/>
      <c r="U253" s="19"/>
      <c r="W253" s="19"/>
      <c r="X253" s="19" t="s">
        <v>53</v>
      </c>
      <c r="Y253" s="27" t="s">
        <v>147</v>
      </c>
      <c r="Z253" s="27" t="s">
        <v>78</v>
      </c>
      <c r="AA253" s="27" t="s">
        <v>78</v>
      </c>
      <c r="AB253" s="27" t="s">
        <v>78</v>
      </c>
      <c r="AC253" s="37" t="s">
        <v>78</v>
      </c>
      <c r="AD253" s="38" t="s">
        <v>78</v>
      </c>
      <c r="AE253" s="36">
        <v>45833</v>
      </c>
      <c r="AF253" s="19" t="s">
        <v>78</v>
      </c>
      <c r="AG253" s="19" t="s">
        <v>78</v>
      </c>
      <c r="AH253" s="19" t="s">
        <v>78</v>
      </c>
      <c r="AI253" s="19" t="s">
        <v>63</v>
      </c>
      <c r="AJ253" s="19" t="s">
        <v>2092</v>
      </c>
      <c r="AK253" s="19"/>
      <c r="AL253" s="19"/>
      <c r="AM253" s="19"/>
      <c r="AN253" s="19" t="s">
        <v>65</v>
      </c>
      <c r="AO253" s="23">
        <v>45820.571527777778</v>
      </c>
      <c r="AP253" s="26">
        <f t="shared" si="7"/>
        <v>26</v>
      </c>
    </row>
    <row r="254" spans="1:42" ht="25.5" hidden="1" customHeight="1">
      <c r="A254" s="19" t="s">
        <v>42</v>
      </c>
      <c r="B254" s="19" t="s">
        <v>403</v>
      </c>
      <c r="C254" s="19" t="s">
        <v>2093</v>
      </c>
      <c r="D254" s="19" t="s">
        <v>45</v>
      </c>
      <c r="E254" s="19" t="s">
        <v>967</v>
      </c>
      <c r="F254" s="19" t="s">
        <v>2094</v>
      </c>
      <c r="G254" s="19" t="s">
        <v>48</v>
      </c>
      <c r="H254" s="19" t="s">
        <v>49</v>
      </c>
      <c r="I254" s="20">
        <v>45820.686111111107</v>
      </c>
      <c r="K254" s="19"/>
      <c r="L254" s="20">
        <v>45820.720138888893</v>
      </c>
      <c r="M254" s="19"/>
      <c r="N254" s="22">
        <f t="shared" si="6"/>
        <v>3.4027777786832303E-2</v>
      </c>
      <c r="O254" s="19" t="s">
        <v>50</v>
      </c>
      <c r="P254" s="19" t="s">
        <v>2095</v>
      </c>
      <c r="Q254" s="19" t="s">
        <v>2096</v>
      </c>
      <c r="R254" s="19" t="s">
        <v>2097</v>
      </c>
      <c r="S254" s="19" t="s">
        <v>2098</v>
      </c>
      <c r="T254" s="20">
        <v>45820.870833333327</v>
      </c>
      <c r="U254" s="19">
        <v>45831.709722222222</v>
      </c>
      <c r="V254" s="19" t="s">
        <v>157</v>
      </c>
      <c r="W254" s="19"/>
      <c r="X254" s="19" t="s">
        <v>109</v>
      </c>
      <c r="Y254" s="27" t="s">
        <v>147</v>
      </c>
      <c r="Z254" s="27" t="s">
        <v>78</v>
      </c>
      <c r="AA254" s="27" t="s">
        <v>78</v>
      </c>
      <c r="AB254" s="27" t="s">
        <v>78</v>
      </c>
      <c r="AC254" s="37" t="s">
        <v>78</v>
      </c>
      <c r="AD254" s="38" t="s">
        <v>78</v>
      </c>
      <c r="AE254" s="36">
        <v>45833</v>
      </c>
      <c r="AF254" s="19" t="s">
        <v>89</v>
      </c>
      <c r="AG254" s="19" t="s">
        <v>90</v>
      </c>
      <c r="AH254" s="19" t="s">
        <v>62</v>
      </c>
      <c r="AI254" s="19" t="s">
        <v>63</v>
      </c>
      <c r="AJ254" s="19" t="s">
        <v>2099</v>
      </c>
      <c r="AK254" s="19"/>
      <c r="AL254" s="19"/>
      <c r="AM254" s="19"/>
      <c r="AN254" s="19" t="s">
        <v>103</v>
      </c>
      <c r="AO254" s="23">
        <v>45820.686111111107</v>
      </c>
      <c r="AP254" s="26">
        <f t="shared" si="7"/>
        <v>49</v>
      </c>
    </row>
    <row r="255" spans="1:42" ht="25.5" hidden="1" customHeight="1">
      <c r="A255" s="19" t="s">
        <v>42</v>
      </c>
      <c r="B255" s="19" t="s">
        <v>2100</v>
      </c>
      <c r="C255" s="19" t="s">
        <v>2101</v>
      </c>
      <c r="D255" s="19" t="s">
        <v>45</v>
      </c>
      <c r="E255" s="19" t="s">
        <v>46</v>
      </c>
      <c r="F255" s="19" t="s">
        <v>2102</v>
      </c>
      <c r="G255" s="19" t="s">
        <v>48</v>
      </c>
      <c r="H255" s="19" t="s">
        <v>49</v>
      </c>
      <c r="I255" s="20">
        <v>45820.708333333343</v>
      </c>
      <c r="K255" s="19"/>
      <c r="L255" s="20">
        <v>45820.84375</v>
      </c>
      <c r="M255" s="19"/>
      <c r="N255" s="22">
        <f t="shared" si="6"/>
        <v>0.13541666665696539</v>
      </c>
      <c r="O255" s="19" t="s">
        <v>50</v>
      </c>
      <c r="P255" s="19" t="s">
        <v>2103</v>
      </c>
      <c r="Q255" s="19" t="s">
        <v>2104</v>
      </c>
      <c r="R255" s="19"/>
      <c r="S255" s="19"/>
      <c r="U255" s="19"/>
      <c r="W255" s="19"/>
      <c r="X255" s="19" t="s">
        <v>314</v>
      </c>
      <c r="Y255" s="27" t="s">
        <v>2105</v>
      </c>
      <c r="Z255" s="27" t="s">
        <v>361</v>
      </c>
      <c r="AA255" s="27" t="s">
        <v>2106</v>
      </c>
      <c r="AB255" s="27" t="s">
        <v>2107</v>
      </c>
      <c r="AC255" s="37" t="s">
        <v>2108</v>
      </c>
      <c r="AD255" s="38" t="s">
        <v>2109</v>
      </c>
      <c r="AE255" s="36">
        <v>45833</v>
      </c>
      <c r="AF255" s="19" t="s">
        <v>89</v>
      </c>
      <c r="AG255" s="19" t="s">
        <v>90</v>
      </c>
      <c r="AH255" s="19" t="s">
        <v>62</v>
      </c>
      <c r="AI255" s="19" t="s">
        <v>63</v>
      </c>
      <c r="AJ255" s="19" t="s">
        <v>2110</v>
      </c>
      <c r="AK255" s="19"/>
      <c r="AL255" s="19"/>
      <c r="AM255" s="19"/>
      <c r="AN255" s="19" t="s">
        <v>103</v>
      </c>
      <c r="AO255" s="23">
        <v>45820.708333333343</v>
      </c>
      <c r="AP255" s="26">
        <f t="shared" si="7"/>
        <v>195</v>
      </c>
    </row>
    <row r="256" spans="1:42" ht="25.5" hidden="1" customHeight="1">
      <c r="A256" s="19" t="s">
        <v>42</v>
      </c>
      <c r="B256" s="19" t="s">
        <v>93</v>
      </c>
      <c r="C256" s="19" t="s">
        <v>336</v>
      </c>
      <c r="D256" s="19" t="s">
        <v>45</v>
      </c>
      <c r="E256" s="19" t="s">
        <v>46</v>
      </c>
      <c r="F256" s="19" t="s">
        <v>2111</v>
      </c>
      <c r="G256" s="19" t="s">
        <v>48</v>
      </c>
      <c r="H256" s="19" t="s">
        <v>49</v>
      </c>
      <c r="I256" s="20">
        <v>45820.791666666657</v>
      </c>
      <c r="K256" s="19"/>
      <c r="L256" s="20">
        <v>45820.803472222222</v>
      </c>
      <c r="M256" s="19"/>
      <c r="N256" s="22">
        <f t="shared" si="6"/>
        <v>1.1805555564933456E-2</v>
      </c>
      <c r="O256" s="19" t="s">
        <v>50</v>
      </c>
      <c r="P256" s="19" t="s">
        <v>2112</v>
      </c>
      <c r="Q256" s="19" t="s">
        <v>2113</v>
      </c>
      <c r="R256" s="19"/>
      <c r="S256" s="19"/>
      <c r="U256" s="19"/>
      <c r="W256" s="19"/>
      <c r="X256" s="19" t="s">
        <v>314</v>
      </c>
      <c r="Y256" s="27" t="s">
        <v>147</v>
      </c>
      <c r="Z256" s="27" t="s">
        <v>78</v>
      </c>
      <c r="AA256" s="27" t="s">
        <v>78</v>
      </c>
      <c r="AB256" s="27" t="s">
        <v>78</v>
      </c>
      <c r="AC256" s="37" t="s">
        <v>78</v>
      </c>
      <c r="AD256" s="38" t="s">
        <v>78</v>
      </c>
      <c r="AE256" s="36">
        <v>45833</v>
      </c>
      <c r="AF256" s="19" t="s">
        <v>78</v>
      </c>
      <c r="AG256" s="19" t="s">
        <v>78</v>
      </c>
      <c r="AH256" s="19" t="s">
        <v>78</v>
      </c>
      <c r="AI256" s="19" t="s">
        <v>63</v>
      </c>
      <c r="AJ256" s="19" t="s">
        <v>2114</v>
      </c>
      <c r="AK256" s="19"/>
      <c r="AL256" s="19"/>
      <c r="AM256" s="19"/>
      <c r="AN256" s="19" t="s">
        <v>103</v>
      </c>
      <c r="AO256" s="23">
        <v>45820.791666666657</v>
      </c>
      <c r="AP256" s="26">
        <f t="shared" si="7"/>
        <v>17</v>
      </c>
    </row>
    <row r="257" spans="1:42" ht="25.5" hidden="1" customHeight="1">
      <c r="A257" s="19" t="s">
        <v>92</v>
      </c>
      <c r="B257" s="19" t="s">
        <v>470</v>
      </c>
      <c r="C257" s="19" t="s">
        <v>105</v>
      </c>
      <c r="D257" s="19" t="s">
        <v>45</v>
      </c>
      <c r="E257" s="19" t="s">
        <v>46</v>
      </c>
      <c r="F257" s="19" t="s">
        <v>2115</v>
      </c>
      <c r="G257" s="19" t="s">
        <v>48</v>
      </c>
      <c r="H257" s="19" t="s">
        <v>49</v>
      </c>
      <c r="I257" s="20">
        <v>45820.818749999999</v>
      </c>
      <c r="K257" s="19"/>
      <c r="L257" s="20">
        <v>45820.912499999999</v>
      </c>
      <c r="M257" s="19"/>
      <c r="N257" s="22">
        <f t="shared" si="6"/>
        <v>9.375E-2</v>
      </c>
      <c r="O257" s="19" t="s">
        <v>50</v>
      </c>
      <c r="P257" s="19" t="s">
        <v>2116</v>
      </c>
      <c r="Q257" s="19" t="s">
        <v>2117</v>
      </c>
      <c r="R257" s="19"/>
      <c r="S257" s="19"/>
      <c r="U257" s="19"/>
      <c r="W257" s="19"/>
      <c r="X257" s="19" t="s">
        <v>109</v>
      </c>
      <c r="Y257" s="27" t="s">
        <v>133</v>
      </c>
      <c r="Z257" s="27" t="s">
        <v>1691</v>
      </c>
      <c r="AA257" s="27" t="s">
        <v>2118</v>
      </c>
      <c r="AB257" s="27" t="s">
        <v>2119</v>
      </c>
      <c r="AC257" s="37" t="s">
        <v>2120</v>
      </c>
      <c r="AD257" s="38" t="s">
        <v>2121</v>
      </c>
      <c r="AE257" s="36">
        <v>45833</v>
      </c>
      <c r="AF257" s="19" t="s">
        <v>89</v>
      </c>
      <c r="AG257" s="19" t="s">
        <v>90</v>
      </c>
      <c r="AH257" s="19" t="s">
        <v>62</v>
      </c>
      <c r="AI257" s="19" t="s">
        <v>63</v>
      </c>
      <c r="AJ257" s="19" t="s">
        <v>2122</v>
      </c>
      <c r="AK257" s="19"/>
      <c r="AL257" s="19"/>
      <c r="AM257" s="19"/>
      <c r="AN257" s="19" t="s">
        <v>65</v>
      </c>
      <c r="AO257" s="23">
        <v>45820.818749999999</v>
      </c>
      <c r="AP257" s="26">
        <f t="shared" si="7"/>
        <v>135</v>
      </c>
    </row>
    <row r="258" spans="1:42" ht="25.5" hidden="1" customHeight="1">
      <c r="A258" s="19" t="s">
        <v>42</v>
      </c>
      <c r="C258" s="19" t="s">
        <v>2123</v>
      </c>
      <c r="D258" s="19" t="s">
        <v>45</v>
      </c>
      <c r="E258" s="19" t="s">
        <v>46</v>
      </c>
      <c r="F258" s="19" t="s">
        <v>2124</v>
      </c>
      <c r="G258" s="19" t="s">
        <v>48</v>
      </c>
      <c r="H258" s="19" t="s">
        <v>49</v>
      </c>
      <c r="I258" s="20">
        <v>45820.84652777778</v>
      </c>
      <c r="K258" s="19"/>
      <c r="L258" s="20">
        <v>45820.874305555553</v>
      </c>
      <c r="M258" s="19"/>
      <c r="N258" s="22">
        <f t="shared" ref="N258:N269" si="8">L258-I258</f>
        <v>2.7777777773735579E-2</v>
      </c>
      <c r="O258" s="19" t="s">
        <v>63</v>
      </c>
      <c r="P258" s="19" t="s">
        <v>2125</v>
      </c>
      <c r="Q258" s="19" t="s">
        <v>2126</v>
      </c>
      <c r="R258" s="19"/>
      <c r="S258" s="19"/>
      <c r="U258" s="19"/>
      <c r="W258" s="19"/>
      <c r="X258" s="19" t="s">
        <v>72</v>
      </c>
      <c r="Y258" s="27" t="s">
        <v>147</v>
      </c>
      <c r="Z258" s="27" t="s">
        <v>78</v>
      </c>
      <c r="AA258" s="27" t="s">
        <v>78</v>
      </c>
      <c r="AB258" s="27" t="s">
        <v>78</v>
      </c>
      <c r="AC258" s="37" t="s">
        <v>78</v>
      </c>
      <c r="AD258" s="38" t="s">
        <v>78</v>
      </c>
      <c r="AE258" s="36">
        <v>45833</v>
      </c>
      <c r="AF258" s="19" t="s">
        <v>89</v>
      </c>
      <c r="AG258" s="19" t="s">
        <v>90</v>
      </c>
      <c r="AH258" s="19" t="s">
        <v>62</v>
      </c>
      <c r="AI258" s="19" t="s">
        <v>63</v>
      </c>
      <c r="AJ258" s="19" t="s">
        <v>2127</v>
      </c>
      <c r="AK258" s="19"/>
      <c r="AL258" s="19"/>
      <c r="AM258" s="19"/>
      <c r="AN258" s="19" t="s">
        <v>65</v>
      </c>
      <c r="AO258" s="23">
        <v>45820.950694444437</v>
      </c>
      <c r="AP258" s="26">
        <f t="shared" ref="AP258:AP269" si="9">((HOUR(N258)*60)+MINUTE(N258)+(SECOND(N258)/60))</f>
        <v>40</v>
      </c>
    </row>
    <row r="259" spans="1:42" ht="25.5" hidden="1" customHeight="1">
      <c r="A259" s="19" t="s">
        <v>42</v>
      </c>
      <c r="B259" s="19" t="s">
        <v>891</v>
      </c>
      <c r="C259" s="19" t="s">
        <v>452</v>
      </c>
      <c r="D259" s="19" t="s">
        <v>45</v>
      </c>
      <c r="E259" s="19" t="s">
        <v>46</v>
      </c>
      <c r="F259" s="19" t="s">
        <v>2128</v>
      </c>
      <c r="G259" s="19" t="s">
        <v>48</v>
      </c>
      <c r="H259" s="19" t="s">
        <v>49</v>
      </c>
      <c r="I259" s="20">
        <v>45821.049305555563</v>
      </c>
      <c r="K259" s="19"/>
      <c r="L259" s="20">
        <v>45821.068749999999</v>
      </c>
      <c r="M259" s="19"/>
      <c r="N259" s="22">
        <f t="shared" si="8"/>
        <v>1.9444444435066544E-2</v>
      </c>
      <c r="O259" s="19" t="s">
        <v>50</v>
      </c>
      <c r="P259" s="19" t="s">
        <v>2129</v>
      </c>
      <c r="Q259" s="19" t="s">
        <v>2130</v>
      </c>
      <c r="R259" s="19"/>
      <c r="S259" s="19"/>
      <c r="U259" s="19"/>
      <c r="W259" s="19"/>
      <c r="X259" s="19" t="s">
        <v>122</v>
      </c>
      <c r="Y259" s="27" t="s">
        <v>54</v>
      </c>
      <c r="Z259" s="27" t="s">
        <v>209</v>
      </c>
      <c r="AA259" s="27" t="s">
        <v>2131</v>
      </c>
      <c r="AB259" s="27" t="s">
        <v>2132</v>
      </c>
      <c r="AC259" s="37">
        <v>45821.022407407407</v>
      </c>
      <c r="AD259" s="38">
        <v>45821.126631944448</v>
      </c>
      <c r="AE259" s="36">
        <v>45833</v>
      </c>
      <c r="AF259" s="19" t="s">
        <v>89</v>
      </c>
      <c r="AG259" s="19" t="s">
        <v>90</v>
      </c>
      <c r="AH259" s="19" t="s">
        <v>62</v>
      </c>
      <c r="AI259" s="19" t="s">
        <v>63</v>
      </c>
      <c r="AJ259" s="19" t="s">
        <v>2133</v>
      </c>
      <c r="AK259" s="19"/>
      <c r="AL259" s="19"/>
      <c r="AM259" s="19"/>
      <c r="AN259" s="19" t="s">
        <v>65</v>
      </c>
      <c r="AO259" s="23">
        <v>45821.049305555563</v>
      </c>
      <c r="AP259" s="26">
        <f t="shared" si="9"/>
        <v>28</v>
      </c>
    </row>
    <row r="260" spans="1:42" ht="25.5" hidden="1" customHeight="1">
      <c r="A260" s="19" t="s">
        <v>116</v>
      </c>
      <c r="B260" s="19" t="s">
        <v>2134</v>
      </c>
      <c r="C260" s="19" t="s">
        <v>2135</v>
      </c>
      <c r="D260" s="19" t="s">
        <v>45</v>
      </c>
      <c r="E260" s="19" t="s">
        <v>46</v>
      </c>
      <c r="F260" s="19" t="s">
        <v>2136</v>
      </c>
      <c r="G260" s="19" t="s">
        <v>48</v>
      </c>
      <c r="H260" s="19" t="s">
        <v>49</v>
      </c>
      <c r="I260" s="20">
        <v>45821.231944444437</v>
      </c>
      <c r="K260" s="19"/>
      <c r="L260" s="20">
        <v>45821.333333333343</v>
      </c>
      <c r="M260" s="19"/>
      <c r="N260" s="22">
        <f t="shared" si="8"/>
        <v>0.10138888890651288</v>
      </c>
      <c r="O260" s="19" t="s">
        <v>50</v>
      </c>
      <c r="P260" s="19" t="s">
        <v>2137</v>
      </c>
      <c r="Q260" s="19" t="s">
        <v>2138</v>
      </c>
      <c r="R260" s="19"/>
      <c r="S260" s="19"/>
      <c r="U260" s="19"/>
      <c r="W260" s="19"/>
      <c r="X260" s="19" t="s">
        <v>2139</v>
      </c>
      <c r="Y260" s="27" t="s">
        <v>54</v>
      </c>
      <c r="Z260" s="27" t="s">
        <v>209</v>
      </c>
      <c r="AA260" s="27" t="s">
        <v>2140</v>
      </c>
      <c r="AB260" s="27" t="s">
        <v>2141</v>
      </c>
      <c r="AC260" s="37">
        <v>45821.523611111108</v>
      </c>
      <c r="AD260" s="38" t="s">
        <v>2142</v>
      </c>
      <c r="AE260" s="36">
        <v>45833</v>
      </c>
      <c r="AF260" s="19" t="s">
        <v>89</v>
      </c>
      <c r="AG260" s="19" t="s">
        <v>90</v>
      </c>
      <c r="AH260" s="19" t="s">
        <v>62</v>
      </c>
      <c r="AI260" s="19" t="s">
        <v>63</v>
      </c>
      <c r="AJ260" s="19" t="s">
        <v>2143</v>
      </c>
      <c r="AK260" s="19" t="s">
        <v>2074</v>
      </c>
      <c r="AL260" s="19"/>
      <c r="AM260" s="19"/>
      <c r="AN260" s="19" t="s">
        <v>65</v>
      </c>
      <c r="AO260" s="23">
        <v>45821.231944444437</v>
      </c>
      <c r="AP260" s="26">
        <f t="shared" si="9"/>
        <v>146</v>
      </c>
    </row>
    <row r="261" spans="1:42" ht="25.5" customHeight="1">
      <c r="A261" s="19" t="s">
        <v>116</v>
      </c>
      <c r="B261" s="19" t="s">
        <v>2144</v>
      </c>
      <c r="C261" s="19" t="s">
        <v>2145</v>
      </c>
      <c r="D261" s="19" t="s">
        <v>45</v>
      </c>
      <c r="E261" s="19" t="s">
        <v>46</v>
      </c>
      <c r="F261" s="19" t="s">
        <v>2146</v>
      </c>
      <c r="G261" s="19" t="s">
        <v>48</v>
      </c>
      <c r="H261" s="19" t="s">
        <v>144</v>
      </c>
      <c r="I261" s="20">
        <v>45821.333333333343</v>
      </c>
      <c r="K261" s="19">
        <v>45821.333333333343</v>
      </c>
      <c r="L261" s="20">
        <v>45821.533333333333</v>
      </c>
      <c r="M261" s="19"/>
      <c r="N261" s="22">
        <f t="shared" si="8"/>
        <v>0.19999999998981366</v>
      </c>
      <c r="O261" s="19" t="s">
        <v>50</v>
      </c>
      <c r="P261" s="19" t="s">
        <v>2147</v>
      </c>
      <c r="Q261" s="19" t="s">
        <v>2148</v>
      </c>
      <c r="R261" s="19" t="s">
        <v>2149</v>
      </c>
      <c r="S261" s="19" t="s">
        <v>2150</v>
      </c>
      <c r="T261" s="20">
        <v>45821.681944444441</v>
      </c>
      <c r="U261" s="19">
        <v>45826.827777777777</v>
      </c>
      <c r="V261" s="19" t="s">
        <v>157</v>
      </c>
      <c r="W261" s="19"/>
      <c r="X261" s="19" t="s">
        <v>2151</v>
      </c>
      <c r="Y261" s="27" t="s">
        <v>54</v>
      </c>
      <c r="Z261" s="27" t="s">
        <v>2152</v>
      </c>
      <c r="AA261" s="27" t="s">
        <v>2153</v>
      </c>
      <c r="AB261" s="27" t="s">
        <v>2154</v>
      </c>
      <c r="AC261" s="37" t="s">
        <v>2155</v>
      </c>
      <c r="AD261" s="38" t="s">
        <v>2156</v>
      </c>
      <c r="AE261" s="36">
        <v>45833</v>
      </c>
      <c r="AF261" s="19" t="s">
        <v>89</v>
      </c>
      <c r="AG261" s="19" t="s">
        <v>656</v>
      </c>
      <c r="AH261" s="19" t="s">
        <v>62</v>
      </c>
      <c r="AI261" s="19" t="s">
        <v>63</v>
      </c>
      <c r="AJ261" s="19" t="s">
        <v>2157</v>
      </c>
      <c r="AK261" s="19" t="s">
        <v>2074</v>
      </c>
      <c r="AL261" s="19"/>
      <c r="AM261" s="19"/>
      <c r="AN261" s="19" t="s">
        <v>65</v>
      </c>
      <c r="AO261" s="23">
        <v>45821.231944444437</v>
      </c>
      <c r="AP261" s="26">
        <f t="shared" si="9"/>
        <v>288</v>
      </c>
    </row>
    <row r="262" spans="1:42" ht="25.5" hidden="1" customHeight="1">
      <c r="A262" s="19" t="s">
        <v>42</v>
      </c>
      <c r="B262" s="19" t="s">
        <v>383</v>
      </c>
      <c r="C262" s="19" t="s">
        <v>384</v>
      </c>
      <c r="D262" s="19" t="s">
        <v>45</v>
      </c>
      <c r="E262" s="19" t="s">
        <v>46</v>
      </c>
      <c r="F262" s="19" t="s">
        <v>2158</v>
      </c>
      <c r="G262" s="19" t="s">
        <v>48</v>
      </c>
      <c r="H262" s="19" t="s">
        <v>49</v>
      </c>
      <c r="I262" s="20">
        <v>45821.388888888891</v>
      </c>
      <c r="K262" s="19"/>
      <c r="L262" s="20">
        <v>45821.445138888892</v>
      </c>
      <c r="M262" s="19"/>
      <c r="N262" s="22">
        <f t="shared" si="8"/>
        <v>5.6250000001455192E-2</v>
      </c>
      <c r="O262" s="19" t="s">
        <v>50</v>
      </c>
      <c r="P262" s="19" t="s">
        <v>1183</v>
      </c>
      <c r="Q262" s="19" t="s">
        <v>2159</v>
      </c>
      <c r="R262" s="19"/>
      <c r="S262" s="19"/>
      <c r="U262" s="19"/>
      <c r="W262" s="19"/>
      <c r="X262" s="19" t="s">
        <v>109</v>
      </c>
      <c r="Y262" s="27" t="s">
        <v>147</v>
      </c>
      <c r="Z262" s="27" t="s">
        <v>78</v>
      </c>
      <c r="AA262" s="27" t="s">
        <v>78</v>
      </c>
      <c r="AB262" s="27" t="s">
        <v>78</v>
      </c>
      <c r="AC262" s="37" t="s">
        <v>78</v>
      </c>
      <c r="AD262" s="38" t="s">
        <v>78</v>
      </c>
      <c r="AE262" s="36">
        <v>45833</v>
      </c>
      <c r="AF262" s="19" t="s">
        <v>99</v>
      </c>
      <c r="AG262" s="19" t="s">
        <v>100</v>
      </c>
      <c r="AH262" s="19" t="s">
        <v>62</v>
      </c>
      <c r="AI262" s="19" t="s">
        <v>63</v>
      </c>
      <c r="AJ262" s="19" t="s">
        <v>2160</v>
      </c>
      <c r="AK262" s="19" t="s">
        <v>2161</v>
      </c>
      <c r="AL262" s="19"/>
      <c r="AM262" s="19"/>
      <c r="AN262" s="19" t="s">
        <v>103</v>
      </c>
      <c r="AO262" s="23">
        <v>45821.388888888891</v>
      </c>
      <c r="AP262" s="26">
        <f t="shared" si="9"/>
        <v>81</v>
      </c>
    </row>
    <row r="263" spans="1:42" ht="25.5" hidden="1" customHeight="1">
      <c r="A263" s="19" t="s">
        <v>42</v>
      </c>
      <c r="B263" s="19" t="s">
        <v>470</v>
      </c>
      <c r="C263" s="19" t="s">
        <v>2162</v>
      </c>
      <c r="D263" s="19" t="s">
        <v>45</v>
      </c>
      <c r="E263" s="19" t="s">
        <v>225</v>
      </c>
      <c r="F263" s="19" t="s">
        <v>2163</v>
      </c>
      <c r="G263" s="19" t="s">
        <v>48</v>
      </c>
      <c r="H263" s="19" t="s">
        <v>49</v>
      </c>
      <c r="I263" s="20">
        <v>45821.479861111111</v>
      </c>
      <c r="K263" s="19"/>
      <c r="L263" s="20">
        <v>45821.632638888892</v>
      </c>
      <c r="M263" s="19"/>
      <c r="N263" s="22">
        <f t="shared" si="8"/>
        <v>0.15277777778101154</v>
      </c>
      <c r="O263" s="19" t="s">
        <v>50</v>
      </c>
      <c r="P263" s="19" t="s">
        <v>2164</v>
      </c>
      <c r="Q263" s="19" t="s">
        <v>2165</v>
      </c>
      <c r="R263" s="19"/>
      <c r="S263" s="19"/>
      <c r="U263" s="19"/>
      <c r="W263" s="19"/>
      <c r="X263" s="19" t="s">
        <v>1589</v>
      </c>
      <c r="Y263" s="27" t="s">
        <v>54</v>
      </c>
      <c r="Z263" s="27" t="s">
        <v>414</v>
      </c>
      <c r="AA263" s="27" t="s">
        <v>2166</v>
      </c>
      <c r="AB263" s="27" t="s">
        <v>2167</v>
      </c>
      <c r="AC263" s="37" t="s">
        <v>2168</v>
      </c>
      <c r="AD263" s="38" t="s">
        <v>2169</v>
      </c>
      <c r="AE263" s="36">
        <v>45833</v>
      </c>
      <c r="AF263" s="19" t="s">
        <v>60</v>
      </c>
      <c r="AG263" s="19" t="s">
        <v>307</v>
      </c>
      <c r="AH263" s="19" t="s">
        <v>62</v>
      </c>
      <c r="AI263" s="19" t="s">
        <v>63</v>
      </c>
      <c r="AJ263" s="19" t="s">
        <v>2170</v>
      </c>
      <c r="AK263" s="19"/>
      <c r="AL263" s="19"/>
      <c r="AM263" s="19"/>
      <c r="AN263" s="19" t="s">
        <v>622</v>
      </c>
      <c r="AO263" s="23">
        <v>45821.479861111111</v>
      </c>
      <c r="AP263" s="26">
        <f t="shared" si="9"/>
        <v>220</v>
      </c>
    </row>
    <row r="264" spans="1:42" ht="25.5" hidden="1" customHeight="1">
      <c r="A264" s="19" t="s">
        <v>116</v>
      </c>
      <c r="B264" s="19" t="s">
        <v>2171</v>
      </c>
      <c r="C264" s="19" t="s">
        <v>2145</v>
      </c>
      <c r="D264" s="19" t="s">
        <v>45</v>
      </c>
      <c r="E264" s="19" t="s">
        <v>46</v>
      </c>
      <c r="F264" s="19" t="s">
        <v>2136</v>
      </c>
      <c r="G264" s="19" t="s">
        <v>226</v>
      </c>
      <c r="H264" s="19" t="s">
        <v>49</v>
      </c>
      <c r="I264" s="20">
        <v>45821.533333333333</v>
      </c>
      <c r="K264" s="19"/>
      <c r="L264" s="20">
        <v>45822.010416666657</v>
      </c>
      <c r="M264" s="19"/>
      <c r="N264" s="22">
        <f t="shared" si="8"/>
        <v>0.47708333332411712</v>
      </c>
      <c r="O264" s="19" t="s">
        <v>50</v>
      </c>
      <c r="P264" s="19" t="s">
        <v>2172</v>
      </c>
      <c r="Q264" s="19" t="s">
        <v>2173</v>
      </c>
      <c r="R264" s="19"/>
      <c r="S264" s="19"/>
      <c r="U264" s="19"/>
      <c r="W264" s="19"/>
      <c r="X264" s="19" t="s">
        <v>2174</v>
      </c>
      <c r="Y264" s="27" t="s">
        <v>54</v>
      </c>
      <c r="Z264" s="27" t="s">
        <v>209</v>
      </c>
      <c r="AA264" s="27" t="s">
        <v>2140</v>
      </c>
      <c r="AB264" s="27" t="s">
        <v>2141</v>
      </c>
      <c r="AC264" s="37">
        <v>45821.523611111108</v>
      </c>
      <c r="AD264" s="38" t="s">
        <v>2142</v>
      </c>
      <c r="AE264" s="36">
        <v>45833</v>
      </c>
      <c r="AF264" s="19" t="s">
        <v>89</v>
      </c>
      <c r="AG264" s="19" t="s">
        <v>90</v>
      </c>
      <c r="AH264" s="19" t="s">
        <v>62</v>
      </c>
      <c r="AI264" s="19" t="s">
        <v>50</v>
      </c>
      <c r="AJ264" s="19" t="s">
        <v>2143</v>
      </c>
      <c r="AK264" s="19"/>
      <c r="AL264" s="19"/>
      <c r="AM264" s="19"/>
      <c r="AN264" s="19" t="s">
        <v>65</v>
      </c>
      <c r="AO264" s="23">
        <v>45821.231944444437</v>
      </c>
      <c r="AP264" s="26">
        <f t="shared" si="9"/>
        <v>687</v>
      </c>
    </row>
    <row r="265" spans="1:42" ht="25.5" hidden="1" customHeight="1">
      <c r="A265" s="19" t="s">
        <v>42</v>
      </c>
      <c r="B265" s="19" t="s">
        <v>186</v>
      </c>
      <c r="C265" s="19" t="s">
        <v>577</v>
      </c>
      <c r="D265" s="19" t="s">
        <v>45</v>
      </c>
      <c r="E265" s="19" t="s">
        <v>46</v>
      </c>
      <c r="F265" s="19" t="s">
        <v>2175</v>
      </c>
      <c r="G265" s="19" t="s">
        <v>48</v>
      </c>
      <c r="H265" s="19" t="s">
        <v>49</v>
      </c>
      <c r="I265" s="20">
        <v>45821.763888888891</v>
      </c>
      <c r="K265" s="19"/>
      <c r="L265" s="20">
        <v>45821.815972222219</v>
      </c>
      <c r="M265" s="19"/>
      <c r="N265" s="22">
        <f t="shared" si="8"/>
        <v>5.2083333328482695E-2</v>
      </c>
      <c r="O265" s="19" t="s">
        <v>63</v>
      </c>
      <c r="P265" s="19" t="s">
        <v>1624</v>
      </c>
      <c r="Q265" s="19" t="s">
        <v>2176</v>
      </c>
      <c r="R265" s="19"/>
      <c r="S265" s="19"/>
      <c r="U265" s="19"/>
      <c r="W265" s="19"/>
      <c r="X265" s="19" t="s">
        <v>191</v>
      </c>
      <c r="Y265" s="27" t="s">
        <v>147</v>
      </c>
      <c r="Z265" s="27" t="s">
        <v>78</v>
      </c>
      <c r="AA265" s="27" t="s">
        <v>78</v>
      </c>
      <c r="AB265" s="27" t="s">
        <v>78</v>
      </c>
      <c r="AC265" s="37" t="s">
        <v>78</v>
      </c>
      <c r="AD265" s="38" t="s">
        <v>78</v>
      </c>
      <c r="AE265" s="36">
        <v>45833</v>
      </c>
      <c r="AF265" s="19" t="s">
        <v>89</v>
      </c>
      <c r="AG265" s="19" t="s">
        <v>90</v>
      </c>
      <c r="AH265" s="19" t="s">
        <v>62</v>
      </c>
      <c r="AI265" s="19" t="s">
        <v>63</v>
      </c>
      <c r="AJ265" s="19" t="s">
        <v>2177</v>
      </c>
      <c r="AK265" s="19"/>
      <c r="AL265" s="19"/>
      <c r="AM265" s="19"/>
      <c r="AN265" s="19" t="s">
        <v>65</v>
      </c>
      <c r="AO265" s="23">
        <v>45821.76458333333</v>
      </c>
      <c r="AP265" s="26">
        <f t="shared" si="9"/>
        <v>75</v>
      </c>
    </row>
    <row r="266" spans="1:42" ht="25.5" hidden="1" customHeight="1">
      <c r="A266" s="19" t="s">
        <v>116</v>
      </c>
      <c r="C266" s="19" t="s">
        <v>2178</v>
      </c>
      <c r="D266" s="19" t="s">
        <v>45</v>
      </c>
      <c r="E266" s="19" t="s">
        <v>46</v>
      </c>
      <c r="F266" s="19" t="s">
        <v>2179</v>
      </c>
      <c r="G266" s="19" t="s">
        <v>48</v>
      </c>
      <c r="H266" s="19" t="s">
        <v>49</v>
      </c>
      <c r="I266" s="20">
        <v>45821.956250000003</v>
      </c>
      <c r="K266" s="19"/>
      <c r="L266" s="20">
        <v>45821.965277777781</v>
      </c>
      <c r="M266" s="19"/>
      <c r="N266" s="22">
        <f t="shared" si="8"/>
        <v>9.0277777781011537E-3</v>
      </c>
      <c r="O266" s="19" t="s">
        <v>50</v>
      </c>
      <c r="P266" s="19" t="s">
        <v>2180</v>
      </c>
      <c r="Q266" s="19" t="s">
        <v>2181</v>
      </c>
      <c r="R266" s="19"/>
      <c r="S266" s="19"/>
      <c r="U266" s="19"/>
      <c r="W266" s="19"/>
      <c r="X266" s="19" t="s">
        <v>122</v>
      </c>
      <c r="Y266" s="27" t="s">
        <v>54</v>
      </c>
      <c r="Z266" s="27" t="s">
        <v>110</v>
      </c>
      <c r="AA266" s="27" t="s">
        <v>2182</v>
      </c>
      <c r="AB266" s="27" t="s">
        <v>2183</v>
      </c>
      <c r="AC266" s="37" t="s">
        <v>2184</v>
      </c>
      <c r="AD266" s="38" t="s">
        <v>2185</v>
      </c>
      <c r="AE266" s="36">
        <v>45833</v>
      </c>
      <c r="AF266" s="19" t="s">
        <v>89</v>
      </c>
      <c r="AG266" s="19" t="s">
        <v>90</v>
      </c>
      <c r="AH266" s="19" t="s">
        <v>62</v>
      </c>
      <c r="AI266" s="19" t="s">
        <v>63</v>
      </c>
      <c r="AJ266" s="19" t="s">
        <v>2186</v>
      </c>
      <c r="AK266" s="19"/>
      <c r="AL266" s="19"/>
      <c r="AM266" s="19"/>
      <c r="AN266" s="19" t="s">
        <v>65</v>
      </c>
      <c r="AO266" s="23">
        <v>45821.956250000003</v>
      </c>
      <c r="AP266" s="26">
        <f t="shared" si="9"/>
        <v>13</v>
      </c>
    </row>
    <row r="267" spans="1:42" ht="25.5" hidden="1" customHeight="1">
      <c r="A267" s="19" t="s">
        <v>42</v>
      </c>
      <c r="B267" s="19" t="s">
        <v>383</v>
      </c>
      <c r="C267" s="19" t="s">
        <v>2019</v>
      </c>
      <c r="D267" s="19" t="s">
        <v>45</v>
      </c>
      <c r="E267" s="19" t="s">
        <v>46</v>
      </c>
      <c r="F267" s="19" t="s">
        <v>2187</v>
      </c>
      <c r="G267" s="19" t="s">
        <v>48</v>
      </c>
      <c r="H267" s="19" t="s">
        <v>49</v>
      </c>
      <c r="I267" s="20">
        <v>45822.290972222218</v>
      </c>
      <c r="K267" s="19"/>
      <c r="L267" s="20">
        <v>45822.343055555553</v>
      </c>
      <c r="M267" s="19"/>
      <c r="N267" s="22">
        <f t="shared" si="8"/>
        <v>5.2083333335758653E-2</v>
      </c>
      <c r="O267" s="19" t="s">
        <v>50</v>
      </c>
      <c r="P267" s="19" t="s">
        <v>2188</v>
      </c>
      <c r="Q267" s="19" t="s">
        <v>2189</v>
      </c>
      <c r="R267" s="19"/>
      <c r="S267" s="19"/>
      <c r="U267" s="19"/>
      <c r="W267" s="19"/>
      <c r="X267" s="19" t="s">
        <v>109</v>
      </c>
      <c r="Y267" s="27" t="s">
        <v>133</v>
      </c>
      <c r="Z267" s="27" t="s">
        <v>1169</v>
      </c>
      <c r="AA267" s="27" t="s">
        <v>2190</v>
      </c>
      <c r="AB267" s="27" t="s">
        <v>2191</v>
      </c>
      <c r="AC267" s="37">
        <v>45822.263379629629</v>
      </c>
      <c r="AD267" s="38">
        <v>45822.35365740741</v>
      </c>
      <c r="AE267" s="36">
        <v>45833</v>
      </c>
      <c r="AF267" s="19" t="s">
        <v>89</v>
      </c>
      <c r="AG267" s="19" t="s">
        <v>90</v>
      </c>
      <c r="AH267" s="19" t="s">
        <v>62</v>
      </c>
      <c r="AI267" s="19" t="s">
        <v>63</v>
      </c>
      <c r="AJ267" s="19" t="s">
        <v>2192</v>
      </c>
      <c r="AK267" s="19"/>
      <c r="AL267" s="19"/>
      <c r="AM267" s="19"/>
      <c r="AN267" s="19" t="s">
        <v>103</v>
      </c>
      <c r="AO267" s="23">
        <v>45822.335416666669</v>
      </c>
      <c r="AP267" s="26">
        <f t="shared" si="9"/>
        <v>75</v>
      </c>
    </row>
    <row r="268" spans="1:42" ht="25.5" hidden="1" customHeight="1">
      <c r="A268" s="19" t="s">
        <v>42</v>
      </c>
      <c r="B268" s="19" t="s">
        <v>854</v>
      </c>
      <c r="C268" s="19" t="s">
        <v>966</v>
      </c>
      <c r="D268" s="19" t="s">
        <v>45</v>
      </c>
      <c r="E268" s="19" t="s">
        <v>46</v>
      </c>
      <c r="F268" s="19" t="s">
        <v>2193</v>
      </c>
      <c r="G268" s="19" t="s">
        <v>48</v>
      </c>
      <c r="H268" s="19" t="s">
        <v>49</v>
      </c>
      <c r="I268" s="20">
        <v>45822.354166666657</v>
      </c>
      <c r="K268" s="19"/>
      <c r="L268" s="20">
        <v>45822.458333333343</v>
      </c>
      <c r="M268" s="19"/>
      <c r="N268" s="22">
        <f t="shared" si="8"/>
        <v>0.10416666668606922</v>
      </c>
      <c r="O268" s="19" t="s">
        <v>50</v>
      </c>
      <c r="P268" s="19" t="s">
        <v>2194</v>
      </c>
      <c r="Q268" s="19" t="s">
        <v>2195</v>
      </c>
      <c r="R268" s="19"/>
      <c r="S268" s="19"/>
      <c r="U268" s="19"/>
      <c r="W268" s="19"/>
      <c r="X268" s="19" t="s">
        <v>109</v>
      </c>
      <c r="Y268" s="27" t="s">
        <v>147</v>
      </c>
      <c r="Z268" s="27" t="s">
        <v>78</v>
      </c>
      <c r="AA268" s="27" t="s">
        <v>78</v>
      </c>
      <c r="AB268" s="27" t="s">
        <v>78</v>
      </c>
      <c r="AC268" s="37" t="s">
        <v>78</v>
      </c>
      <c r="AD268" s="38" t="s">
        <v>78</v>
      </c>
      <c r="AE268" s="36">
        <v>45833</v>
      </c>
      <c r="AF268" s="19" t="s">
        <v>89</v>
      </c>
      <c r="AG268" s="19" t="s">
        <v>90</v>
      </c>
      <c r="AH268" s="19" t="s">
        <v>62</v>
      </c>
      <c r="AI268" s="19" t="s">
        <v>50</v>
      </c>
      <c r="AJ268" s="19" t="s">
        <v>972</v>
      </c>
      <c r="AK268" s="19"/>
      <c r="AL268" s="19"/>
      <c r="AM268" s="19"/>
      <c r="AN268" s="19" t="s">
        <v>65</v>
      </c>
      <c r="AO268" s="23">
        <v>45822.434027777781</v>
      </c>
      <c r="AP268" s="26">
        <f t="shared" si="9"/>
        <v>150</v>
      </c>
    </row>
    <row r="269" spans="1:42" ht="25.5" hidden="1" customHeight="1">
      <c r="A269" s="19" t="s">
        <v>42</v>
      </c>
      <c r="B269" s="19" t="s">
        <v>1558</v>
      </c>
      <c r="C269" s="19" t="s">
        <v>2196</v>
      </c>
      <c r="D269" s="19" t="s">
        <v>45</v>
      </c>
      <c r="E269" s="19" t="s">
        <v>46</v>
      </c>
      <c r="F269" s="19" t="s">
        <v>2197</v>
      </c>
      <c r="G269" s="19" t="s">
        <v>48</v>
      </c>
      <c r="H269" s="19" t="s">
        <v>49</v>
      </c>
      <c r="I269" s="20">
        <v>45824.052083333343</v>
      </c>
      <c r="K269" s="19"/>
      <c r="L269" s="20">
        <v>45824.093055555553</v>
      </c>
      <c r="M269" s="19"/>
      <c r="N269" s="22">
        <f t="shared" si="8"/>
        <v>4.0972222210257314E-2</v>
      </c>
      <c r="O269" s="19" t="s">
        <v>50</v>
      </c>
      <c r="P269" s="19" t="s">
        <v>2198</v>
      </c>
      <c r="Q269" s="19" t="s">
        <v>2199</v>
      </c>
      <c r="R269" s="19"/>
      <c r="S269" s="19"/>
      <c r="U269" s="19"/>
      <c r="W269" s="19"/>
      <c r="X269" s="19" t="s">
        <v>1589</v>
      </c>
      <c r="Y269" s="27" t="s">
        <v>133</v>
      </c>
      <c r="Z269" s="27" t="s">
        <v>123</v>
      </c>
      <c r="AA269" s="27" t="s">
        <v>2200</v>
      </c>
      <c r="AB269" s="27" t="s">
        <v>2201</v>
      </c>
      <c r="AC269" s="37">
        <v>45824.025694444441</v>
      </c>
      <c r="AD269" s="38">
        <v>45824.167361111111</v>
      </c>
      <c r="AE269" s="36">
        <v>45833</v>
      </c>
      <c r="AF269" s="19" t="s">
        <v>78</v>
      </c>
      <c r="AG269" s="19" t="s">
        <v>78</v>
      </c>
      <c r="AH269" s="19" t="s">
        <v>78</v>
      </c>
      <c r="AI269" s="19" t="s">
        <v>63</v>
      </c>
      <c r="AJ269" s="19" t="s">
        <v>2202</v>
      </c>
      <c r="AK269" s="19"/>
      <c r="AL269" s="19"/>
      <c r="AM269" s="19"/>
      <c r="AN269" s="19" t="s">
        <v>65</v>
      </c>
      <c r="AO269" s="23">
        <v>45824.052083333343</v>
      </c>
      <c r="AP269" s="26">
        <f t="shared" si="9"/>
        <v>59</v>
      </c>
    </row>
    <row r="270" spans="1:42" ht="25.5" hidden="1" customHeight="1">
      <c r="A270" s="19" t="s">
        <v>42</v>
      </c>
      <c r="B270" s="19" t="s">
        <v>383</v>
      </c>
      <c r="C270" s="19" t="s">
        <v>2019</v>
      </c>
      <c r="D270" s="19" t="s">
        <v>45</v>
      </c>
      <c r="E270" s="19" t="s">
        <v>46</v>
      </c>
      <c r="F270" s="19" t="s">
        <v>2203</v>
      </c>
      <c r="G270" s="19" t="s">
        <v>48</v>
      </c>
      <c r="H270" s="19" t="s">
        <v>49</v>
      </c>
      <c r="I270" s="20">
        <v>45824.342361111107</v>
      </c>
      <c r="K270" s="19"/>
      <c r="L270" s="20">
        <v>45824.361111111109</v>
      </c>
      <c r="M270" s="19"/>
      <c r="N270" s="22" t="s">
        <v>2204</v>
      </c>
      <c r="O270" s="19" t="s">
        <v>50</v>
      </c>
      <c r="P270" s="19" t="s">
        <v>2205</v>
      </c>
      <c r="Q270" s="19" t="s">
        <v>2206</v>
      </c>
      <c r="R270" s="19"/>
      <c r="S270" s="19"/>
      <c r="U270" s="19"/>
      <c r="W270" s="19"/>
      <c r="X270" s="19" t="s">
        <v>109</v>
      </c>
      <c r="Y270" s="27" t="s">
        <v>133</v>
      </c>
      <c r="Z270" s="27" t="s">
        <v>123</v>
      </c>
      <c r="AA270" s="27" t="s">
        <v>2207</v>
      </c>
      <c r="AB270" s="27" t="s">
        <v>2208</v>
      </c>
      <c r="AC270" s="37">
        <v>45824.318055555559</v>
      </c>
      <c r="AD270" s="38">
        <v>45824.373611111107</v>
      </c>
      <c r="AE270" s="36">
        <v>45833</v>
      </c>
      <c r="AF270" s="19" t="s">
        <v>89</v>
      </c>
      <c r="AG270" s="19" t="s">
        <v>90</v>
      </c>
      <c r="AH270" s="19" t="s">
        <v>62</v>
      </c>
      <c r="AI270" s="19" t="s">
        <v>63</v>
      </c>
      <c r="AJ270" s="19" t="s">
        <v>2209</v>
      </c>
      <c r="AK270" s="19"/>
      <c r="AL270" s="19"/>
      <c r="AM270" s="19"/>
      <c r="AN270" s="19" t="s">
        <v>103</v>
      </c>
      <c r="AO270" s="23">
        <v>45824.342361111107</v>
      </c>
      <c r="AP270" s="26">
        <v>27</v>
      </c>
    </row>
    <row r="271" spans="1:42" ht="25.5" hidden="1" customHeight="1">
      <c r="A271" s="19" t="s">
        <v>285</v>
      </c>
      <c r="B271" s="19" t="s">
        <v>2210</v>
      </c>
      <c r="C271" s="19" t="s">
        <v>984</v>
      </c>
      <c r="D271" s="19" t="s">
        <v>45</v>
      </c>
      <c r="E271" s="19" t="s">
        <v>46</v>
      </c>
      <c r="F271" s="19" t="s">
        <v>2211</v>
      </c>
      <c r="G271" s="19" t="s">
        <v>48</v>
      </c>
      <c r="H271" s="19" t="s">
        <v>49</v>
      </c>
      <c r="I271" s="20">
        <v>45824.448611111111</v>
      </c>
      <c r="K271" s="19"/>
      <c r="L271" s="20">
        <v>45824.5</v>
      </c>
      <c r="M271" s="19"/>
      <c r="N271" s="22" t="s">
        <v>2212</v>
      </c>
      <c r="O271" s="19" t="s">
        <v>50</v>
      </c>
      <c r="P271" s="19" t="s">
        <v>2213</v>
      </c>
      <c r="Q271" s="19" t="s">
        <v>2214</v>
      </c>
      <c r="R271" s="19"/>
      <c r="S271" s="19"/>
      <c r="U271" s="19"/>
      <c r="W271" s="19"/>
      <c r="X271" s="19" t="s">
        <v>662</v>
      </c>
      <c r="Y271" s="27" t="s">
        <v>147</v>
      </c>
      <c r="Z271" s="27" t="s">
        <v>78</v>
      </c>
      <c r="AA271" s="27" t="s">
        <v>78</v>
      </c>
      <c r="AB271" s="27" t="s">
        <v>78</v>
      </c>
      <c r="AC271" s="37" t="s">
        <v>78</v>
      </c>
      <c r="AD271" s="38" t="s">
        <v>78</v>
      </c>
      <c r="AE271" s="36">
        <v>45833</v>
      </c>
      <c r="AF271" s="19" t="s">
        <v>99</v>
      </c>
      <c r="AG271" s="19" t="s">
        <v>100</v>
      </c>
      <c r="AH271" s="19" t="s">
        <v>62</v>
      </c>
      <c r="AI271" s="19" t="s">
        <v>63</v>
      </c>
      <c r="AJ271" s="19" t="s">
        <v>2215</v>
      </c>
      <c r="AK271" s="19" t="s">
        <v>2216</v>
      </c>
      <c r="AL271" s="19"/>
      <c r="AM271" s="19"/>
      <c r="AN271" s="19" t="s">
        <v>65</v>
      </c>
      <c r="AO271" s="23">
        <v>45824.448611111111</v>
      </c>
      <c r="AP271" s="26">
        <v>74</v>
      </c>
    </row>
    <row r="272" spans="1:42" ht="25.5" hidden="1" customHeight="1">
      <c r="A272" s="19" t="s">
        <v>42</v>
      </c>
      <c r="B272" s="19" t="s">
        <v>2217</v>
      </c>
      <c r="C272" s="19" t="s">
        <v>2218</v>
      </c>
      <c r="D272" s="19" t="s">
        <v>45</v>
      </c>
      <c r="E272" s="19" t="s">
        <v>46</v>
      </c>
      <c r="F272" s="19" t="s">
        <v>2219</v>
      </c>
      <c r="G272" s="19" t="s">
        <v>48</v>
      </c>
      <c r="H272" s="19" t="s">
        <v>49</v>
      </c>
      <c r="I272" s="20">
        <v>45824.581250000003</v>
      </c>
      <c r="K272" s="19"/>
      <c r="L272" s="20">
        <v>45824.586111111108</v>
      </c>
      <c r="M272" s="19"/>
      <c r="N272" s="22">
        <f t="shared" ref="N272:N335" si="10">L272-I272</f>
        <v>4.8611111051286571E-3</v>
      </c>
      <c r="O272" s="19" t="s">
        <v>50</v>
      </c>
      <c r="P272" s="19" t="s">
        <v>2220</v>
      </c>
      <c r="Q272" s="19" t="s">
        <v>2221</v>
      </c>
      <c r="R272" s="19"/>
      <c r="S272" s="19"/>
      <c r="U272" s="19"/>
      <c r="W272" s="19"/>
      <c r="X272" s="19" t="s">
        <v>2222</v>
      </c>
      <c r="Y272" s="27" t="s">
        <v>133</v>
      </c>
      <c r="Z272" s="27" t="s">
        <v>196</v>
      </c>
      <c r="AA272" s="27" t="s">
        <v>2223</v>
      </c>
      <c r="AB272" s="27" t="s">
        <v>2224</v>
      </c>
      <c r="AC272" s="37" t="s">
        <v>2225</v>
      </c>
      <c r="AD272" s="38" t="s">
        <v>2226</v>
      </c>
      <c r="AE272" s="36">
        <v>45833</v>
      </c>
      <c r="AF272" s="19" t="s">
        <v>89</v>
      </c>
      <c r="AG272" s="19" t="s">
        <v>90</v>
      </c>
      <c r="AH272" s="19" t="s">
        <v>62</v>
      </c>
      <c r="AI272" s="19" t="s">
        <v>63</v>
      </c>
      <c r="AJ272" s="19" t="s">
        <v>2227</v>
      </c>
      <c r="AK272" s="19"/>
      <c r="AL272" s="19"/>
      <c r="AM272" s="19"/>
      <c r="AN272" s="19" t="s">
        <v>103</v>
      </c>
      <c r="AO272" s="23">
        <v>45824.583333333343</v>
      </c>
      <c r="AP272" s="26">
        <f t="shared" ref="AP272:AP335" si="11">((HOUR(N272)*60)+MINUTE(N272)+(SECOND(N272)/60))</f>
        <v>7</v>
      </c>
    </row>
    <row r="273" spans="1:42" ht="25.5" hidden="1" customHeight="1">
      <c r="A273" s="19" t="s">
        <v>42</v>
      </c>
      <c r="B273" s="19" t="s">
        <v>2228</v>
      </c>
      <c r="C273" s="19" t="s">
        <v>452</v>
      </c>
      <c r="D273" s="19" t="s">
        <v>45</v>
      </c>
      <c r="E273" s="19" t="s">
        <v>46</v>
      </c>
      <c r="F273" s="19" t="s">
        <v>2229</v>
      </c>
      <c r="G273" s="19" t="s">
        <v>48</v>
      </c>
      <c r="H273" s="19" t="s">
        <v>49</v>
      </c>
      <c r="I273" s="20">
        <v>45824.958333333343</v>
      </c>
      <c r="K273" s="19"/>
      <c r="L273" s="20">
        <v>45825.005555555559</v>
      </c>
      <c r="M273" s="19"/>
      <c r="N273" s="22">
        <f t="shared" si="10"/>
        <v>4.722222221607808E-2</v>
      </c>
      <c r="O273" s="19" t="s">
        <v>50</v>
      </c>
      <c r="P273" s="19" t="s">
        <v>2230</v>
      </c>
      <c r="Q273" s="19" t="s">
        <v>2231</v>
      </c>
      <c r="R273" s="19"/>
      <c r="S273" s="19"/>
      <c r="U273" s="19"/>
      <c r="W273" s="19"/>
      <c r="X273" s="19" t="s">
        <v>122</v>
      </c>
      <c r="Y273" s="27" t="s">
        <v>147</v>
      </c>
      <c r="Z273" s="27" t="s">
        <v>78</v>
      </c>
      <c r="AA273" s="27" t="s">
        <v>78</v>
      </c>
      <c r="AB273" s="27" t="s">
        <v>78</v>
      </c>
      <c r="AC273" s="37" t="s">
        <v>78</v>
      </c>
      <c r="AD273" s="38" t="s">
        <v>78</v>
      </c>
      <c r="AE273" s="36">
        <v>45833</v>
      </c>
      <c r="AF273" s="19" t="s">
        <v>89</v>
      </c>
      <c r="AG273" s="19" t="s">
        <v>90</v>
      </c>
      <c r="AH273" s="19" t="s">
        <v>62</v>
      </c>
      <c r="AI273" s="19" t="s">
        <v>63</v>
      </c>
      <c r="AJ273" s="19" t="s">
        <v>2232</v>
      </c>
      <c r="AK273" s="19"/>
      <c r="AL273" s="19"/>
      <c r="AM273" s="19"/>
      <c r="AN273" s="19" t="s">
        <v>65</v>
      </c>
      <c r="AO273" s="23">
        <v>45824.958333333343</v>
      </c>
      <c r="AP273" s="26">
        <f t="shared" si="11"/>
        <v>68</v>
      </c>
    </row>
    <row r="274" spans="1:42" ht="25.5" hidden="1" customHeight="1">
      <c r="A274" s="19" t="s">
        <v>42</v>
      </c>
      <c r="B274" s="19" t="s">
        <v>93</v>
      </c>
      <c r="C274" s="19" t="s">
        <v>336</v>
      </c>
      <c r="D274" s="19" t="s">
        <v>45</v>
      </c>
      <c r="E274" s="19" t="s">
        <v>46</v>
      </c>
      <c r="F274" s="19" t="s">
        <v>2233</v>
      </c>
      <c r="G274" s="19" t="s">
        <v>48</v>
      </c>
      <c r="H274" s="19" t="s">
        <v>49</v>
      </c>
      <c r="I274" s="20">
        <v>45825.488888888889</v>
      </c>
      <c r="K274" s="19"/>
      <c r="L274" s="20">
        <v>45825.548611111109</v>
      </c>
      <c r="M274" s="19"/>
      <c r="N274" s="22">
        <f t="shared" si="10"/>
        <v>5.9722222220443655E-2</v>
      </c>
      <c r="O274" s="19" t="s">
        <v>50</v>
      </c>
      <c r="P274" s="19" t="s">
        <v>2234</v>
      </c>
      <c r="Q274" s="19" t="s">
        <v>2235</v>
      </c>
      <c r="R274" s="19"/>
      <c r="S274" s="19"/>
      <c r="U274" s="19"/>
      <c r="W274" s="19"/>
      <c r="X274" s="19" t="s">
        <v>314</v>
      </c>
      <c r="Y274" s="27" t="s">
        <v>54</v>
      </c>
      <c r="Z274" s="27" t="s">
        <v>123</v>
      </c>
      <c r="AA274" s="27" t="s">
        <v>2236</v>
      </c>
      <c r="AB274" s="27" t="s">
        <v>2237</v>
      </c>
      <c r="AC274" s="37">
        <v>45825.496527777781</v>
      </c>
      <c r="AD274" s="38">
        <v>45825.515972222223</v>
      </c>
      <c r="AE274" s="36">
        <v>45833</v>
      </c>
      <c r="AF274" s="19" t="s">
        <v>89</v>
      </c>
      <c r="AG274" s="19" t="s">
        <v>90</v>
      </c>
      <c r="AH274" s="19" t="s">
        <v>62</v>
      </c>
      <c r="AI274" s="19" t="s">
        <v>63</v>
      </c>
      <c r="AJ274" s="19" t="s">
        <v>2238</v>
      </c>
      <c r="AK274" s="19"/>
      <c r="AL274" s="19"/>
      <c r="AM274" s="19"/>
      <c r="AN274" s="19" t="s">
        <v>65</v>
      </c>
      <c r="AO274" s="23">
        <v>45825.488888888889</v>
      </c>
      <c r="AP274" s="26">
        <f t="shared" si="11"/>
        <v>86</v>
      </c>
    </row>
    <row r="275" spans="1:42" ht="25.5" hidden="1" customHeight="1">
      <c r="A275" s="19" t="s">
        <v>42</v>
      </c>
      <c r="B275" s="19" t="s">
        <v>599</v>
      </c>
      <c r="C275" s="19" t="s">
        <v>105</v>
      </c>
      <c r="D275" s="19" t="s">
        <v>45</v>
      </c>
      <c r="E275" s="19" t="s">
        <v>46</v>
      </c>
      <c r="F275" s="19" t="s">
        <v>2239</v>
      </c>
      <c r="G275" s="19" t="s">
        <v>48</v>
      </c>
      <c r="H275" s="19" t="s">
        <v>49</v>
      </c>
      <c r="I275" s="20">
        <v>45825.722222222219</v>
      </c>
      <c r="K275" s="19"/>
      <c r="L275" s="20">
        <v>45825.75</v>
      </c>
      <c r="M275" s="19"/>
      <c r="N275" s="22">
        <f t="shared" si="10"/>
        <v>2.7777777781011537E-2</v>
      </c>
      <c r="O275" s="19" t="s">
        <v>50</v>
      </c>
      <c r="P275" s="19" t="s">
        <v>2240</v>
      </c>
      <c r="Q275" s="19" t="s">
        <v>2241</v>
      </c>
      <c r="R275" s="19"/>
      <c r="S275" s="19"/>
      <c r="U275" s="19"/>
      <c r="W275" s="19"/>
      <c r="X275" s="19" t="s">
        <v>109</v>
      </c>
      <c r="Y275" s="27" t="s">
        <v>54</v>
      </c>
      <c r="Z275" s="27" t="s">
        <v>1852</v>
      </c>
      <c r="AA275" s="27" t="s">
        <v>2242</v>
      </c>
      <c r="AB275" s="27" t="s">
        <v>2243</v>
      </c>
      <c r="AC275" s="37" t="s">
        <v>2244</v>
      </c>
      <c r="AD275" s="38" t="s">
        <v>2245</v>
      </c>
      <c r="AE275" s="36">
        <v>45833</v>
      </c>
      <c r="AF275" s="19" t="s">
        <v>99</v>
      </c>
      <c r="AG275" s="19" t="s">
        <v>100</v>
      </c>
      <c r="AH275" s="19" t="s">
        <v>62</v>
      </c>
      <c r="AI275" s="19" t="s">
        <v>63</v>
      </c>
      <c r="AJ275" s="19" t="s">
        <v>2246</v>
      </c>
      <c r="AK275" s="19" t="s">
        <v>2247</v>
      </c>
      <c r="AL275" s="19"/>
      <c r="AM275" s="19"/>
      <c r="AN275" s="19" t="s">
        <v>65</v>
      </c>
      <c r="AO275" s="23">
        <v>45825.722222222219</v>
      </c>
      <c r="AP275" s="26">
        <f t="shared" si="11"/>
        <v>40</v>
      </c>
    </row>
    <row r="276" spans="1:42" ht="25.5" hidden="1" customHeight="1">
      <c r="A276" s="19" t="s">
        <v>42</v>
      </c>
      <c r="B276" s="19" t="s">
        <v>403</v>
      </c>
      <c r="C276" s="19" t="s">
        <v>2093</v>
      </c>
      <c r="D276" s="19" t="s">
        <v>45</v>
      </c>
      <c r="E276" s="19" t="s">
        <v>46</v>
      </c>
      <c r="F276" s="19" t="s">
        <v>2248</v>
      </c>
      <c r="G276" s="19" t="s">
        <v>48</v>
      </c>
      <c r="H276" s="19" t="s">
        <v>49</v>
      </c>
      <c r="I276" s="20">
        <v>45826.270833333343</v>
      </c>
      <c r="K276" s="19"/>
      <c r="L276" s="20">
        <v>45826.3125</v>
      </c>
      <c r="M276" s="19"/>
      <c r="N276" s="22">
        <f t="shared" si="10"/>
        <v>4.166666665696539E-2</v>
      </c>
      <c r="O276" s="19" t="s">
        <v>50</v>
      </c>
      <c r="P276" s="19" t="s">
        <v>2249</v>
      </c>
      <c r="Q276" s="19" t="s">
        <v>2250</v>
      </c>
      <c r="R276" s="19"/>
      <c r="S276" s="19"/>
      <c r="U276" s="19"/>
      <c r="W276" s="19"/>
      <c r="X276" s="19" t="s">
        <v>109</v>
      </c>
      <c r="Y276" s="27" t="s">
        <v>133</v>
      </c>
      <c r="Z276" s="27" t="s">
        <v>123</v>
      </c>
      <c r="AA276" s="27" t="s">
        <v>2251</v>
      </c>
      <c r="AB276" s="27" t="s">
        <v>2252</v>
      </c>
      <c r="AC276" s="37">
        <v>45826.083333333343</v>
      </c>
      <c r="AD276" s="38">
        <v>45826.617361111108</v>
      </c>
      <c r="AE276" s="36">
        <v>45833</v>
      </c>
      <c r="AF276" s="19" t="s">
        <v>89</v>
      </c>
      <c r="AG276" s="19" t="s">
        <v>90</v>
      </c>
      <c r="AH276" s="19" t="s">
        <v>62</v>
      </c>
      <c r="AI276" s="19" t="s">
        <v>63</v>
      </c>
      <c r="AJ276" s="19" t="s">
        <v>2253</v>
      </c>
      <c r="AK276" s="19"/>
      <c r="AL276" s="19"/>
      <c r="AM276" s="19"/>
      <c r="AN276" s="19" t="s">
        <v>103</v>
      </c>
      <c r="AO276" s="23">
        <v>45826.270833333343</v>
      </c>
      <c r="AP276" s="26">
        <f t="shared" si="11"/>
        <v>60</v>
      </c>
    </row>
    <row r="277" spans="1:42" ht="25.5" hidden="1" customHeight="1">
      <c r="A277" s="19" t="s">
        <v>42</v>
      </c>
      <c r="C277" s="19" t="s">
        <v>868</v>
      </c>
      <c r="D277" s="19" t="s">
        <v>45</v>
      </c>
      <c r="E277" s="19" t="s">
        <v>46</v>
      </c>
      <c r="F277" s="19" t="s">
        <v>2254</v>
      </c>
      <c r="G277" s="19" t="s">
        <v>48</v>
      </c>
      <c r="H277" s="19" t="s">
        <v>49</v>
      </c>
      <c r="I277" s="20">
        <v>45826.493055555547</v>
      </c>
      <c r="K277" s="19"/>
      <c r="L277" s="20">
        <v>45826.509027777778</v>
      </c>
      <c r="M277" s="19"/>
      <c r="N277" s="22">
        <f t="shared" si="10"/>
        <v>1.5972222230629995E-2</v>
      </c>
      <c r="O277" s="19" t="s">
        <v>63</v>
      </c>
      <c r="P277" s="19" t="s">
        <v>2255</v>
      </c>
      <c r="Q277" s="19" t="s">
        <v>2256</v>
      </c>
      <c r="R277" s="19"/>
      <c r="S277" s="19"/>
      <c r="U277" s="19"/>
      <c r="W277" s="19"/>
      <c r="X277" s="19" t="s">
        <v>1069</v>
      </c>
      <c r="Y277" s="27" t="s">
        <v>133</v>
      </c>
      <c r="Z277" s="27" t="s">
        <v>123</v>
      </c>
      <c r="AA277" s="27" t="s">
        <v>2257</v>
      </c>
      <c r="AB277" s="27" t="s">
        <v>2258</v>
      </c>
      <c r="AC277" s="37">
        <v>45826.481249999997</v>
      </c>
      <c r="AD277" s="38">
        <v>45826.509027777778</v>
      </c>
      <c r="AE277" s="36">
        <v>45833</v>
      </c>
      <c r="AF277" s="19" t="s">
        <v>89</v>
      </c>
      <c r="AG277" s="19" t="s">
        <v>90</v>
      </c>
      <c r="AH277" s="19" t="s">
        <v>62</v>
      </c>
      <c r="AI277" s="19" t="s">
        <v>63</v>
      </c>
      <c r="AJ277" s="19" t="s">
        <v>2259</v>
      </c>
      <c r="AK277" s="19"/>
      <c r="AL277" s="19"/>
      <c r="AM277" s="19"/>
      <c r="AN277" s="19" t="s">
        <v>103</v>
      </c>
      <c r="AO277" s="23">
        <v>45826.493055555547</v>
      </c>
      <c r="AP277" s="26">
        <f t="shared" si="11"/>
        <v>23</v>
      </c>
    </row>
    <row r="278" spans="1:42" ht="25.5" hidden="1" customHeight="1">
      <c r="A278" s="19" t="s">
        <v>42</v>
      </c>
      <c r="C278" s="19" t="s">
        <v>868</v>
      </c>
      <c r="D278" s="19" t="s">
        <v>45</v>
      </c>
      <c r="E278" s="19" t="s">
        <v>46</v>
      </c>
      <c r="F278" s="19" t="s">
        <v>2254</v>
      </c>
      <c r="G278" s="19" t="s">
        <v>226</v>
      </c>
      <c r="H278" s="19" t="s">
        <v>49</v>
      </c>
      <c r="I278" s="20">
        <v>45826.565972222219</v>
      </c>
      <c r="K278" s="19"/>
      <c r="L278" s="20">
        <v>45826.572916666657</v>
      </c>
      <c r="M278" s="19"/>
      <c r="N278" s="22">
        <f t="shared" si="10"/>
        <v>6.9444444379769266E-3</v>
      </c>
      <c r="O278" s="19" t="s">
        <v>63</v>
      </c>
      <c r="P278" s="19" t="s">
        <v>2255</v>
      </c>
      <c r="Q278" s="19" t="s">
        <v>2260</v>
      </c>
      <c r="R278" s="19"/>
      <c r="S278" s="19"/>
      <c r="U278" s="19"/>
      <c r="W278" s="19"/>
      <c r="X278" s="19" t="s">
        <v>1069</v>
      </c>
      <c r="Y278" s="27" t="s">
        <v>133</v>
      </c>
      <c r="Z278" s="27" t="s">
        <v>123</v>
      </c>
      <c r="AA278" s="27" t="s">
        <v>2261</v>
      </c>
      <c r="AB278" s="27" t="s">
        <v>2262</v>
      </c>
      <c r="AC278" s="37">
        <v>45826.557638888888</v>
      </c>
      <c r="AD278" s="38">
        <v>45826.571527777778</v>
      </c>
      <c r="AE278" s="36">
        <v>45833</v>
      </c>
      <c r="AF278" s="19" t="s">
        <v>89</v>
      </c>
      <c r="AG278" s="19" t="s">
        <v>90</v>
      </c>
      <c r="AH278" s="19" t="s">
        <v>62</v>
      </c>
      <c r="AI278" s="19" t="s">
        <v>50</v>
      </c>
      <c r="AJ278" s="19" t="s">
        <v>2263</v>
      </c>
      <c r="AK278" s="19"/>
      <c r="AL278" s="19"/>
      <c r="AM278" s="19"/>
      <c r="AN278" s="19" t="s">
        <v>103</v>
      </c>
      <c r="AO278" s="23">
        <v>45826.565972222219</v>
      </c>
      <c r="AP278" s="26">
        <f t="shared" si="11"/>
        <v>10</v>
      </c>
    </row>
    <row r="279" spans="1:42" ht="25.5" hidden="1" customHeight="1">
      <c r="A279" s="19" t="s">
        <v>42</v>
      </c>
      <c r="C279" s="19" t="s">
        <v>187</v>
      </c>
      <c r="D279" s="19" t="s">
        <v>45</v>
      </c>
      <c r="E279" s="19" t="s">
        <v>46</v>
      </c>
      <c r="F279" s="19" t="s">
        <v>2264</v>
      </c>
      <c r="G279" s="19" t="s">
        <v>48</v>
      </c>
      <c r="H279" s="19" t="s">
        <v>49</v>
      </c>
      <c r="I279" s="20">
        <v>45826.75</v>
      </c>
      <c r="K279" s="19"/>
      <c r="L279" s="20">
        <v>45826.833333333343</v>
      </c>
      <c r="M279" s="19"/>
      <c r="N279" s="22">
        <f t="shared" si="10"/>
        <v>8.333333334303461E-2</v>
      </c>
      <c r="O279" s="19" t="s">
        <v>63</v>
      </c>
      <c r="P279" s="19" t="s">
        <v>2265</v>
      </c>
      <c r="Q279" s="19" t="s">
        <v>2266</v>
      </c>
      <c r="R279" s="19"/>
      <c r="S279" s="19"/>
      <c r="U279" s="19"/>
      <c r="W279" s="19"/>
      <c r="X279" s="19" t="s">
        <v>191</v>
      </c>
      <c r="Y279" s="27" t="s">
        <v>54</v>
      </c>
      <c r="Z279" s="27" t="s">
        <v>123</v>
      </c>
      <c r="AA279" s="27" t="s">
        <v>2267</v>
      </c>
      <c r="AB279" s="27" t="s">
        <v>2268</v>
      </c>
      <c r="AC279" s="37" t="s">
        <v>2269</v>
      </c>
      <c r="AD279" s="38">
        <v>45826.747523148151</v>
      </c>
      <c r="AE279" s="36">
        <v>45833</v>
      </c>
      <c r="AF279" s="19" t="s">
        <v>99</v>
      </c>
      <c r="AG279" s="19" t="s">
        <v>100</v>
      </c>
      <c r="AH279" s="19" t="s">
        <v>62</v>
      </c>
      <c r="AI279" s="19" t="s">
        <v>63</v>
      </c>
      <c r="AJ279" s="19" t="s">
        <v>2270</v>
      </c>
      <c r="AK279" s="19" t="s">
        <v>2271</v>
      </c>
      <c r="AL279" s="19"/>
      <c r="AM279" s="19"/>
      <c r="AN279" s="19" t="s">
        <v>65</v>
      </c>
      <c r="AO279" s="23">
        <v>45826.75</v>
      </c>
      <c r="AP279" s="26">
        <f t="shared" si="11"/>
        <v>120</v>
      </c>
    </row>
    <row r="280" spans="1:42" ht="25.5" hidden="1" customHeight="1">
      <c r="A280" s="19" t="s">
        <v>42</v>
      </c>
      <c r="C280" s="19" t="s">
        <v>378</v>
      </c>
      <c r="D280" s="19" t="s">
        <v>45</v>
      </c>
      <c r="E280" s="19" t="s">
        <v>46</v>
      </c>
      <c r="F280" s="19" t="s">
        <v>2272</v>
      </c>
      <c r="G280" s="19" t="s">
        <v>48</v>
      </c>
      <c r="H280" s="19" t="s">
        <v>49</v>
      </c>
      <c r="I280" s="20">
        <v>45826.916666666657</v>
      </c>
      <c r="K280" s="19"/>
      <c r="L280" s="20">
        <v>45826.927083333343</v>
      </c>
      <c r="M280" s="19"/>
      <c r="N280" s="22">
        <f t="shared" si="10"/>
        <v>1.041666668606922E-2</v>
      </c>
      <c r="O280" s="19" t="s">
        <v>50</v>
      </c>
      <c r="P280" s="19" t="s">
        <v>2273</v>
      </c>
      <c r="Q280" s="19" t="s">
        <v>2274</v>
      </c>
      <c r="R280" s="19"/>
      <c r="S280" s="19"/>
      <c r="U280" s="19"/>
      <c r="W280" s="19"/>
      <c r="X280" s="19" t="s">
        <v>72</v>
      </c>
      <c r="Y280" s="27" t="s">
        <v>78</v>
      </c>
      <c r="Z280" s="27" t="s">
        <v>78</v>
      </c>
      <c r="AA280" s="27" t="s">
        <v>78</v>
      </c>
      <c r="AB280" s="27" t="s">
        <v>78</v>
      </c>
      <c r="AC280" s="37" t="s">
        <v>78</v>
      </c>
      <c r="AD280" s="38" t="s">
        <v>78</v>
      </c>
      <c r="AE280" s="36">
        <v>45833</v>
      </c>
      <c r="AF280" s="19" t="s">
        <v>78</v>
      </c>
      <c r="AG280" s="19" t="s">
        <v>78</v>
      </c>
      <c r="AH280" s="19" t="s">
        <v>78</v>
      </c>
      <c r="AI280" s="19" t="s">
        <v>63</v>
      </c>
      <c r="AJ280" s="19" t="s">
        <v>2275</v>
      </c>
      <c r="AK280" s="19"/>
      <c r="AL280" s="19"/>
      <c r="AM280" s="19"/>
      <c r="AN280" s="19" t="s">
        <v>65</v>
      </c>
      <c r="AO280" s="23">
        <v>45827.045138888891</v>
      </c>
      <c r="AP280" s="26">
        <f t="shared" si="11"/>
        <v>15</v>
      </c>
    </row>
    <row r="281" spans="1:42" ht="25.5" customHeight="1">
      <c r="A281" s="19" t="s">
        <v>42</v>
      </c>
      <c r="B281" s="19" t="s">
        <v>66</v>
      </c>
      <c r="C281" s="19" t="s">
        <v>2276</v>
      </c>
      <c r="D281" s="19" t="s">
        <v>45</v>
      </c>
      <c r="E281" s="19" t="s">
        <v>46</v>
      </c>
      <c r="F281" s="19" t="s">
        <v>2277</v>
      </c>
      <c r="G281" s="19" t="s">
        <v>48</v>
      </c>
      <c r="H281" s="19" t="s">
        <v>69</v>
      </c>
      <c r="I281" s="20">
        <v>45827.354166666657</v>
      </c>
      <c r="K281" s="19">
        <v>45827.375</v>
      </c>
      <c r="L281" s="20">
        <v>45827.43472222222</v>
      </c>
      <c r="M281" s="19"/>
      <c r="N281" s="22">
        <f t="shared" si="10"/>
        <v>8.0555555563478265E-2</v>
      </c>
      <c r="O281" s="19" t="s">
        <v>50</v>
      </c>
      <c r="P281" s="19" t="s">
        <v>2278</v>
      </c>
      <c r="Q281" s="19" t="s">
        <v>2279</v>
      </c>
      <c r="R281" s="19"/>
      <c r="S281" s="19"/>
      <c r="U281" s="19"/>
      <c r="W281" s="19"/>
      <c r="X281" s="19" t="s">
        <v>72</v>
      </c>
      <c r="Y281" s="27" t="s">
        <v>78</v>
      </c>
      <c r="Z281" s="27" t="s">
        <v>78</v>
      </c>
      <c r="AA281" s="27" t="s">
        <v>78</v>
      </c>
      <c r="AB281" s="27" t="s">
        <v>78</v>
      </c>
      <c r="AC281" s="37" t="s">
        <v>78</v>
      </c>
      <c r="AD281" s="38" t="s">
        <v>78</v>
      </c>
      <c r="AE281" s="36">
        <v>45833</v>
      </c>
      <c r="AF281" s="19" t="s">
        <v>89</v>
      </c>
      <c r="AG281" s="19" t="s">
        <v>90</v>
      </c>
      <c r="AH281" s="19" t="s">
        <v>62</v>
      </c>
      <c r="AI281" s="19" t="s">
        <v>63</v>
      </c>
      <c r="AJ281" s="19" t="s">
        <v>2280</v>
      </c>
      <c r="AK281" s="19"/>
      <c r="AL281" s="19"/>
      <c r="AM281" s="19"/>
      <c r="AN281" s="19" t="s">
        <v>65</v>
      </c>
      <c r="AO281" s="23">
        <v>45827.370833333327</v>
      </c>
      <c r="AP281" s="26">
        <f t="shared" si="11"/>
        <v>116</v>
      </c>
    </row>
    <row r="282" spans="1:42" ht="25.5" hidden="1" customHeight="1">
      <c r="A282" s="19" t="s">
        <v>42</v>
      </c>
      <c r="B282" s="19" t="s">
        <v>2281</v>
      </c>
      <c r="C282" s="19" t="s">
        <v>658</v>
      </c>
      <c r="D282" s="19" t="s">
        <v>45</v>
      </c>
      <c r="E282" s="19" t="s">
        <v>46</v>
      </c>
      <c r="F282" s="19" t="s">
        <v>2282</v>
      </c>
      <c r="G282" s="19" t="s">
        <v>48</v>
      </c>
      <c r="H282" s="19" t="s">
        <v>49</v>
      </c>
      <c r="I282" s="20">
        <v>45827.51458333333</v>
      </c>
      <c r="K282" s="19"/>
      <c r="L282" s="20">
        <v>45827.761111111111</v>
      </c>
      <c r="M282" s="19"/>
      <c r="N282" s="22">
        <f t="shared" si="10"/>
        <v>0.24652777778101154</v>
      </c>
      <c r="O282" s="19" t="s">
        <v>63</v>
      </c>
      <c r="P282" s="19" t="s">
        <v>2283</v>
      </c>
      <c r="Q282" s="19" t="s">
        <v>2284</v>
      </c>
      <c r="R282" s="19"/>
      <c r="S282" s="19"/>
      <c r="U282" s="19"/>
      <c r="W282" s="19"/>
      <c r="X282" s="19" t="s">
        <v>1069</v>
      </c>
      <c r="Y282" s="27" t="s">
        <v>54</v>
      </c>
      <c r="Z282" s="27" t="s">
        <v>123</v>
      </c>
      <c r="AA282" s="27" t="s">
        <v>2285</v>
      </c>
      <c r="AB282" s="27" t="s">
        <v>2286</v>
      </c>
      <c r="AC282" s="37">
        <v>45827.482638888891</v>
      </c>
      <c r="AD282" s="38">
        <v>45827.5</v>
      </c>
      <c r="AE282" s="36">
        <v>45833</v>
      </c>
      <c r="AF282" s="19" t="s">
        <v>89</v>
      </c>
      <c r="AG282" s="19" t="s">
        <v>126</v>
      </c>
      <c r="AH282" s="19" t="s">
        <v>62</v>
      </c>
      <c r="AI282" s="19" t="s">
        <v>63</v>
      </c>
      <c r="AJ282" s="19" t="s">
        <v>2287</v>
      </c>
      <c r="AK282" s="19"/>
      <c r="AL282" s="19"/>
      <c r="AM282" s="19"/>
      <c r="AN282" s="19" t="s">
        <v>65</v>
      </c>
      <c r="AO282" s="23">
        <v>45827.51458333333</v>
      </c>
      <c r="AP282" s="26">
        <f t="shared" si="11"/>
        <v>355</v>
      </c>
    </row>
    <row r="283" spans="1:42" ht="25.5" hidden="1" customHeight="1">
      <c r="A283" s="19" t="s">
        <v>42</v>
      </c>
      <c r="B283" s="19" t="s">
        <v>2288</v>
      </c>
      <c r="C283" s="19" t="s">
        <v>2289</v>
      </c>
      <c r="D283" s="19" t="s">
        <v>45</v>
      </c>
      <c r="E283" s="19" t="s">
        <v>46</v>
      </c>
      <c r="F283" s="19" t="s">
        <v>2290</v>
      </c>
      <c r="G283" s="19" t="s">
        <v>48</v>
      </c>
      <c r="H283" s="19" t="s">
        <v>49</v>
      </c>
      <c r="I283" s="20">
        <v>45827.625</v>
      </c>
      <c r="K283" s="19"/>
      <c r="L283" s="20">
        <v>45827.668055555558</v>
      </c>
      <c r="M283" s="19"/>
      <c r="N283" s="22">
        <f t="shared" si="10"/>
        <v>4.3055555557657499E-2</v>
      </c>
      <c r="O283" s="19" t="s">
        <v>50</v>
      </c>
      <c r="P283" s="19" t="s">
        <v>2291</v>
      </c>
      <c r="Q283" s="19" t="s">
        <v>2292</v>
      </c>
      <c r="R283" s="19"/>
      <c r="S283" s="19"/>
      <c r="U283" s="19"/>
      <c r="W283" s="19"/>
      <c r="X283" s="19" t="s">
        <v>2293</v>
      </c>
      <c r="Y283" s="27" t="s">
        <v>133</v>
      </c>
      <c r="Z283" s="27" t="s">
        <v>2294</v>
      </c>
      <c r="AA283" s="27" t="s">
        <v>2295</v>
      </c>
      <c r="AB283" s="27" t="s">
        <v>2296</v>
      </c>
      <c r="AC283" s="37" t="s">
        <v>2297</v>
      </c>
      <c r="AD283" s="38" t="s">
        <v>2298</v>
      </c>
      <c r="AE283" s="36">
        <v>45833</v>
      </c>
      <c r="AF283" s="19" t="s">
        <v>89</v>
      </c>
      <c r="AG283" s="19" t="s">
        <v>90</v>
      </c>
      <c r="AH283" s="19" t="s">
        <v>62</v>
      </c>
      <c r="AI283" s="19" t="s">
        <v>63</v>
      </c>
      <c r="AJ283" s="19" t="s">
        <v>2299</v>
      </c>
      <c r="AK283" s="19"/>
      <c r="AL283" s="19"/>
      <c r="AM283" s="19"/>
      <c r="AN283" s="19" t="s">
        <v>128</v>
      </c>
      <c r="AO283" s="23">
        <v>45827.654861111107</v>
      </c>
      <c r="AP283" s="26">
        <f t="shared" si="11"/>
        <v>62</v>
      </c>
    </row>
    <row r="284" spans="1:42" ht="25.5" hidden="1" customHeight="1">
      <c r="A284" s="19" t="s">
        <v>42</v>
      </c>
      <c r="C284" s="19" t="s">
        <v>2300</v>
      </c>
      <c r="D284" s="19" t="s">
        <v>45</v>
      </c>
      <c r="E284" s="19" t="s">
        <v>46</v>
      </c>
      <c r="F284" s="19" t="s">
        <v>2301</v>
      </c>
      <c r="G284" s="19" t="s">
        <v>48</v>
      </c>
      <c r="H284" s="19" t="s">
        <v>49</v>
      </c>
      <c r="I284" s="20">
        <v>45827.625</v>
      </c>
      <c r="K284" s="19"/>
      <c r="L284" s="20">
        <v>45828.616666666669</v>
      </c>
      <c r="M284" s="19"/>
      <c r="N284" s="22">
        <f t="shared" si="10"/>
        <v>0.99166666666860692</v>
      </c>
      <c r="O284" s="19" t="s">
        <v>63</v>
      </c>
      <c r="P284" s="19" t="s">
        <v>2302</v>
      </c>
      <c r="Q284" s="19" t="s">
        <v>2303</v>
      </c>
      <c r="R284" s="19"/>
      <c r="S284" s="19"/>
      <c r="U284" s="19"/>
      <c r="W284" s="19"/>
      <c r="X284" s="19" t="s">
        <v>72</v>
      </c>
      <c r="Y284" s="27" t="s">
        <v>78</v>
      </c>
      <c r="Z284" s="27" t="s">
        <v>78</v>
      </c>
      <c r="AA284" s="27" t="s">
        <v>78</v>
      </c>
      <c r="AB284" s="27" t="s">
        <v>78</v>
      </c>
      <c r="AC284" s="37" t="s">
        <v>78</v>
      </c>
      <c r="AD284" s="38" t="s">
        <v>78</v>
      </c>
      <c r="AE284" s="36">
        <v>45833</v>
      </c>
      <c r="AF284" s="19" t="s">
        <v>89</v>
      </c>
      <c r="AG284" s="19" t="s">
        <v>90</v>
      </c>
      <c r="AH284" s="19" t="s">
        <v>62</v>
      </c>
      <c r="AI284" s="19" t="s">
        <v>63</v>
      </c>
      <c r="AJ284" s="19" t="s">
        <v>2304</v>
      </c>
      <c r="AK284" s="19"/>
      <c r="AL284" s="19"/>
      <c r="AM284" s="19"/>
      <c r="AN284" s="19" t="s">
        <v>65</v>
      </c>
      <c r="AO284" s="23">
        <v>45827.625</v>
      </c>
      <c r="AP284" s="26">
        <f t="shared" si="11"/>
        <v>1428</v>
      </c>
    </row>
    <row r="285" spans="1:42" ht="25.5" hidden="1" customHeight="1">
      <c r="A285" s="19" t="s">
        <v>42</v>
      </c>
      <c r="B285" s="19" t="s">
        <v>599</v>
      </c>
      <c r="C285" s="19" t="s">
        <v>452</v>
      </c>
      <c r="D285" s="19" t="s">
        <v>45</v>
      </c>
      <c r="E285" s="19" t="s">
        <v>46</v>
      </c>
      <c r="F285" s="19" t="s">
        <v>2305</v>
      </c>
      <c r="G285" s="19" t="s">
        <v>48</v>
      </c>
      <c r="H285" s="19" t="s">
        <v>49</v>
      </c>
      <c r="I285" s="20">
        <v>45827.731944444437</v>
      </c>
      <c r="K285" s="19"/>
      <c r="L285" s="20">
        <v>45827.791666666657</v>
      </c>
      <c r="M285" s="19"/>
      <c r="N285" s="22">
        <f t="shared" si="10"/>
        <v>5.9722222220443655E-2</v>
      </c>
      <c r="O285" s="19" t="s">
        <v>50</v>
      </c>
      <c r="P285" s="19" t="s">
        <v>2306</v>
      </c>
      <c r="Q285" s="19" t="s">
        <v>2307</v>
      </c>
      <c r="R285" s="19"/>
      <c r="S285" s="19"/>
      <c r="U285" s="19"/>
      <c r="W285" s="19"/>
      <c r="X285" s="19" t="s">
        <v>122</v>
      </c>
      <c r="Y285" s="27" t="s">
        <v>78</v>
      </c>
      <c r="Z285" s="27" t="s">
        <v>78</v>
      </c>
      <c r="AA285" s="27" t="s">
        <v>78</v>
      </c>
      <c r="AB285" s="27" t="s">
        <v>78</v>
      </c>
      <c r="AC285" s="37" t="s">
        <v>78</v>
      </c>
      <c r="AD285" s="38" t="s">
        <v>78</v>
      </c>
      <c r="AE285" s="36">
        <v>45833</v>
      </c>
      <c r="AF285" s="19" t="s">
        <v>89</v>
      </c>
      <c r="AG285" s="19" t="s">
        <v>126</v>
      </c>
      <c r="AH285" s="19" t="s">
        <v>62</v>
      </c>
      <c r="AI285" s="19" t="s">
        <v>63</v>
      </c>
      <c r="AJ285" s="19" t="s">
        <v>2308</v>
      </c>
      <c r="AK285" s="19"/>
      <c r="AL285" s="19"/>
      <c r="AM285" s="19"/>
      <c r="AN285" s="19" t="s">
        <v>65</v>
      </c>
      <c r="AO285" s="23">
        <v>45827.731944444437</v>
      </c>
      <c r="AP285" s="26">
        <f t="shared" si="11"/>
        <v>86</v>
      </c>
    </row>
    <row r="286" spans="1:42" ht="25.5" hidden="1" customHeight="1">
      <c r="A286" s="19" t="s">
        <v>42</v>
      </c>
      <c r="B286" s="19" t="s">
        <v>410</v>
      </c>
      <c r="C286" s="19" t="s">
        <v>105</v>
      </c>
      <c r="D286" s="19" t="s">
        <v>45</v>
      </c>
      <c r="E286" s="19" t="s">
        <v>46</v>
      </c>
      <c r="F286" s="19" t="s">
        <v>2309</v>
      </c>
      <c r="G286" s="19" t="s">
        <v>48</v>
      </c>
      <c r="H286" s="19" t="s">
        <v>49</v>
      </c>
      <c r="I286" s="20">
        <v>45827.791666666657</v>
      </c>
      <c r="K286" s="19"/>
      <c r="L286" s="20">
        <v>45827.84375</v>
      </c>
      <c r="M286" s="19"/>
      <c r="N286" s="22">
        <f t="shared" si="10"/>
        <v>5.208333334303461E-2</v>
      </c>
      <c r="O286" s="19" t="s">
        <v>63</v>
      </c>
      <c r="P286" s="19" t="s">
        <v>2310</v>
      </c>
      <c r="Q286" s="19" t="s">
        <v>2311</v>
      </c>
      <c r="R286" s="19"/>
      <c r="S286" s="19"/>
      <c r="U286" s="19"/>
      <c r="W286" s="19"/>
      <c r="X286" s="19" t="s">
        <v>109</v>
      </c>
      <c r="Y286" s="27" t="s">
        <v>78</v>
      </c>
      <c r="Z286" s="27" t="s">
        <v>78</v>
      </c>
      <c r="AA286" s="27" t="s">
        <v>78</v>
      </c>
      <c r="AB286" s="27" t="s">
        <v>78</v>
      </c>
      <c r="AC286" s="37" t="s">
        <v>78</v>
      </c>
      <c r="AD286" s="38" t="s">
        <v>78</v>
      </c>
      <c r="AE286" s="36">
        <v>45833</v>
      </c>
      <c r="AF286" s="19" t="s">
        <v>89</v>
      </c>
      <c r="AG286" s="19" t="s">
        <v>126</v>
      </c>
      <c r="AH286" s="19" t="s">
        <v>62</v>
      </c>
      <c r="AI286" s="19" t="s">
        <v>63</v>
      </c>
      <c r="AJ286" s="19" t="s">
        <v>2312</v>
      </c>
      <c r="AK286" s="19"/>
      <c r="AL286" s="19"/>
      <c r="AM286" s="19"/>
      <c r="AN286" s="19" t="s">
        <v>103</v>
      </c>
      <c r="AO286" s="23">
        <v>45827.791666666657</v>
      </c>
      <c r="AP286" s="26">
        <f t="shared" si="11"/>
        <v>75</v>
      </c>
    </row>
    <row r="287" spans="1:42" ht="25.5" hidden="1" customHeight="1">
      <c r="A287" s="19" t="s">
        <v>42</v>
      </c>
      <c r="B287" s="19" t="s">
        <v>2313</v>
      </c>
      <c r="C287" s="19" t="s">
        <v>336</v>
      </c>
      <c r="D287" s="19" t="s">
        <v>45</v>
      </c>
      <c r="E287" s="19" t="s">
        <v>46</v>
      </c>
      <c r="F287" s="19" t="s">
        <v>2314</v>
      </c>
      <c r="G287" s="19" t="s">
        <v>48</v>
      </c>
      <c r="H287" s="19" t="s">
        <v>49</v>
      </c>
      <c r="I287" s="20">
        <v>45827.859027777777</v>
      </c>
      <c r="K287" s="19"/>
      <c r="L287" s="20">
        <v>45827.861111111109</v>
      </c>
      <c r="M287" s="19"/>
      <c r="N287" s="22">
        <f t="shared" si="10"/>
        <v>2.0833333328482695E-3</v>
      </c>
      <c r="O287" s="19" t="s">
        <v>50</v>
      </c>
      <c r="P287" s="19" t="s">
        <v>2315</v>
      </c>
      <c r="Q287" s="19" t="s">
        <v>2316</v>
      </c>
      <c r="R287" s="19"/>
      <c r="S287" s="19"/>
      <c r="U287" s="19"/>
      <c r="W287" s="19"/>
      <c r="X287" s="19" t="s">
        <v>314</v>
      </c>
      <c r="Y287" s="27" t="s">
        <v>78</v>
      </c>
      <c r="Z287" s="27" t="s">
        <v>78</v>
      </c>
      <c r="AA287" s="27" t="s">
        <v>78</v>
      </c>
      <c r="AB287" s="27" t="s">
        <v>78</v>
      </c>
      <c r="AC287" s="37" t="s">
        <v>78</v>
      </c>
      <c r="AD287" s="38" t="s">
        <v>78</v>
      </c>
      <c r="AE287" s="36">
        <v>45833</v>
      </c>
      <c r="AF287" s="19" t="s">
        <v>78</v>
      </c>
      <c r="AG287" s="19" t="s">
        <v>78</v>
      </c>
      <c r="AH287" s="19" t="s">
        <v>62</v>
      </c>
      <c r="AI287" s="19" t="s">
        <v>63</v>
      </c>
      <c r="AJ287" s="19" t="s">
        <v>2317</v>
      </c>
      <c r="AK287" s="19"/>
      <c r="AL287" s="19"/>
      <c r="AM287" s="19"/>
      <c r="AN287" s="19" t="s">
        <v>103</v>
      </c>
      <c r="AO287" s="23">
        <v>45827.859027777777</v>
      </c>
      <c r="AP287" s="26">
        <f t="shared" si="11"/>
        <v>3</v>
      </c>
    </row>
    <row r="288" spans="1:42" ht="25.5" hidden="1" customHeight="1">
      <c r="A288" s="19" t="s">
        <v>285</v>
      </c>
      <c r="B288" s="19" t="s">
        <v>2318</v>
      </c>
      <c r="C288" s="19" t="s">
        <v>2319</v>
      </c>
      <c r="D288" s="19" t="s">
        <v>45</v>
      </c>
      <c r="E288" s="19" t="s">
        <v>225</v>
      </c>
      <c r="F288" s="19" t="s">
        <v>2320</v>
      </c>
      <c r="G288" s="19" t="s">
        <v>48</v>
      </c>
      <c r="H288" s="19" t="s">
        <v>49</v>
      </c>
      <c r="I288" s="20">
        <v>45827.868055555547</v>
      </c>
      <c r="K288" s="19"/>
      <c r="L288" s="20">
        <v>45827.972222222219</v>
      </c>
      <c r="M288" s="19"/>
      <c r="N288" s="22">
        <f t="shared" si="10"/>
        <v>0.10416666667151731</v>
      </c>
      <c r="O288" s="19" t="s">
        <v>50</v>
      </c>
      <c r="P288" s="19" t="s">
        <v>2321</v>
      </c>
      <c r="Q288" s="19" t="s">
        <v>2322</v>
      </c>
      <c r="R288" s="19"/>
      <c r="S288" s="19"/>
      <c r="U288" s="19"/>
      <c r="W288" s="19"/>
      <c r="X288" s="19" t="s">
        <v>2323</v>
      </c>
      <c r="Y288" s="27" t="s">
        <v>133</v>
      </c>
      <c r="Z288" s="27" t="s">
        <v>2324</v>
      </c>
      <c r="AA288" s="27" t="s">
        <v>2325</v>
      </c>
      <c r="AB288" s="27" t="s">
        <v>2326</v>
      </c>
      <c r="AC288" s="37" t="s">
        <v>2327</v>
      </c>
      <c r="AD288" s="38" t="s">
        <v>2328</v>
      </c>
      <c r="AE288" s="36">
        <v>45833</v>
      </c>
      <c r="AF288" s="19" t="s">
        <v>293</v>
      </c>
      <c r="AG288" s="19" t="s">
        <v>307</v>
      </c>
      <c r="AH288" s="19" t="s">
        <v>62</v>
      </c>
      <c r="AI288" s="19" t="s">
        <v>63</v>
      </c>
      <c r="AJ288" s="19" t="s">
        <v>2329</v>
      </c>
      <c r="AK288" s="19"/>
      <c r="AL288" s="19"/>
      <c r="AM288" s="19"/>
      <c r="AN288" s="19" t="s">
        <v>128</v>
      </c>
      <c r="AO288" s="23">
        <v>45827.868055555547</v>
      </c>
      <c r="AP288" s="26">
        <f t="shared" si="11"/>
        <v>150</v>
      </c>
    </row>
    <row r="289" spans="1:42" ht="25.5" hidden="1" customHeight="1">
      <c r="A289" s="19" t="s">
        <v>42</v>
      </c>
      <c r="B289" s="19" t="s">
        <v>2330</v>
      </c>
      <c r="C289" s="19" t="s">
        <v>2331</v>
      </c>
      <c r="D289" s="19" t="s">
        <v>45</v>
      </c>
      <c r="E289" s="19" t="s">
        <v>46</v>
      </c>
      <c r="F289" s="19" t="s">
        <v>2332</v>
      </c>
      <c r="G289" s="19" t="s">
        <v>48</v>
      </c>
      <c r="H289" s="19" t="s">
        <v>49</v>
      </c>
      <c r="I289" s="20">
        <v>45828.352777777778</v>
      </c>
      <c r="K289" s="19"/>
      <c r="L289" s="20">
        <v>45828.405555555553</v>
      </c>
      <c r="M289" s="19"/>
      <c r="N289" s="22">
        <f t="shared" si="10"/>
        <v>5.2777777775190771E-2</v>
      </c>
      <c r="O289" s="19" t="s">
        <v>50</v>
      </c>
      <c r="P289" s="19" t="s">
        <v>2333</v>
      </c>
      <c r="Q289" s="19" t="s">
        <v>2334</v>
      </c>
      <c r="R289" s="19"/>
      <c r="S289" s="19"/>
      <c r="U289" s="19"/>
      <c r="W289" s="19"/>
      <c r="X289" s="19" t="s">
        <v>314</v>
      </c>
      <c r="Y289" s="27" t="s">
        <v>54</v>
      </c>
      <c r="Z289" s="27" t="s">
        <v>2335</v>
      </c>
      <c r="AA289" s="27" t="s">
        <v>2336</v>
      </c>
      <c r="AB289" s="27" t="s">
        <v>2337</v>
      </c>
      <c r="AC289" s="37" t="s">
        <v>2338</v>
      </c>
      <c r="AD289" s="38" t="s">
        <v>2339</v>
      </c>
      <c r="AE289" s="36">
        <v>45833</v>
      </c>
      <c r="AF289" s="19" t="s">
        <v>99</v>
      </c>
      <c r="AG289" s="19" t="s">
        <v>100</v>
      </c>
      <c r="AH289" s="19" t="s">
        <v>62</v>
      </c>
      <c r="AI289" s="19" t="s">
        <v>63</v>
      </c>
      <c r="AJ289" s="19" t="s">
        <v>2340</v>
      </c>
      <c r="AK289" s="19" t="s">
        <v>2341</v>
      </c>
      <c r="AL289" s="19"/>
      <c r="AM289" s="19"/>
      <c r="AN289" s="19" t="s">
        <v>103</v>
      </c>
      <c r="AO289" s="23">
        <v>45828.352777777778</v>
      </c>
      <c r="AP289" s="26">
        <f t="shared" si="11"/>
        <v>76</v>
      </c>
    </row>
    <row r="290" spans="1:42" ht="25.5" hidden="1" customHeight="1">
      <c r="A290" s="19" t="s">
        <v>42</v>
      </c>
      <c r="C290" s="19" t="s">
        <v>2342</v>
      </c>
      <c r="D290" s="19" t="s">
        <v>45</v>
      </c>
      <c r="E290" s="19" t="s">
        <v>46</v>
      </c>
      <c r="F290" s="19" t="s">
        <v>2343</v>
      </c>
      <c r="G290" s="19" t="s">
        <v>48</v>
      </c>
      <c r="H290" s="19" t="s">
        <v>49</v>
      </c>
      <c r="I290" s="20">
        <v>45828.439583333333</v>
      </c>
      <c r="K290" s="19"/>
      <c r="L290" s="20">
        <v>45828.503472222219</v>
      </c>
      <c r="M290" s="19"/>
      <c r="N290" s="22">
        <f t="shared" si="10"/>
        <v>6.3888888886140194E-2</v>
      </c>
      <c r="O290" s="19" t="s">
        <v>63</v>
      </c>
      <c r="P290" s="19" t="s">
        <v>2344</v>
      </c>
      <c r="Q290" s="19" t="s">
        <v>2345</v>
      </c>
      <c r="R290" s="19"/>
      <c r="S290" s="19"/>
      <c r="U290" s="19"/>
      <c r="W290" s="19"/>
      <c r="X290" s="19" t="s">
        <v>509</v>
      </c>
      <c r="Y290" s="27" t="s">
        <v>54</v>
      </c>
      <c r="Z290" s="27" t="s">
        <v>414</v>
      </c>
      <c r="AA290" s="27" t="s">
        <v>2346</v>
      </c>
      <c r="AB290" s="27" t="s">
        <v>2347</v>
      </c>
      <c r="AC290" s="37">
        <v>45828.431250000001</v>
      </c>
      <c r="AD290" s="38">
        <v>45828.459722222222</v>
      </c>
      <c r="AE290" s="36">
        <v>45833</v>
      </c>
      <c r="AF290" s="19" t="s">
        <v>89</v>
      </c>
      <c r="AG290" s="19" t="s">
        <v>90</v>
      </c>
      <c r="AH290" s="19" t="s">
        <v>62</v>
      </c>
      <c r="AI290" s="19" t="s">
        <v>63</v>
      </c>
      <c r="AJ290" s="19" t="s">
        <v>2348</v>
      </c>
      <c r="AK290" s="19"/>
      <c r="AL290" s="19"/>
      <c r="AM290" s="19"/>
      <c r="AN290" s="19" t="s">
        <v>65</v>
      </c>
      <c r="AO290" s="23">
        <v>45828.439583333333</v>
      </c>
      <c r="AP290" s="26">
        <f t="shared" si="11"/>
        <v>92</v>
      </c>
    </row>
    <row r="291" spans="1:42" ht="25.5" hidden="1" customHeight="1">
      <c r="A291" s="19" t="s">
        <v>42</v>
      </c>
      <c r="B291" s="19" t="s">
        <v>470</v>
      </c>
      <c r="C291" s="19" t="s">
        <v>1880</v>
      </c>
      <c r="D291" s="19" t="s">
        <v>45</v>
      </c>
      <c r="E291" s="19" t="s">
        <v>225</v>
      </c>
      <c r="F291" s="19" t="s">
        <v>2349</v>
      </c>
      <c r="G291" s="19" t="s">
        <v>48</v>
      </c>
      <c r="H291" s="19" t="s">
        <v>49</v>
      </c>
      <c r="I291" s="20">
        <v>45828.447916666657</v>
      </c>
      <c r="K291" s="19"/>
      <c r="L291" s="20">
        <v>45828.472222222219</v>
      </c>
      <c r="M291" s="19"/>
      <c r="N291" s="22">
        <f t="shared" si="10"/>
        <v>2.4305555562023073E-2</v>
      </c>
      <c r="O291" s="19" t="s">
        <v>50</v>
      </c>
      <c r="P291" s="19" t="s">
        <v>2350</v>
      </c>
      <c r="Q291" s="19" t="s">
        <v>2351</v>
      </c>
      <c r="R291" s="19"/>
      <c r="S291" s="19"/>
      <c r="U291" s="19"/>
      <c r="W291" s="19"/>
      <c r="X291" s="19" t="s">
        <v>1589</v>
      </c>
      <c r="Y291" s="27" t="s">
        <v>54</v>
      </c>
      <c r="Z291" s="27" t="s">
        <v>209</v>
      </c>
      <c r="AA291" s="27" t="s">
        <v>2352</v>
      </c>
      <c r="AB291" s="27" t="s">
        <v>2353</v>
      </c>
      <c r="AC291" s="37">
        <v>45828.429166666669</v>
      </c>
      <c r="AD291" s="38">
        <v>45828.474999999999</v>
      </c>
      <c r="AE291" s="36">
        <v>45833</v>
      </c>
      <c r="AF291" s="19" t="s">
        <v>89</v>
      </c>
      <c r="AG291" s="19" t="s">
        <v>90</v>
      </c>
      <c r="AH291" s="19" t="s">
        <v>62</v>
      </c>
      <c r="AI291" s="19" t="s">
        <v>63</v>
      </c>
      <c r="AJ291" s="19" t="s">
        <v>2354</v>
      </c>
      <c r="AK291" s="19"/>
      <c r="AL291" s="19"/>
      <c r="AM291" s="19"/>
      <c r="AN291" s="19" t="s">
        <v>128</v>
      </c>
      <c r="AO291" s="23">
        <v>45828.447916666657</v>
      </c>
      <c r="AP291" s="26">
        <f t="shared" si="11"/>
        <v>35</v>
      </c>
    </row>
    <row r="292" spans="1:42" ht="25.5" hidden="1" customHeight="1">
      <c r="A292" s="19" t="s">
        <v>42</v>
      </c>
      <c r="C292" s="19" t="s">
        <v>2355</v>
      </c>
      <c r="D292" s="19" t="s">
        <v>45</v>
      </c>
      <c r="E292" s="19" t="s">
        <v>46</v>
      </c>
      <c r="F292" s="19" t="s">
        <v>2239</v>
      </c>
      <c r="G292" s="19" t="s">
        <v>48</v>
      </c>
      <c r="H292" s="19" t="s">
        <v>49</v>
      </c>
      <c r="I292" s="20">
        <v>45828.476388888892</v>
      </c>
      <c r="K292" s="19"/>
      <c r="L292" s="20">
        <v>45828.552083333343</v>
      </c>
      <c r="M292" s="19"/>
      <c r="N292" s="22">
        <f t="shared" si="10"/>
        <v>7.569444445107365E-2</v>
      </c>
      <c r="O292" s="19" t="s">
        <v>63</v>
      </c>
      <c r="P292" s="19" t="s">
        <v>2356</v>
      </c>
      <c r="Q292" s="19" t="s">
        <v>2357</v>
      </c>
      <c r="R292" s="19"/>
      <c r="S292" s="19"/>
      <c r="U292" s="19"/>
      <c r="W292" s="19"/>
      <c r="X292" s="19" t="s">
        <v>314</v>
      </c>
      <c r="Y292" s="27" t="s">
        <v>147</v>
      </c>
      <c r="Z292" s="27" t="s">
        <v>78</v>
      </c>
      <c r="AA292" s="27" t="s">
        <v>78</v>
      </c>
      <c r="AB292" s="27" t="s">
        <v>78</v>
      </c>
      <c r="AC292" s="37" t="s">
        <v>78</v>
      </c>
      <c r="AD292" s="38" t="s">
        <v>78</v>
      </c>
      <c r="AE292" s="36">
        <v>45833</v>
      </c>
      <c r="AF292" s="19" t="s">
        <v>89</v>
      </c>
      <c r="AG292" s="19" t="s">
        <v>90</v>
      </c>
      <c r="AH292" s="19" t="s">
        <v>62</v>
      </c>
      <c r="AI292" s="19" t="s">
        <v>63</v>
      </c>
      <c r="AJ292" s="19" t="s">
        <v>2358</v>
      </c>
      <c r="AK292" s="19"/>
      <c r="AL292" s="19"/>
      <c r="AM292" s="19"/>
      <c r="AN292" s="19" t="s">
        <v>65</v>
      </c>
      <c r="AO292" s="23">
        <v>45828.476388888892</v>
      </c>
      <c r="AP292" s="26">
        <f t="shared" si="11"/>
        <v>109</v>
      </c>
    </row>
    <row r="293" spans="1:42" ht="25.5" hidden="1" customHeight="1">
      <c r="A293" s="19" t="s">
        <v>42</v>
      </c>
      <c r="C293" s="19" t="s">
        <v>430</v>
      </c>
      <c r="D293" s="19" t="s">
        <v>45</v>
      </c>
      <c r="E293" s="19" t="s">
        <v>46</v>
      </c>
      <c r="F293" s="19" t="s">
        <v>2359</v>
      </c>
      <c r="G293" s="19" t="s">
        <v>48</v>
      </c>
      <c r="H293" s="19" t="s">
        <v>49</v>
      </c>
      <c r="I293" s="20">
        <v>45828.708333333343</v>
      </c>
      <c r="K293" s="19"/>
      <c r="L293" s="20">
        <v>45828.756944444453</v>
      </c>
      <c r="M293" s="19"/>
      <c r="N293" s="22">
        <f t="shared" si="10"/>
        <v>4.8611111109494232E-2</v>
      </c>
      <c r="O293" s="19" t="s">
        <v>50</v>
      </c>
      <c r="P293" s="19" t="s">
        <v>2360</v>
      </c>
      <c r="Q293" s="19" t="s">
        <v>2361</v>
      </c>
      <c r="R293" s="19"/>
      <c r="S293" s="19"/>
      <c r="U293" s="19"/>
      <c r="W293" s="19"/>
      <c r="X293" s="19" t="s">
        <v>434</v>
      </c>
      <c r="Y293" s="27" t="s">
        <v>54</v>
      </c>
      <c r="Z293" s="27" t="s">
        <v>2362</v>
      </c>
      <c r="AA293" s="27" t="s">
        <v>2363</v>
      </c>
      <c r="AB293" s="27" t="s">
        <v>2364</v>
      </c>
      <c r="AC293" s="37" t="s">
        <v>2365</v>
      </c>
      <c r="AD293" s="38" t="s">
        <v>2366</v>
      </c>
      <c r="AE293" s="36">
        <v>45833</v>
      </c>
      <c r="AF293" s="19" t="s">
        <v>89</v>
      </c>
      <c r="AG293" s="19" t="s">
        <v>90</v>
      </c>
      <c r="AH293" s="19" t="s">
        <v>62</v>
      </c>
      <c r="AI293" s="19" t="s">
        <v>63</v>
      </c>
      <c r="AJ293" s="19" t="s">
        <v>2367</v>
      </c>
      <c r="AK293" s="19"/>
      <c r="AL293" s="19"/>
      <c r="AM293" s="19"/>
      <c r="AN293" s="19" t="s">
        <v>65</v>
      </c>
      <c r="AO293" s="23">
        <v>45828.708333333343</v>
      </c>
      <c r="AP293" s="26">
        <f t="shared" si="11"/>
        <v>70</v>
      </c>
    </row>
    <row r="294" spans="1:42" ht="25.5" hidden="1" customHeight="1">
      <c r="A294" s="19" t="s">
        <v>116</v>
      </c>
      <c r="B294" s="19" t="s">
        <v>43</v>
      </c>
      <c r="C294" s="19" t="s">
        <v>2368</v>
      </c>
      <c r="D294" s="19" t="s">
        <v>45</v>
      </c>
      <c r="E294" s="19" t="s">
        <v>46</v>
      </c>
      <c r="F294" s="19" t="s">
        <v>2369</v>
      </c>
      <c r="G294" s="19" t="s">
        <v>48</v>
      </c>
      <c r="H294" s="19" t="s">
        <v>49</v>
      </c>
      <c r="I294" s="20">
        <v>45828.782638888893</v>
      </c>
      <c r="K294" s="19"/>
      <c r="L294" s="20">
        <v>45828.811111111107</v>
      </c>
      <c r="M294" s="19"/>
      <c r="N294" s="22">
        <f t="shared" si="10"/>
        <v>2.8472222213167697E-2</v>
      </c>
      <c r="O294" s="19" t="s">
        <v>50</v>
      </c>
      <c r="P294" s="19" t="s">
        <v>2370</v>
      </c>
      <c r="Q294" s="19" t="s">
        <v>2371</v>
      </c>
      <c r="R294" s="19"/>
      <c r="S294" s="19"/>
      <c r="U294" s="19"/>
      <c r="W294" s="19"/>
      <c r="X294" s="19" t="s">
        <v>98</v>
      </c>
      <c r="Y294" s="27" t="s">
        <v>147</v>
      </c>
      <c r="Z294" s="27" t="s">
        <v>78</v>
      </c>
      <c r="AA294" s="27" t="s">
        <v>78</v>
      </c>
      <c r="AB294" s="27" t="s">
        <v>78</v>
      </c>
      <c r="AC294" s="37" t="s">
        <v>78</v>
      </c>
      <c r="AD294" s="38" t="s">
        <v>78</v>
      </c>
      <c r="AE294" s="36">
        <v>45833</v>
      </c>
      <c r="AF294" s="19" t="s">
        <v>89</v>
      </c>
      <c r="AG294" s="19" t="s">
        <v>90</v>
      </c>
      <c r="AH294" s="19" t="s">
        <v>62</v>
      </c>
      <c r="AI294" s="19" t="s">
        <v>63</v>
      </c>
      <c r="AJ294" s="19" t="s">
        <v>2372</v>
      </c>
      <c r="AK294" s="19"/>
      <c r="AL294" s="19"/>
      <c r="AM294" s="19"/>
      <c r="AN294" s="19" t="s">
        <v>65</v>
      </c>
      <c r="AO294" s="23">
        <v>45828.8125</v>
      </c>
      <c r="AP294" s="26">
        <f t="shared" si="11"/>
        <v>41</v>
      </c>
    </row>
    <row r="295" spans="1:42" ht="25.5" hidden="1" customHeight="1">
      <c r="A295" s="19" t="s">
        <v>42</v>
      </c>
      <c r="B295" s="19" t="s">
        <v>43</v>
      </c>
      <c r="C295" s="19" t="s">
        <v>2373</v>
      </c>
      <c r="D295" s="19" t="s">
        <v>45</v>
      </c>
      <c r="E295" s="19" t="s">
        <v>46</v>
      </c>
      <c r="F295" s="19" t="s">
        <v>2374</v>
      </c>
      <c r="G295" s="19" t="s">
        <v>48</v>
      </c>
      <c r="H295" s="19" t="s">
        <v>49</v>
      </c>
      <c r="I295" s="20">
        <v>45828.789583333331</v>
      </c>
      <c r="K295" s="19"/>
      <c r="L295" s="20">
        <v>45828.803472222222</v>
      </c>
      <c r="M295" s="19"/>
      <c r="N295" s="22">
        <f t="shared" si="10"/>
        <v>1.3888888890505768E-2</v>
      </c>
      <c r="O295" s="19" t="s">
        <v>50</v>
      </c>
      <c r="P295" s="19" t="s">
        <v>2375</v>
      </c>
      <c r="Q295" s="19" t="s">
        <v>2376</v>
      </c>
      <c r="R295" s="19"/>
      <c r="S295" s="19"/>
      <c r="U295" s="19"/>
      <c r="W295" s="19"/>
      <c r="X295" s="19" t="s">
        <v>53</v>
      </c>
      <c r="Y295" s="27" t="s">
        <v>54</v>
      </c>
      <c r="Z295" s="27" t="s">
        <v>123</v>
      </c>
      <c r="AA295" s="27" t="s">
        <v>2377</v>
      </c>
      <c r="AB295" s="27" t="s">
        <v>2378</v>
      </c>
      <c r="AC295" s="37" t="s">
        <v>2379</v>
      </c>
      <c r="AD295" s="38">
        <v>45828.809849537043</v>
      </c>
      <c r="AE295" s="36">
        <v>45833</v>
      </c>
      <c r="AF295" s="19" t="s">
        <v>78</v>
      </c>
      <c r="AG295" s="19" t="s">
        <v>78</v>
      </c>
      <c r="AH295" s="19" t="s">
        <v>78</v>
      </c>
      <c r="AI295" s="19" t="s">
        <v>63</v>
      </c>
      <c r="AJ295" s="19" t="s">
        <v>2380</v>
      </c>
      <c r="AK295" s="19"/>
      <c r="AL295" s="19"/>
      <c r="AM295" s="19"/>
      <c r="AN295" s="19" t="s">
        <v>65</v>
      </c>
      <c r="AO295" s="23">
        <v>45828.789583333331</v>
      </c>
      <c r="AP295" s="26">
        <f t="shared" si="11"/>
        <v>20</v>
      </c>
    </row>
    <row r="296" spans="1:42" ht="25.5" customHeight="1">
      <c r="A296" s="19" t="s">
        <v>42</v>
      </c>
      <c r="B296" s="19" t="s">
        <v>253</v>
      </c>
      <c r="C296" s="19" t="s">
        <v>404</v>
      </c>
      <c r="D296" s="19" t="s">
        <v>45</v>
      </c>
      <c r="E296" s="19" t="s">
        <v>46</v>
      </c>
      <c r="F296" s="19" t="s">
        <v>2381</v>
      </c>
      <c r="G296" s="19" t="s">
        <v>48</v>
      </c>
      <c r="H296" s="19" t="s">
        <v>152</v>
      </c>
      <c r="I296" s="20">
        <v>45829.762499999997</v>
      </c>
      <c r="J296" s="20">
        <v>45829.770833333343</v>
      </c>
      <c r="K296" s="19"/>
      <c r="L296" s="20">
        <v>45829.784722222219</v>
      </c>
      <c r="M296" s="19"/>
      <c r="N296" s="22">
        <f t="shared" si="10"/>
        <v>2.2222222221898846E-2</v>
      </c>
      <c r="O296" s="19" t="s">
        <v>50</v>
      </c>
      <c r="P296" s="19" t="s">
        <v>2382</v>
      </c>
      <c r="Q296" s="19" t="s">
        <v>2383</v>
      </c>
      <c r="R296" s="19" t="s">
        <v>2384</v>
      </c>
      <c r="S296" s="19" t="s">
        <v>2385</v>
      </c>
      <c r="T296" s="20">
        <v>45829.973124999997</v>
      </c>
      <c r="U296" s="19">
        <v>45835.640277777777</v>
      </c>
      <c r="V296" s="19" t="s">
        <v>157</v>
      </c>
      <c r="W296" s="19"/>
      <c r="X296" s="19" t="s">
        <v>109</v>
      </c>
      <c r="Y296" s="27" t="s">
        <v>133</v>
      </c>
      <c r="Z296" s="27" t="s">
        <v>2386</v>
      </c>
      <c r="AA296" s="27" t="s">
        <v>2387</v>
      </c>
      <c r="AB296" s="27" t="s">
        <v>2388</v>
      </c>
      <c r="AC296" s="37" t="s">
        <v>2389</v>
      </c>
      <c r="AD296" s="38" t="s">
        <v>2390</v>
      </c>
      <c r="AE296" s="36">
        <v>45833</v>
      </c>
      <c r="AF296" s="19" t="s">
        <v>293</v>
      </c>
      <c r="AG296" s="19" t="s">
        <v>556</v>
      </c>
      <c r="AH296" s="19" t="s">
        <v>62</v>
      </c>
      <c r="AI296" s="19" t="s">
        <v>63</v>
      </c>
      <c r="AJ296" s="19" t="s">
        <v>2391</v>
      </c>
      <c r="AK296" s="19"/>
      <c r="AL296" s="19"/>
      <c r="AM296" s="19"/>
      <c r="AN296" s="19" t="s">
        <v>128</v>
      </c>
      <c r="AO296" s="23">
        <v>45829.762499999997</v>
      </c>
      <c r="AP296" s="26">
        <f t="shared" si="11"/>
        <v>32</v>
      </c>
    </row>
    <row r="297" spans="1:42" ht="25.5" hidden="1" customHeight="1">
      <c r="A297" s="19" t="s">
        <v>116</v>
      </c>
      <c r="B297" s="19" t="s">
        <v>2392</v>
      </c>
      <c r="C297" s="19" t="s">
        <v>2393</v>
      </c>
      <c r="D297" s="19" t="s">
        <v>45</v>
      </c>
      <c r="E297" s="19" t="s">
        <v>46</v>
      </c>
      <c r="F297" s="19" t="s">
        <v>2394</v>
      </c>
      <c r="G297" s="19" t="s">
        <v>48</v>
      </c>
      <c r="H297" s="19" t="s">
        <v>49</v>
      </c>
      <c r="I297" s="20">
        <v>45830.320138888892</v>
      </c>
      <c r="K297" s="19"/>
      <c r="L297" s="20">
        <v>45830.413888888892</v>
      </c>
      <c r="M297" s="19"/>
      <c r="N297" s="22">
        <f t="shared" si="10"/>
        <v>9.375E-2</v>
      </c>
      <c r="O297" s="19" t="s">
        <v>50</v>
      </c>
      <c r="P297" s="19" t="s">
        <v>2395</v>
      </c>
      <c r="Q297" s="19" t="s">
        <v>2396</v>
      </c>
      <c r="R297" s="19"/>
      <c r="S297" s="19"/>
      <c r="U297" s="19"/>
      <c r="W297" s="19"/>
      <c r="X297" s="19" t="s">
        <v>236</v>
      </c>
      <c r="Y297" s="27" t="s">
        <v>54</v>
      </c>
      <c r="Z297" s="27" t="s">
        <v>811</v>
      </c>
      <c r="AA297" s="27" t="s">
        <v>2397</v>
      </c>
      <c r="AB297" s="27" t="s">
        <v>2398</v>
      </c>
      <c r="AC297" s="37" t="s">
        <v>2399</v>
      </c>
      <c r="AD297" s="38" t="s">
        <v>2400</v>
      </c>
      <c r="AE297" s="36">
        <v>45833</v>
      </c>
      <c r="AF297" s="19" t="s">
        <v>89</v>
      </c>
      <c r="AG297" s="19" t="s">
        <v>90</v>
      </c>
      <c r="AH297" s="19" t="s">
        <v>62</v>
      </c>
      <c r="AI297" s="19" t="s">
        <v>63</v>
      </c>
      <c r="AJ297" s="19" t="s">
        <v>2401</v>
      </c>
      <c r="AK297" s="19"/>
      <c r="AL297" s="19"/>
      <c r="AM297" s="19"/>
      <c r="AN297" s="19" t="s">
        <v>128</v>
      </c>
      <c r="AO297" s="23">
        <v>45830.399305555547</v>
      </c>
      <c r="AP297" s="26">
        <f t="shared" si="11"/>
        <v>135</v>
      </c>
    </row>
    <row r="298" spans="1:42" ht="25.5" hidden="1" customHeight="1">
      <c r="A298" s="19" t="s">
        <v>42</v>
      </c>
      <c r="B298" s="19" t="s">
        <v>202</v>
      </c>
      <c r="C298" s="19" t="s">
        <v>105</v>
      </c>
      <c r="D298" s="19" t="s">
        <v>45</v>
      </c>
      <c r="E298" s="19" t="s">
        <v>405</v>
      </c>
      <c r="F298" s="19" t="s">
        <v>2402</v>
      </c>
      <c r="G298" s="19" t="s">
        <v>48</v>
      </c>
      <c r="H298" s="19" t="s">
        <v>49</v>
      </c>
      <c r="I298" s="20">
        <v>45830.461111111108</v>
      </c>
      <c r="K298" s="19"/>
      <c r="L298" s="20">
        <v>45830.548611111109</v>
      </c>
      <c r="M298" s="19"/>
      <c r="N298" s="22">
        <f t="shared" si="10"/>
        <v>8.7500000001455192E-2</v>
      </c>
      <c r="O298" s="19" t="s">
        <v>63</v>
      </c>
      <c r="P298" s="19" t="s">
        <v>2403</v>
      </c>
      <c r="Q298" s="19" t="s">
        <v>2404</v>
      </c>
      <c r="R298" s="19"/>
      <c r="S298" s="19"/>
      <c r="U298" s="19"/>
      <c r="W298" s="19"/>
      <c r="X298" s="19" t="s">
        <v>109</v>
      </c>
      <c r="Y298" s="27" t="s">
        <v>147</v>
      </c>
      <c r="Z298" s="27" t="s">
        <v>78</v>
      </c>
      <c r="AA298" s="27" t="s">
        <v>78</v>
      </c>
      <c r="AB298" s="27" t="s">
        <v>78</v>
      </c>
      <c r="AC298" s="37" t="s">
        <v>78</v>
      </c>
      <c r="AD298" s="38" t="s">
        <v>78</v>
      </c>
      <c r="AE298" s="36">
        <v>45833</v>
      </c>
      <c r="AF298" s="19" t="s">
        <v>89</v>
      </c>
      <c r="AG298" s="19" t="s">
        <v>90</v>
      </c>
      <c r="AH298" s="19" t="s">
        <v>62</v>
      </c>
      <c r="AI298" s="19" t="s">
        <v>63</v>
      </c>
      <c r="AJ298" s="19" t="s">
        <v>2405</v>
      </c>
      <c r="AK298" s="19"/>
      <c r="AL298" s="19"/>
      <c r="AM298" s="19"/>
      <c r="AN298" s="19" t="s">
        <v>65</v>
      </c>
      <c r="AO298" s="23">
        <v>45830.461111111108</v>
      </c>
      <c r="AP298" s="26">
        <f t="shared" si="11"/>
        <v>126</v>
      </c>
    </row>
    <row r="299" spans="1:42" ht="25.5" hidden="1" customHeight="1">
      <c r="A299" s="19" t="s">
        <v>42</v>
      </c>
      <c r="B299" s="19" t="s">
        <v>470</v>
      </c>
      <c r="C299" s="19" t="s">
        <v>471</v>
      </c>
      <c r="D299" s="19" t="s">
        <v>45</v>
      </c>
      <c r="E299" s="19" t="s">
        <v>225</v>
      </c>
      <c r="F299" s="19" t="s">
        <v>2406</v>
      </c>
      <c r="G299" s="19" t="s">
        <v>48</v>
      </c>
      <c r="H299" s="19" t="s">
        <v>49</v>
      </c>
      <c r="I299" s="20">
        <v>45830.756249999999</v>
      </c>
      <c r="K299" s="19"/>
      <c r="L299" s="20">
        <v>45830.8125</v>
      </c>
      <c r="M299" s="19"/>
      <c r="N299" s="22">
        <f t="shared" si="10"/>
        <v>5.6250000001455192E-2</v>
      </c>
      <c r="O299" s="19" t="s">
        <v>50</v>
      </c>
      <c r="P299" s="19" t="s">
        <v>2407</v>
      </c>
      <c r="Q299" s="19" t="s">
        <v>2408</v>
      </c>
      <c r="R299" s="19"/>
      <c r="S299" s="19"/>
      <c r="U299" s="19"/>
      <c r="W299" s="19"/>
      <c r="X299" s="19" t="s">
        <v>258</v>
      </c>
      <c r="Y299" s="27" t="s">
        <v>54</v>
      </c>
      <c r="Z299" s="27" t="s">
        <v>414</v>
      </c>
      <c r="AA299" s="27" t="s">
        <v>2409</v>
      </c>
      <c r="AB299" s="27" t="s">
        <v>2410</v>
      </c>
      <c r="AC299" s="37">
        <v>45830.756249999999</v>
      </c>
      <c r="AD299" s="38">
        <v>45830.818749999999</v>
      </c>
      <c r="AE299" s="36">
        <v>45833</v>
      </c>
      <c r="AF299" s="19" t="s">
        <v>89</v>
      </c>
      <c r="AG299" s="19" t="s">
        <v>90</v>
      </c>
      <c r="AH299" s="19" t="s">
        <v>62</v>
      </c>
      <c r="AI299" s="19" t="s">
        <v>63</v>
      </c>
      <c r="AJ299" s="19" t="s">
        <v>2411</v>
      </c>
      <c r="AK299" s="19"/>
      <c r="AL299" s="19"/>
      <c r="AM299" s="19"/>
      <c r="AN299" s="19" t="s">
        <v>103</v>
      </c>
      <c r="AO299" s="23">
        <v>45830.809027777781</v>
      </c>
      <c r="AP299" s="26">
        <f t="shared" si="11"/>
        <v>81</v>
      </c>
    </row>
    <row r="300" spans="1:42" ht="25.5" customHeight="1">
      <c r="A300" s="19" t="s">
        <v>42</v>
      </c>
      <c r="B300" s="19" t="s">
        <v>2313</v>
      </c>
      <c r="C300" s="19" t="s">
        <v>336</v>
      </c>
      <c r="D300" s="19" t="s">
        <v>45</v>
      </c>
      <c r="E300" s="19" t="s">
        <v>46</v>
      </c>
      <c r="F300" s="19" t="s">
        <v>2412</v>
      </c>
      <c r="G300" s="19" t="s">
        <v>48</v>
      </c>
      <c r="H300" s="19" t="s">
        <v>152</v>
      </c>
      <c r="I300" s="20">
        <v>45831.835416666669</v>
      </c>
      <c r="J300" s="20">
        <v>45831.866666666669</v>
      </c>
      <c r="K300" s="19"/>
      <c r="L300" s="20">
        <v>45831.888888888891</v>
      </c>
      <c r="M300" s="19"/>
      <c r="N300" s="22">
        <f t="shared" si="10"/>
        <v>5.3472222221898846E-2</v>
      </c>
      <c r="O300" s="19" t="s">
        <v>50</v>
      </c>
      <c r="P300" s="19" t="s">
        <v>2413</v>
      </c>
      <c r="Q300" s="19" t="s">
        <v>2414</v>
      </c>
      <c r="R300" s="19" t="s">
        <v>2415</v>
      </c>
      <c r="S300" s="19" t="s">
        <v>2416</v>
      </c>
      <c r="T300" s="20">
        <v>45831.940960648149</v>
      </c>
      <c r="U300" s="19">
        <v>45831.640972222223</v>
      </c>
      <c r="V300" s="19" t="s">
        <v>157</v>
      </c>
      <c r="W300" s="19"/>
      <c r="X300" s="19" t="s">
        <v>314</v>
      </c>
      <c r="Y300" s="27" t="s">
        <v>54</v>
      </c>
      <c r="Z300" s="27" t="s">
        <v>2417</v>
      </c>
      <c r="AA300" s="27" t="s">
        <v>2418</v>
      </c>
      <c r="AB300" s="27" t="s">
        <v>2419</v>
      </c>
      <c r="AC300" s="37" t="s">
        <v>2420</v>
      </c>
      <c r="AD300" s="38" t="s">
        <v>2421</v>
      </c>
      <c r="AE300" s="36">
        <v>45833</v>
      </c>
      <c r="AF300" s="19" t="s">
        <v>99</v>
      </c>
      <c r="AG300" s="19" t="s">
        <v>100</v>
      </c>
      <c r="AH300" s="19" t="s">
        <v>62</v>
      </c>
      <c r="AI300" s="19" t="s">
        <v>63</v>
      </c>
      <c r="AJ300" s="19" t="s">
        <v>2422</v>
      </c>
      <c r="AK300" s="19" t="s">
        <v>2423</v>
      </c>
      <c r="AL300" s="19"/>
      <c r="AM300" s="19"/>
      <c r="AN300" s="19" t="s">
        <v>103</v>
      </c>
      <c r="AO300" s="23">
        <v>45831.835416666669</v>
      </c>
      <c r="AP300" s="26">
        <f t="shared" si="11"/>
        <v>77</v>
      </c>
    </row>
    <row r="301" spans="1:42" ht="25.5" customHeight="1">
      <c r="A301" s="19" t="s">
        <v>42</v>
      </c>
      <c r="B301" s="19" t="s">
        <v>2424</v>
      </c>
      <c r="C301" s="19" t="s">
        <v>2425</v>
      </c>
      <c r="D301" s="19" t="s">
        <v>45</v>
      </c>
      <c r="E301" s="19" t="s">
        <v>46</v>
      </c>
      <c r="F301" s="19" t="s">
        <v>2426</v>
      </c>
      <c r="G301" s="19" t="s">
        <v>48</v>
      </c>
      <c r="H301" s="19" t="s">
        <v>144</v>
      </c>
      <c r="I301" s="20">
        <v>45832.38958333333</v>
      </c>
      <c r="J301" s="20">
        <v>45832.416666666657</v>
      </c>
      <c r="K301" s="19">
        <v>45832.444444444453</v>
      </c>
      <c r="L301" s="20">
        <v>45832.502083333333</v>
      </c>
      <c r="M301" s="19"/>
      <c r="N301" s="22">
        <f t="shared" si="10"/>
        <v>0.11250000000291038</v>
      </c>
      <c r="O301" s="19" t="s">
        <v>50</v>
      </c>
      <c r="P301" s="19" t="s">
        <v>2427</v>
      </c>
      <c r="Q301" s="19" t="s">
        <v>2428</v>
      </c>
      <c r="R301" s="19" t="s">
        <v>2429</v>
      </c>
      <c r="S301" s="19" t="s">
        <v>2430</v>
      </c>
      <c r="T301" s="20">
        <v>45832.707638888889</v>
      </c>
      <c r="U301" s="19">
        <v>45839.675000000003</v>
      </c>
      <c r="V301" s="19" t="s">
        <v>157</v>
      </c>
      <c r="W301" s="19"/>
      <c r="X301" s="19" t="s">
        <v>269</v>
      </c>
      <c r="Y301" s="27" t="s">
        <v>54</v>
      </c>
      <c r="Z301" s="27" t="s">
        <v>2431</v>
      </c>
      <c r="AA301" s="27" t="s">
        <v>2432</v>
      </c>
      <c r="AB301" s="27" t="s">
        <v>2433</v>
      </c>
      <c r="AC301" s="37" t="s">
        <v>2434</v>
      </c>
      <c r="AD301" s="38" t="s">
        <v>2435</v>
      </c>
      <c r="AE301" s="36">
        <v>45833</v>
      </c>
      <c r="AF301" s="19" t="s">
        <v>60</v>
      </c>
      <c r="AG301" s="19" t="s">
        <v>2436</v>
      </c>
      <c r="AH301" s="19" t="s">
        <v>62</v>
      </c>
      <c r="AI301" s="19" t="s">
        <v>63</v>
      </c>
      <c r="AJ301" s="19" t="s">
        <v>2437</v>
      </c>
      <c r="AK301" s="19"/>
      <c r="AL301" s="19"/>
      <c r="AM301" s="19"/>
      <c r="AN301" s="19" t="s">
        <v>128</v>
      </c>
      <c r="AO301" s="23">
        <v>45832.408333333333</v>
      </c>
      <c r="AP301" s="26">
        <f t="shared" si="11"/>
        <v>162</v>
      </c>
    </row>
    <row r="302" spans="1:42" ht="25.5" hidden="1" customHeight="1">
      <c r="A302" s="19" t="s">
        <v>42</v>
      </c>
      <c r="B302" s="19" t="s">
        <v>43</v>
      </c>
      <c r="C302" s="19" t="s">
        <v>44</v>
      </c>
      <c r="D302" s="19" t="s">
        <v>45</v>
      </c>
      <c r="E302" s="19" t="s">
        <v>46</v>
      </c>
      <c r="F302" s="19" t="s">
        <v>2438</v>
      </c>
      <c r="G302" s="19" t="s">
        <v>48</v>
      </c>
      <c r="H302" s="19" t="s">
        <v>49</v>
      </c>
      <c r="I302" s="20">
        <v>45832.5625</v>
      </c>
      <c r="K302" s="19"/>
      <c r="L302" s="20">
        <v>45832.584722222222</v>
      </c>
      <c r="M302" s="19"/>
      <c r="N302" s="22">
        <f t="shared" si="10"/>
        <v>2.2222222221898846E-2</v>
      </c>
      <c r="O302" s="19" t="s">
        <v>50</v>
      </c>
      <c r="P302" s="19" t="s">
        <v>2439</v>
      </c>
      <c r="Q302" s="19" t="s">
        <v>2440</v>
      </c>
      <c r="R302" s="19"/>
      <c r="S302" s="19"/>
      <c r="U302" s="19"/>
      <c r="W302" s="19"/>
      <c r="X302" s="19" t="s">
        <v>620</v>
      </c>
      <c r="Y302" s="27" t="s">
        <v>54</v>
      </c>
      <c r="Z302" s="27" t="s">
        <v>123</v>
      </c>
      <c r="AA302" s="27" t="s">
        <v>2441</v>
      </c>
      <c r="AB302" s="27" t="s">
        <v>2442</v>
      </c>
      <c r="AC302" s="37">
        <v>45832.552777777782</v>
      </c>
      <c r="AD302" s="38">
        <v>45832.59097222222</v>
      </c>
      <c r="AE302" s="36">
        <v>45833</v>
      </c>
      <c r="AF302" s="19" t="s">
        <v>89</v>
      </c>
      <c r="AG302" s="19" t="s">
        <v>90</v>
      </c>
      <c r="AH302" s="19" t="s">
        <v>62</v>
      </c>
      <c r="AI302" s="19" t="s">
        <v>63</v>
      </c>
      <c r="AJ302" s="19" t="s">
        <v>2443</v>
      </c>
      <c r="AK302" s="19"/>
      <c r="AL302" s="19"/>
      <c r="AM302" s="19"/>
      <c r="AN302" s="19" t="s">
        <v>65</v>
      </c>
      <c r="AO302" s="23">
        <v>45832.5625</v>
      </c>
      <c r="AP302" s="26">
        <f t="shared" si="11"/>
        <v>32</v>
      </c>
    </row>
    <row r="303" spans="1:42" ht="25.5" hidden="1" customHeight="1">
      <c r="A303" s="19" t="s">
        <v>42</v>
      </c>
      <c r="B303" s="19" t="s">
        <v>2444</v>
      </c>
      <c r="C303" s="19" t="s">
        <v>2445</v>
      </c>
      <c r="D303" s="19" t="s">
        <v>45</v>
      </c>
      <c r="E303" s="19" t="s">
        <v>46</v>
      </c>
      <c r="F303" s="19" t="s">
        <v>2446</v>
      </c>
      <c r="G303" s="19" t="s">
        <v>48</v>
      </c>
      <c r="H303" s="19" t="s">
        <v>49</v>
      </c>
      <c r="I303" s="20">
        <v>45832.795138888891</v>
      </c>
      <c r="K303" s="19"/>
      <c r="L303" s="20">
        <v>45832.806250000001</v>
      </c>
      <c r="M303" s="19"/>
      <c r="N303" s="22">
        <f t="shared" si="10"/>
        <v>1.1111111110949423E-2</v>
      </c>
      <c r="O303" s="19" t="s">
        <v>50</v>
      </c>
      <c r="P303" s="19" t="s">
        <v>2447</v>
      </c>
      <c r="Q303" s="19" t="s">
        <v>2448</v>
      </c>
      <c r="R303" s="19"/>
      <c r="S303" s="19"/>
      <c r="U303" s="19"/>
      <c r="W303" s="19"/>
      <c r="X303" s="19" t="s">
        <v>537</v>
      </c>
      <c r="Y303" s="27" t="s">
        <v>133</v>
      </c>
      <c r="Z303" s="27" t="s">
        <v>2449</v>
      </c>
      <c r="AA303" s="27" t="s">
        <v>2450</v>
      </c>
      <c r="AB303" s="27" t="s">
        <v>2451</v>
      </c>
      <c r="AC303" s="37" t="s">
        <v>2452</v>
      </c>
      <c r="AD303" s="38" t="s">
        <v>2453</v>
      </c>
      <c r="AE303" s="36">
        <v>45833</v>
      </c>
      <c r="AF303" s="19" t="s">
        <v>89</v>
      </c>
      <c r="AG303" s="19" t="s">
        <v>90</v>
      </c>
      <c r="AH303" s="19" t="s">
        <v>62</v>
      </c>
      <c r="AI303" s="19" t="s">
        <v>63</v>
      </c>
      <c r="AJ303" s="19" t="s">
        <v>2454</v>
      </c>
      <c r="AK303" s="19"/>
      <c r="AL303" s="19"/>
      <c r="AM303" s="19"/>
      <c r="AN303" s="19" t="s">
        <v>128</v>
      </c>
      <c r="AO303" s="23">
        <v>45832.795138888891</v>
      </c>
      <c r="AP303" s="26">
        <f t="shared" si="11"/>
        <v>16</v>
      </c>
    </row>
    <row r="304" spans="1:42" ht="25.5" hidden="1" customHeight="1">
      <c r="A304" s="19" t="s">
        <v>42</v>
      </c>
      <c r="B304" s="19" t="s">
        <v>1584</v>
      </c>
      <c r="C304" s="19" t="s">
        <v>2455</v>
      </c>
      <c r="D304" s="19" t="s">
        <v>45</v>
      </c>
      <c r="E304" s="19" t="s">
        <v>967</v>
      </c>
      <c r="F304" s="19" t="s">
        <v>2456</v>
      </c>
      <c r="G304" s="19" t="s">
        <v>48</v>
      </c>
      <c r="H304" s="19" t="s">
        <v>49</v>
      </c>
      <c r="I304" s="20">
        <v>45832.867361111108</v>
      </c>
      <c r="K304" s="19"/>
      <c r="L304" s="20">
        <v>45832.95416666667</v>
      </c>
      <c r="M304" s="19"/>
      <c r="N304" s="22">
        <f t="shared" si="10"/>
        <v>8.6805555562023073E-2</v>
      </c>
      <c r="O304" s="19" t="s">
        <v>50</v>
      </c>
      <c r="P304" s="19" t="s">
        <v>2457</v>
      </c>
      <c r="Q304" s="19" t="s">
        <v>2458</v>
      </c>
      <c r="R304" s="19"/>
      <c r="S304" s="19"/>
      <c r="U304" s="19"/>
      <c r="W304" s="19"/>
      <c r="X304" s="19" t="s">
        <v>258</v>
      </c>
      <c r="Y304" s="27" t="s">
        <v>133</v>
      </c>
      <c r="Z304" s="27" t="s">
        <v>2459</v>
      </c>
      <c r="AA304" s="27" t="s">
        <v>2460</v>
      </c>
      <c r="AB304" s="27" t="s">
        <v>2461</v>
      </c>
      <c r="AC304" s="37" t="s">
        <v>2462</v>
      </c>
      <c r="AD304" s="38" t="s">
        <v>2463</v>
      </c>
      <c r="AE304" s="36">
        <v>45833</v>
      </c>
      <c r="AF304" s="19" t="s">
        <v>89</v>
      </c>
      <c r="AG304" s="19" t="s">
        <v>90</v>
      </c>
      <c r="AH304" s="19" t="s">
        <v>62</v>
      </c>
      <c r="AI304" s="19" t="s">
        <v>63</v>
      </c>
      <c r="AJ304" s="19" t="s">
        <v>2464</v>
      </c>
      <c r="AK304" s="19"/>
      <c r="AL304" s="19"/>
      <c r="AM304" s="19"/>
      <c r="AN304" s="19" t="s">
        <v>65</v>
      </c>
      <c r="AO304" s="23">
        <v>45832.867361111108</v>
      </c>
      <c r="AP304" s="26">
        <f t="shared" si="11"/>
        <v>125</v>
      </c>
    </row>
    <row r="305" spans="1:42" ht="25.5" hidden="1" customHeight="1">
      <c r="A305" s="19" t="s">
        <v>42</v>
      </c>
      <c r="B305" s="19" t="s">
        <v>2465</v>
      </c>
      <c r="C305" s="19" t="s">
        <v>2466</v>
      </c>
      <c r="D305" s="19" t="s">
        <v>45</v>
      </c>
      <c r="E305" s="19" t="s">
        <v>46</v>
      </c>
      <c r="F305" s="19" t="s">
        <v>2467</v>
      </c>
      <c r="G305" s="19" t="s">
        <v>48</v>
      </c>
      <c r="H305" s="19" t="s">
        <v>49</v>
      </c>
      <c r="I305" s="20">
        <v>45832.911805555559</v>
      </c>
      <c r="K305" s="19"/>
      <c r="L305" s="20">
        <v>45832.915277777778</v>
      </c>
      <c r="M305" s="19"/>
      <c r="N305" s="22">
        <f t="shared" si="10"/>
        <v>3.4722222189884633E-3</v>
      </c>
      <c r="O305" s="19" t="s">
        <v>63</v>
      </c>
      <c r="P305" s="19" t="s">
        <v>2468</v>
      </c>
      <c r="Q305" s="19" t="s">
        <v>2469</v>
      </c>
      <c r="R305" s="19"/>
      <c r="S305" s="19"/>
      <c r="U305" s="19"/>
      <c r="W305" s="19"/>
      <c r="X305" s="19" t="s">
        <v>314</v>
      </c>
      <c r="Y305" s="27" t="s">
        <v>147</v>
      </c>
      <c r="Z305" s="27" t="s">
        <v>78</v>
      </c>
      <c r="AA305" s="27" t="s">
        <v>78</v>
      </c>
      <c r="AB305" s="27" t="s">
        <v>78</v>
      </c>
      <c r="AC305" s="37" t="s">
        <v>78</v>
      </c>
      <c r="AD305" s="38" t="s">
        <v>78</v>
      </c>
      <c r="AE305" s="36">
        <v>45833</v>
      </c>
      <c r="AF305" s="19" t="s">
        <v>89</v>
      </c>
      <c r="AG305" s="19" t="s">
        <v>90</v>
      </c>
      <c r="AH305" s="19" t="s">
        <v>62</v>
      </c>
      <c r="AI305" s="19" t="s">
        <v>63</v>
      </c>
      <c r="AJ305" s="19" t="s">
        <v>2468</v>
      </c>
      <c r="AK305" s="19"/>
      <c r="AL305" s="19"/>
      <c r="AM305" s="19"/>
      <c r="AN305" s="19" t="s">
        <v>103</v>
      </c>
      <c r="AO305" s="23">
        <v>45832.911805555559</v>
      </c>
      <c r="AP305" s="26">
        <f t="shared" si="11"/>
        <v>5</v>
      </c>
    </row>
    <row r="306" spans="1:42" ht="25.5" hidden="1" customHeight="1">
      <c r="A306" s="19" t="s">
        <v>42</v>
      </c>
      <c r="B306" s="19" t="s">
        <v>1584</v>
      </c>
      <c r="C306" s="19" t="s">
        <v>2470</v>
      </c>
      <c r="D306" s="19" t="s">
        <v>45</v>
      </c>
      <c r="E306" s="19" t="s">
        <v>46</v>
      </c>
      <c r="F306" s="19" t="s">
        <v>2471</v>
      </c>
      <c r="G306" s="19" t="s">
        <v>48</v>
      </c>
      <c r="H306" s="19" t="s">
        <v>49</v>
      </c>
      <c r="I306" s="20">
        <v>45833.247916666667</v>
      </c>
      <c r="K306" s="19"/>
      <c r="L306" s="20">
        <v>45833.285416666673</v>
      </c>
      <c r="M306" s="19"/>
      <c r="N306" s="22">
        <f t="shared" si="10"/>
        <v>3.7500000005820766E-2</v>
      </c>
      <c r="O306" s="19" t="s">
        <v>50</v>
      </c>
      <c r="P306" s="19" t="s">
        <v>2472</v>
      </c>
      <c r="Q306" s="19" t="s">
        <v>2473</v>
      </c>
      <c r="R306" s="19"/>
      <c r="S306" s="19"/>
      <c r="U306" s="19"/>
      <c r="W306" s="19"/>
      <c r="X306" s="19" t="s">
        <v>1589</v>
      </c>
      <c r="Y306" s="27" t="s">
        <v>54</v>
      </c>
      <c r="Z306" s="27" t="s">
        <v>2474</v>
      </c>
      <c r="AA306" s="27" t="s">
        <v>2475</v>
      </c>
      <c r="AB306" s="27" t="s">
        <v>2476</v>
      </c>
      <c r="AC306" s="37" t="s">
        <v>2477</v>
      </c>
      <c r="AD306" s="38" t="s">
        <v>2478</v>
      </c>
      <c r="AE306" s="36">
        <v>45833</v>
      </c>
      <c r="AF306" s="19" t="s">
        <v>89</v>
      </c>
      <c r="AG306" s="19" t="s">
        <v>90</v>
      </c>
      <c r="AH306" s="19" t="s">
        <v>62</v>
      </c>
      <c r="AI306" s="19" t="s">
        <v>63</v>
      </c>
      <c r="AJ306" s="19" t="s">
        <v>2479</v>
      </c>
      <c r="AK306" s="19"/>
      <c r="AL306" s="19"/>
      <c r="AM306" s="19"/>
      <c r="AN306" s="19" t="s">
        <v>65</v>
      </c>
      <c r="AO306" s="23">
        <v>45833.271527777782</v>
      </c>
      <c r="AP306" s="26">
        <f t="shared" si="11"/>
        <v>54</v>
      </c>
    </row>
    <row r="307" spans="1:42" ht="25.5" hidden="1" customHeight="1">
      <c r="A307" s="19" t="s">
        <v>92</v>
      </c>
      <c r="B307" s="19" t="s">
        <v>1917</v>
      </c>
      <c r="C307" s="19" t="s">
        <v>2480</v>
      </c>
      <c r="D307" s="19" t="s">
        <v>45</v>
      </c>
      <c r="E307" s="19" t="s">
        <v>46</v>
      </c>
      <c r="F307" s="19" t="s">
        <v>2481</v>
      </c>
      <c r="G307" s="19" t="s">
        <v>48</v>
      </c>
      <c r="H307" s="19" t="s">
        <v>49</v>
      </c>
      <c r="I307" s="20">
        <v>45834.255555555559</v>
      </c>
      <c r="K307" s="19"/>
      <c r="L307" s="20">
        <v>45834.361111111109</v>
      </c>
      <c r="M307" s="19"/>
      <c r="N307" s="22">
        <f t="shared" si="10"/>
        <v>0.10555555555038154</v>
      </c>
      <c r="O307" s="19" t="s">
        <v>50</v>
      </c>
      <c r="P307" s="19" t="s">
        <v>2482</v>
      </c>
      <c r="Q307" s="19" t="s">
        <v>2483</v>
      </c>
      <c r="R307" s="19"/>
      <c r="S307" s="19"/>
      <c r="U307" s="19"/>
      <c r="W307" s="19"/>
      <c r="X307" s="19" t="s">
        <v>109</v>
      </c>
      <c r="Y307" s="27" t="s">
        <v>147</v>
      </c>
      <c r="Z307" s="27" t="s">
        <v>78</v>
      </c>
      <c r="AA307" s="27" t="s">
        <v>78</v>
      </c>
      <c r="AB307" s="27" t="s">
        <v>78</v>
      </c>
      <c r="AC307" s="37" t="s">
        <v>78</v>
      </c>
      <c r="AD307" s="38" t="s">
        <v>78</v>
      </c>
      <c r="AE307" s="36">
        <v>45833</v>
      </c>
      <c r="AF307" s="19" t="s">
        <v>78</v>
      </c>
      <c r="AG307" s="19" t="s">
        <v>78</v>
      </c>
      <c r="AH307" s="19" t="s">
        <v>164</v>
      </c>
      <c r="AI307" s="19" t="s">
        <v>63</v>
      </c>
      <c r="AJ307" s="19" t="s">
        <v>2484</v>
      </c>
      <c r="AK307" s="19"/>
      <c r="AL307" s="19"/>
      <c r="AM307" s="19"/>
      <c r="AN307" s="19" t="s">
        <v>103</v>
      </c>
      <c r="AO307" s="23">
        <v>45834.255555555559</v>
      </c>
      <c r="AP307" s="26">
        <f t="shared" si="11"/>
        <v>152</v>
      </c>
    </row>
    <row r="308" spans="1:42" ht="25.5" hidden="1" customHeight="1">
      <c r="A308" s="19" t="s">
        <v>285</v>
      </c>
      <c r="B308" s="19" t="s">
        <v>186</v>
      </c>
      <c r="C308" s="19" t="s">
        <v>577</v>
      </c>
      <c r="D308" s="19" t="s">
        <v>45</v>
      </c>
      <c r="E308" s="19" t="s">
        <v>46</v>
      </c>
      <c r="F308" s="19" t="s">
        <v>2485</v>
      </c>
      <c r="G308" s="19" t="s">
        <v>48</v>
      </c>
      <c r="H308" s="19" t="s">
        <v>49</v>
      </c>
      <c r="I308" s="20">
        <v>45834.382638888892</v>
      </c>
      <c r="K308" s="19"/>
      <c r="L308" s="20">
        <v>45834.392361111109</v>
      </c>
      <c r="M308" s="19"/>
      <c r="N308" s="22">
        <f t="shared" si="10"/>
        <v>9.7222222175332718E-3</v>
      </c>
      <c r="O308" s="19" t="s">
        <v>63</v>
      </c>
      <c r="P308" s="19" t="s">
        <v>2486</v>
      </c>
      <c r="Q308" s="19" t="s">
        <v>2487</v>
      </c>
      <c r="R308" s="19"/>
      <c r="S308" s="19"/>
      <c r="U308" s="19"/>
      <c r="W308" s="19"/>
      <c r="X308" s="19" t="s">
        <v>191</v>
      </c>
      <c r="Y308" s="27" t="s">
        <v>147</v>
      </c>
      <c r="Z308" s="27" t="s">
        <v>78</v>
      </c>
      <c r="AA308" s="27" t="s">
        <v>78</v>
      </c>
      <c r="AB308" s="27" t="s">
        <v>78</v>
      </c>
      <c r="AC308" s="37" t="s">
        <v>78</v>
      </c>
      <c r="AD308" s="38" t="s">
        <v>78</v>
      </c>
      <c r="AE308" s="36">
        <v>45833</v>
      </c>
      <c r="AF308" s="19" t="s">
        <v>89</v>
      </c>
      <c r="AG308" s="19" t="s">
        <v>90</v>
      </c>
      <c r="AH308" s="19" t="s">
        <v>62</v>
      </c>
      <c r="AI308" s="19" t="s">
        <v>63</v>
      </c>
      <c r="AJ308" s="19" t="s">
        <v>2488</v>
      </c>
      <c r="AK308" s="19"/>
      <c r="AL308" s="19"/>
      <c r="AM308" s="19"/>
      <c r="AN308" s="19" t="s">
        <v>65</v>
      </c>
      <c r="AO308" s="23">
        <v>45834.382638888892</v>
      </c>
      <c r="AP308" s="26">
        <f t="shared" si="11"/>
        <v>14</v>
      </c>
    </row>
    <row r="309" spans="1:42" ht="25.5" hidden="1" customHeight="1">
      <c r="A309" s="19" t="s">
        <v>42</v>
      </c>
      <c r="B309" s="19" t="s">
        <v>2100</v>
      </c>
      <c r="C309" s="19" t="s">
        <v>2489</v>
      </c>
      <c r="D309" s="19" t="s">
        <v>45</v>
      </c>
      <c r="E309" s="19" t="s">
        <v>46</v>
      </c>
      <c r="F309" s="19" t="s">
        <v>2490</v>
      </c>
      <c r="G309" s="19" t="s">
        <v>48</v>
      </c>
      <c r="H309" s="19" t="s">
        <v>49</v>
      </c>
      <c r="I309" s="20">
        <v>45834.493750000001</v>
      </c>
      <c r="K309" s="19"/>
      <c r="L309" s="20">
        <v>45834.520833333343</v>
      </c>
      <c r="M309" s="19"/>
      <c r="N309" s="22">
        <f t="shared" si="10"/>
        <v>2.7083333341579419E-2</v>
      </c>
      <c r="O309" s="19" t="s">
        <v>50</v>
      </c>
      <c r="P309" s="19" t="s">
        <v>2491</v>
      </c>
      <c r="Q309" s="19" t="s">
        <v>2492</v>
      </c>
      <c r="R309" s="19"/>
      <c r="S309" s="19"/>
      <c r="U309" s="19"/>
      <c r="W309" s="19"/>
      <c r="X309" s="19" t="s">
        <v>314</v>
      </c>
      <c r="Y309" s="27" t="s">
        <v>147</v>
      </c>
      <c r="Z309" s="27" t="s">
        <v>78</v>
      </c>
      <c r="AA309" s="27" t="s">
        <v>78</v>
      </c>
      <c r="AB309" s="27" t="s">
        <v>78</v>
      </c>
      <c r="AC309" s="37" t="s">
        <v>78</v>
      </c>
      <c r="AD309" s="38" t="s">
        <v>78</v>
      </c>
      <c r="AE309" s="36">
        <v>45833</v>
      </c>
      <c r="AF309" s="19" t="s">
        <v>89</v>
      </c>
      <c r="AG309" s="19" t="s">
        <v>90</v>
      </c>
      <c r="AH309" s="19" t="s">
        <v>62</v>
      </c>
      <c r="AI309" s="19" t="s">
        <v>63</v>
      </c>
      <c r="AJ309" s="19" t="s">
        <v>2493</v>
      </c>
      <c r="AK309" s="19"/>
      <c r="AL309" s="19"/>
      <c r="AM309" s="19"/>
      <c r="AN309" s="19" t="s">
        <v>103</v>
      </c>
      <c r="AO309" s="23">
        <v>45834.493750000001</v>
      </c>
      <c r="AP309" s="26">
        <f t="shared" si="11"/>
        <v>39</v>
      </c>
    </row>
    <row r="310" spans="1:42" ht="25.5" hidden="1" customHeight="1">
      <c r="A310" s="19" t="s">
        <v>42</v>
      </c>
      <c r="B310" s="19" t="s">
        <v>410</v>
      </c>
      <c r="C310" s="19" t="s">
        <v>105</v>
      </c>
      <c r="D310" s="19" t="s">
        <v>45</v>
      </c>
      <c r="E310" s="19" t="s">
        <v>46</v>
      </c>
      <c r="F310" s="19" t="s">
        <v>2494</v>
      </c>
      <c r="G310" s="19" t="s">
        <v>48</v>
      </c>
      <c r="H310" s="19" t="s">
        <v>49</v>
      </c>
      <c r="I310" s="20">
        <v>45834.666666666657</v>
      </c>
      <c r="K310" s="19"/>
      <c r="L310" s="20">
        <v>45834.694444444453</v>
      </c>
      <c r="M310" s="19"/>
      <c r="N310" s="22">
        <f t="shared" si="10"/>
        <v>2.7777777795563452E-2</v>
      </c>
      <c r="O310" s="19" t="s">
        <v>50</v>
      </c>
      <c r="P310" s="19" t="s">
        <v>2495</v>
      </c>
      <c r="Q310" s="19" t="s">
        <v>2496</v>
      </c>
      <c r="R310" s="19"/>
      <c r="S310" s="19"/>
      <c r="U310" s="19"/>
      <c r="W310" s="19"/>
      <c r="X310" s="19" t="s">
        <v>109</v>
      </c>
      <c r="Y310" s="27" t="s">
        <v>54</v>
      </c>
      <c r="Z310" s="27" t="s">
        <v>209</v>
      </c>
      <c r="AA310" s="27" t="s">
        <v>2497</v>
      </c>
      <c r="AB310" s="27" t="s">
        <v>2498</v>
      </c>
      <c r="AC310" s="37" t="s">
        <v>2499</v>
      </c>
      <c r="AD310" s="38" t="s">
        <v>2500</v>
      </c>
      <c r="AE310" s="36">
        <v>45833</v>
      </c>
      <c r="AF310" s="19" t="s">
        <v>99</v>
      </c>
      <c r="AG310" s="19" t="s">
        <v>100</v>
      </c>
      <c r="AH310" s="19" t="s">
        <v>62</v>
      </c>
      <c r="AI310" s="19" t="s">
        <v>63</v>
      </c>
      <c r="AJ310" s="19" t="s">
        <v>2501</v>
      </c>
      <c r="AK310" s="19"/>
      <c r="AL310" s="19"/>
      <c r="AM310" s="19"/>
      <c r="AN310" s="19" t="s">
        <v>103</v>
      </c>
      <c r="AO310" s="23">
        <v>45834.666666666657</v>
      </c>
      <c r="AP310" s="26">
        <f t="shared" si="11"/>
        <v>40</v>
      </c>
    </row>
    <row r="311" spans="1:42" ht="25.5" hidden="1" customHeight="1">
      <c r="A311" s="19" t="s">
        <v>42</v>
      </c>
      <c r="B311" s="19" t="s">
        <v>93</v>
      </c>
      <c r="C311" s="19" t="s">
        <v>2502</v>
      </c>
      <c r="D311" s="19" t="s">
        <v>45</v>
      </c>
      <c r="E311" s="19" t="s">
        <v>46</v>
      </c>
      <c r="F311" s="19" t="s">
        <v>2503</v>
      </c>
      <c r="G311" s="19" t="s">
        <v>48</v>
      </c>
      <c r="H311" s="19" t="s">
        <v>49</v>
      </c>
      <c r="I311" s="20">
        <v>45834.840277777781</v>
      </c>
      <c r="K311" s="19"/>
      <c r="L311" s="20">
        <v>45834.849305555559</v>
      </c>
      <c r="M311" s="19"/>
      <c r="N311" s="22">
        <f t="shared" si="10"/>
        <v>9.0277777781011537E-3</v>
      </c>
      <c r="O311" s="19" t="s">
        <v>50</v>
      </c>
      <c r="P311" s="19" t="s">
        <v>2504</v>
      </c>
      <c r="Q311" s="19" t="s">
        <v>2505</v>
      </c>
      <c r="R311" s="19"/>
      <c r="S311" s="19"/>
      <c r="U311" s="19"/>
      <c r="W311" s="19"/>
      <c r="X311" s="19" t="s">
        <v>314</v>
      </c>
      <c r="Y311" s="27" t="s">
        <v>133</v>
      </c>
      <c r="Z311" s="27" t="s">
        <v>2506</v>
      </c>
      <c r="AA311" s="27" t="s">
        <v>2507</v>
      </c>
      <c r="AB311" s="27" t="s">
        <v>2508</v>
      </c>
      <c r="AC311" s="37" t="s">
        <v>2509</v>
      </c>
      <c r="AD311" s="38" t="s">
        <v>2510</v>
      </c>
      <c r="AE311" s="36">
        <v>45833</v>
      </c>
      <c r="AF311" s="19" t="s">
        <v>89</v>
      </c>
      <c r="AG311" s="19" t="s">
        <v>90</v>
      </c>
      <c r="AH311" s="19" t="s">
        <v>62</v>
      </c>
      <c r="AI311" s="19" t="s">
        <v>63</v>
      </c>
      <c r="AJ311" s="19" t="s">
        <v>2511</v>
      </c>
      <c r="AK311" s="19"/>
      <c r="AL311" s="19"/>
      <c r="AM311" s="19"/>
      <c r="AN311" s="19" t="s">
        <v>128</v>
      </c>
      <c r="AO311" s="23">
        <v>45834.840277777781</v>
      </c>
      <c r="AP311" s="26">
        <f t="shared" si="11"/>
        <v>13</v>
      </c>
    </row>
    <row r="312" spans="1:42" ht="25.5" hidden="1" customHeight="1">
      <c r="A312" s="19" t="s">
        <v>285</v>
      </c>
      <c r="B312" s="19" t="s">
        <v>2512</v>
      </c>
      <c r="C312" s="19" t="s">
        <v>2513</v>
      </c>
      <c r="D312" s="19" t="s">
        <v>45</v>
      </c>
      <c r="E312" s="19" t="s">
        <v>46</v>
      </c>
      <c r="F312" s="19" t="s">
        <v>2514</v>
      </c>
      <c r="G312" s="19" t="s">
        <v>48</v>
      </c>
      <c r="H312" s="19" t="s">
        <v>49</v>
      </c>
      <c r="I312" s="20">
        <v>45834.956250000003</v>
      </c>
      <c r="K312" s="19"/>
      <c r="L312" s="20">
        <v>45834.995138888888</v>
      </c>
      <c r="M312" s="19"/>
      <c r="N312" s="22">
        <f t="shared" si="10"/>
        <v>3.8888888884685002E-2</v>
      </c>
      <c r="O312" s="19" t="s">
        <v>50</v>
      </c>
      <c r="P312" s="19" t="s">
        <v>2515</v>
      </c>
      <c r="Q312" s="19" t="s">
        <v>2516</v>
      </c>
      <c r="R312" s="19"/>
      <c r="S312" s="19"/>
      <c r="U312" s="19"/>
      <c r="W312" s="19"/>
      <c r="X312" s="19" t="s">
        <v>2517</v>
      </c>
      <c r="Y312" s="27" t="s">
        <v>133</v>
      </c>
      <c r="Z312" s="27" t="s">
        <v>2518</v>
      </c>
      <c r="AA312" s="27" t="s">
        <v>2519</v>
      </c>
      <c r="AB312" s="27" t="s">
        <v>2520</v>
      </c>
      <c r="AC312" s="37" t="s">
        <v>2521</v>
      </c>
      <c r="AD312" s="38" t="s">
        <v>2522</v>
      </c>
      <c r="AE312" s="36">
        <v>45833</v>
      </c>
      <c r="AF312" s="19" t="s">
        <v>89</v>
      </c>
      <c r="AG312" s="19" t="s">
        <v>90</v>
      </c>
      <c r="AH312" s="19" t="s">
        <v>62</v>
      </c>
      <c r="AI312" s="19" t="s">
        <v>63</v>
      </c>
      <c r="AJ312" s="19" t="s">
        <v>2523</v>
      </c>
      <c r="AK312" s="19"/>
      <c r="AL312" s="19"/>
      <c r="AM312" s="19"/>
      <c r="AN312" s="19" t="s">
        <v>65</v>
      </c>
      <c r="AO312" s="23">
        <v>45834.956250000003</v>
      </c>
      <c r="AP312" s="26">
        <f t="shared" si="11"/>
        <v>56</v>
      </c>
    </row>
    <row r="313" spans="1:42" ht="25.5" hidden="1" customHeight="1">
      <c r="A313" s="19" t="s">
        <v>42</v>
      </c>
      <c r="C313" s="19" t="s">
        <v>577</v>
      </c>
      <c r="D313" s="19" t="s">
        <v>45</v>
      </c>
      <c r="E313" s="19" t="s">
        <v>46</v>
      </c>
      <c r="F313" s="19" t="s">
        <v>2524</v>
      </c>
      <c r="G313" s="19" t="s">
        <v>48</v>
      </c>
      <c r="H313" s="19" t="s">
        <v>49</v>
      </c>
      <c r="I313" s="20">
        <v>45834.986805555563</v>
      </c>
      <c r="K313" s="19"/>
      <c r="L313" s="20">
        <v>45835.030555555553</v>
      </c>
      <c r="M313" s="19"/>
      <c r="N313" s="22">
        <f t="shared" si="10"/>
        <v>4.3749999989813659E-2</v>
      </c>
      <c r="O313" s="19" t="s">
        <v>63</v>
      </c>
      <c r="P313" s="19" t="s">
        <v>2525</v>
      </c>
      <c r="Q313" s="19" t="s">
        <v>2526</v>
      </c>
      <c r="R313" s="19"/>
      <c r="S313" s="19"/>
      <c r="U313" s="19"/>
      <c r="W313" s="19"/>
      <c r="X313" s="19" t="s">
        <v>191</v>
      </c>
      <c r="Y313" s="27" t="s">
        <v>54</v>
      </c>
      <c r="Z313" s="27" t="s">
        <v>123</v>
      </c>
      <c r="AA313" s="27" t="s">
        <v>2527</v>
      </c>
      <c r="AB313" s="27" t="s">
        <v>2528</v>
      </c>
      <c r="AC313" s="37" t="s">
        <v>2529</v>
      </c>
      <c r="AD313" s="38">
        <v>45835.138958333337</v>
      </c>
      <c r="AE313" s="36">
        <v>45833</v>
      </c>
      <c r="AF313" s="19" t="s">
        <v>99</v>
      </c>
      <c r="AG313" s="19" t="s">
        <v>100</v>
      </c>
      <c r="AH313" s="19" t="s">
        <v>62</v>
      </c>
      <c r="AI313" s="19" t="s">
        <v>63</v>
      </c>
      <c r="AJ313" s="19" t="s">
        <v>2530</v>
      </c>
      <c r="AK313" s="19" t="s">
        <v>2531</v>
      </c>
      <c r="AL313" s="19"/>
      <c r="AM313" s="19"/>
      <c r="AN313" s="19" t="s">
        <v>65</v>
      </c>
      <c r="AO313" s="23">
        <v>45834.995138888888</v>
      </c>
      <c r="AP313" s="26">
        <f t="shared" si="11"/>
        <v>63</v>
      </c>
    </row>
    <row r="314" spans="1:42" ht="25.5" hidden="1" customHeight="1">
      <c r="A314" s="19" t="s">
        <v>285</v>
      </c>
      <c r="B314" s="19" t="s">
        <v>186</v>
      </c>
      <c r="C314" s="19" t="s">
        <v>2532</v>
      </c>
      <c r="D314" s="19" t="s">
        <v>45</v>
      </c>
      <c r="E314" s="19" t="s">
        <v>46</v>
      </c>
      <c r="F314" s="19" t="s">
        <v>2533</v>
      </c>
      <c r="G314" s="19" t="s">
        <v>48</v>
      </c>
      <c r="H314" s="19" t="s">
        <v>49</v>
      </c>
      <c r="I314" s="20">
        <v>45837.205555555563</v>
      </c>
      <c r="K314" s="19"/>
      <c r="L314" s="20">
        <v>45837.333333333343</v>
      </c>
      <c r="M314" s="19"/>
      <c r="N314" s="22">
        <f t="shared" si="10"/>
        <v>0.12777777777955635</v>
      </c>
      <c r="O314" s="19" t="s">
        <v>50</v>
      </c>
      <c r="P314" s="19" t="s">
        <v>2534</v>
      </c>
      <c r="Q314" s="19" t="s">
        <v>2535</v>
      </c>
      <c r="R314" s="19"/>
      <c r="S314" s="19"/>
      <c r="U314" s="19"/>
      <c r="W314" s="19"/>
      <c r="X314" s="19" t="s">
        <v>2536</v>
      </c>
      <c r="Y314" s="27" t="s">
        <v>147</v>
      </c>
      <c r="Z314" s="27" t="s">
        <v>78</v>
      </c>
      <c r="AA314" s="27" t="s">
        <v>78</v>
      </c>
      <c r="AB314" s="27" t="s">
        <v>78</v>
      </c>
      <c r="AC314" s="37" t="s">
        <v>78</v>
      </c>
      <c r="AD314" s="38" t="s">
        <v>78</v>
      </c>
      <c r="AE314" s="36">
        <v>45833</v>
      </c>
      <c r="AF314" s="19" t="s">
        <v>293</v>
      </c>
      <c r="AG314" s="19" t="s">
        <v>294</v>
      </c>
      <c r="AH314" s="19" t="s">
        <v>62</v>
      </c>
      <c r="AI314" s="19" t="s">
        <v>63</v>
      </c>
      <c r="AJ314" s="19" t="s">
        <v>2537</v>
      </c>
      <c r="AK314" s="19"/>
      <c r="AL314" s="19"/>
      <c r="AM314" s="19"/>
      <c r="AN314" s="19" t="s">
        <v>65</v>
      </c>
      <c r="AO314" s="23">
        <v>45837.205555555563</v>
      </c>
      <c r="AP314" s="26">
        <f t="shared" si="11"/>
        <v>184</v>
      </c>
    </row>
    <row r="315" spans="1:42" ht="25.5" hidden="1" customHeight="1">
      <c r="A315" s="19" t="s">
        <v>42</v>
      </c>
      <c r="B315" s="19" t="s">
        <v>43</v>
      </c>
      <c r="C315" s="19" t="s">
        <v>1456</v>
      </c>
      <c r="D315" s="19" t="s">
        <v>45</v>
      </c>
      <c r="E315" s="19" t="s">
        <v>46</v>
      </c>
      <c r="F315" s="19" t="s">
        <v>2538</v>
      </c>
      <c r="G315" s="19" t="s">
        <v>48</v>
      </c>
      <c r="H315" s="19" t="s">
        <v>49</v>
      </c>
      <c r="I315" s="20">
        <v>45838.55972222222</v>
      </c>
      <c r="K315" s="19"/>
      <c r="L315" s="20">
        <v>45838.654861111107</v>
      </c>
      <c r="M315" s="19"/>
      <c r="N315" s="22">
        <f t="shared" si="10"/>
        <v>9.5138888886140194E-2</v>
      </c>
      <c r="O315" s="19" t="s">
        <v>50</v>
      </c>
      <c r="P315" s="19" t="s">
        <v>2539</v>
      </c>
      <c r="Q315" s="19" t="s">
        <v>2540</v>
      </c>
      <c r="R315" s="19"/>
      <c r="S315" s="19"/>
      <c r="U315" s="19"/>
      <c r="W315" s="19"/>
      <c r="X315" s="19" t="s">
        <v>53</v>
      </c>
      <c r="Y315" s="27" t="s">
        <v>147</v>
      </c>
      <c r="Z315" s="27" t="s">
        <v>78</v>
      </c>
      <c r="AA315" s="27" t="s">
        <v>78</v>
      </c>
      <c r="AB315" s="27" t="s">
        <v>78</v>
      </c>
      <c r="AC315" s="37" t="s">
        <v>78</v>
      </c>
      <c r="AD315" s="38" t="s">
        <v>78</v>
      </c>
      <c r="AE315" s="36">
        <v>45833</v>
      </c>
      <c r="AF315" s="19" t="s">
        <v>78</v>
      </c>
      <c r="AG315" s="19" t="s">
        <v>78</v>
      </c>
      <c r="AH315" s="19" t="s">
        <v>78</v>
      </c>
      <c r="AI315" s="19" t="s">
        <v>63</v>
      </c>
      <c r="AJ315" s="19" t="s">
        <v>2541</v>
      </c>
      <c r="AK315" s="19"/>
      <c r="AL315" s="19"/>
      <c r="AM315" s="19"/>
      <c r="AN315" s="19" t="s">
        <v>65</v>
      </c>
      <c r="AO315" s="23">
        <v>45838.55972222222</v>
      </c>
      <c r="AP315" s="26">
        <f t="shared" si="11"/>
        <v>137</v>
      </c>
    </row>
    <row r="316" spans="1:42" ht="25.5" hidden="1" customHeight="1">
      <c r="A316" s="19" t="s">
        <v>285</v>
      </c>
      <c r="B316" s="19" t="s">
        <v>541</v>
      </c>
      <c r="C316" s="19" t="s">
        <v>2542</v>
      </c>
      <c r="D316" s="19" t="s">
        <v>45</v>
      </c>
      <c r="E316" s="19" t="s">
        <v>46</v>
      </c>
      <c r="F316" s="19" t="s">
        <v>2543</v>
      </c>
      <c r="G316" s="19" t="s">
        <v>48</v>
      </c>
      <c r="H316" s="19" t="s">
        <v>49</v>
      </c>
      <c r="I316" s="20">
        <v>45838.665972222218</v>
      </c>
      <c r="K316" s="19"/>
      <c r="L316" s="20">
        <v>45838.689583333333</v>
      </c>
      <c r="M316" s="19"/>
      <c r="N316" s="22">
        <f t="shared" si="10"/>
        <v>2.3611111115314998E-2</v>
      </c>
      <c r="O316" s="19" t="s">
        <v>50</v>
      </c>
      <c r="P316" s="19" t="s">
        <v>2544</v>
      </c>
      <c r="Q316" s="19" t="s">
        <v>2545</v>
      </c>
      <c r="R316" s="19"/>
      <c r="S316" s="19"/>
      <c r="U316" s="19"/>
      <c r="W316" s="19"/>
      <c r="X316" s="19" t="s">
        <v>269</v>
      </c>
      <c r="Y316" s="27" t="s">
        <v>133</v>
      </c>
      <c r="Z316" s="27" t="s">
        <v>2546</v>
      </c>
      <c r="AA316" s="27" t="s">
        <v>2547</v>
      </c>
      <c r="AB316" s="27" t="s">
        <v>2548</v>
      </c>
      <c r="AC316" s="37" t="s">
        <v>2549</v>
      </c>
      <c r="AD316" s="38" t="s">
        <v>2550</v>
      </c>
      <c r="AE316" s="36">
        <v>45833</v>
      </c>
      <c r="AF316" s="19" t="s">
        <v>293</v>
      </c>
      <c r="AG316" s="19" t="s">
        <v>307</v>
      </c>
      <c r="AH316" s="19" t="s">
        <v>62</v>
      </c>
      <c r="AI316" s="19" t="s">
        <v>63</v>
      </c>
      <c r="AJ316" s="19" t="s">
        <v>2551</v>
      </c>
      <c r="AK316" s="19"/>
      <c r="AL316" s="19"/>
      <c r="AM316" s="19"/>
      <c r="AN316" s="19" t="s">
        <v>65</v>
      </c>
      <c r="AO316" s="23">
        <v>45838.65902777778</v>
      </c>
      <c r="AP316" s="26">
        <f t="shared" si="11"/>
        <v>34</v>
      </c>
    </row>
    <row r="317" spans="1:42" ht="25.5" hidden="1" customHeight="1">
      <c r="A317" s="19" t="s">
        <v>42</v>
      </c>
      <c r="B317" s="19" t="s">
        <v>202</v>
      </c>
      <c r="C317" s="19" t="s">
        <v>2552</v>
      </c>
      <c r="D317" s="19" t="s">
        <v>45</v>
      </c>
      <c r="E317" s="19" t="s">
        <v>356</v>
      </c>
      <c r="F317" s="19" t="s">
        <v>2553</v>
      </c>
      <c r="G317" s="19" t="s">
        <v>48</v>
      </c>
      <c r="H317" s="19" t="s">
        <v>49</v>
      </c>
      <c r="I317" s="20">
        <v>45838.756944444453</v>
      </c>
      <c r="K317" s="19"/>
      <c r="L317" s="20">
        <v>45838.819444444453</v>
      </c>
      <c r="M317" s="19"/>
      <c r="N317" s="22">
        <f t="shared" si="10"/>
        <v>6.25E-2</v>
      </c>
      <c r="O317" s="19" t="s">
        <v>50</v>
      </c>
      <c r="P317" s="19" t="s">
        <v>2554</v>
      </c>
      <c r="Q317" s="19" t="s">
        <v>2555</v>
      </c>
      <c r="R317" s="19"/>
      <c r="S317" s="19"/>
      <c r="U317" s="19"/>
      <c r="W317" s="19"/>
      <c r="X317" s="19" t="s">
        <v>1589</v>
      </c>
      <c r="Y317" s="27" t="s">
        <v>54</v>
      </c>
      <c r="Z317" s="27" t="s">
        <v>811</v>
      </c>
      <c r="AA317" s="27" t="s">
        <v>2556</v>
      </c>
      <c r="AB317" s="27" t="s">
        <v>2557</v>
      </c>
      <c r="AC317" s="37" t="s">
        <v>2558</v>
      </c>
      <c r="AD317" s="38" t="s">
        <v>2559</v>
      </c>
      <c r="AE317" s="36">
        <v>45833</v>
      </c>
      <c r="AF317" s="19" t="s">
        <v>99</v>
      </c>
      <c r="AG317" s="19" t="s">
        <v>971</v>
      </c>
      <c r="AH317" s="19" t="s">
        <v>62</v>
      </c>
      <c r="AI317" s="19" t="s">
        <v>63</v>
      </c>
      <c r="AJ317" s="19" t="s">
        <v>2560</v>
      </c>
      <c r="AK317" s="19" t="s">
        <v>2561</v>
      </c>
      <c r="AL317" s="19"/>
      <c r="AM317" s="19"/>
      <c r="AN317" s="19" t="s">
        <v>65</v>
      </c>
      <c r="AO317" s="23">
        <v>45838.762499999997</v>
      </c>
      <c r="AP317" s="26">
        <f t="shared" si="11"/>
        <v>90</v>
      </c>
    </row>
    <row r="318" spans="1:42" ht="25.5" hidden="1" customHeight="1">
      <c r="A318" s="19" t="s">
        <v>42</v>
      </c>
      <c r="C318" s="19" t="s">
        <v>378</v>
      </c>
      <c r="D318" s="19" t="s">
        <v>45</v>
      </c>
      <c r="E318" s="19" t="s">
        <v>46</v>
      </c>
      <c r="F318" s="19" t="s">
        <v>2562</v>
      </c>
      <c r="G318" s="19" t="s">
        <v>48</v>
      </c>
      <c r="H318" s="19" t="s">
        <v>49</v>
      </c>
      <c r="I318" s="20">
        <v>45838.861111111109</v>
      </c>
      <c r="K318" s="19"/>
      <c r="L318" s="20">
        <v>45838.90347222222</v>
      </c>
      <c r="M318" s="19"/>
      <c r="N318" s="22">
        <f t="shared" si="10"/>
        <v>4.2361111110949423E-2</v>
      </c>
      <c r="O318" s="19" t="s">
        <v>50</v>
      </c>
      <c r="P318" s="19" t="s">
        <v>2563</v>
      </c>
      <c r="Q318" s="19" t="s">
        <v>2564</v>
      </c>
      <c r="R318" s="19"/>
      <c r="S318" s="19"/>
      <c r="U318" s="19"/>
      <c r="W318" s="19"/>
      <c r="X318" s="19" t="s">
        <v>72</v>
      </c>
      <c r="Y318" s="27" t="s">
        <v>147</v>
      </c>
      <c r="Z318" s="27" t="s">
        <v>78</v>
      </c>
      <c r="AA318" s="27" t="s">
        <v>78</v>
      </c>
      <c r="AB318" s="27" t="s">
        <v>78</v>
      </c>
      <c r="AC318" s="37" t="s">
        <v>78</v>
      </c>
      <c r="AD318" s="38" t="s">
        <v>78</v>
      </c>
      <c r="AE318" s="36">
        <v>45833</v>
      </c>
      <c r="AF318" s="19" t="s">
        <v>89</v>
      </c>
      <c r="AG318" s="19" t="s">
        <v>90</v>
      </c>
      <c r="AH318" s="19" t="s">
        <v>62</v>
      </c>
      <c r="AI318" s="19" t="s">
        <v>63</v>
      </c>
      <c r="AJ318" s="19" t="s">
        <v>2565</v>
      </c>
      <c r="AK318" s="19"/>
      <c r="AL318" s="19"/>
      <c r="AM318" s="19"/>
      <c r="AN318" s="19" t="s">
        <v>65</v>
      </c>
      <c r="AO318" s="23">
        <v>45838.904166666667</v>
      </c>
      <c r="AP318" s="26">
        <f t="shared" si="11"/>
        <v>61</v>
      </c>
    </row>
    <row r="319" spans="1:42" ht="25.5" hidden="1" customHeight="1">
      <c r="A319" s="19" t="s">
        <v>42</v>
      </c>
      <c r="B319" s="19" t="s">
        <v>2566</v>
      </c>
      <c r="C319" s="19" t="s">
        <v>2567</v>
      </c>
      <c r="D319" s="19" t="s">
        <v>45</v>
      </c>
      <c r="E319" s="19" t="s">
        <v>46</v>
      </c>
      <c r="F319" s="19" t="s">
        <v>2568</v>
      </c>
      <c r="G319" s="19" t="s">
        <v>48</v>
      </c>
      <c r="H319" s="19" t="s">
        <v>49</v>
      </c>
      <c r="I319" s="20">
        <v>45838.945138888892</v>
      </c>
      <c r="K319" s="19"/>
      <c r="L319" s="20">
        <v>45838.97152777778</v>
      </c>
      <c r="M319" s="19"/>
      <c r="N319" s="22">
        <f t="shared" si="10"/>
        <v>2.6388888887595385E-2</v>
      </c>
      <c r="O319" s="19" t="s">
        <v>50</v>
      </c>
      <c r="P319" s="19" t="s">
        <v>2569</v>
      </c>
      <c r="Q319" s="19" t="s">
        <v>2570</v>
      </c>
      <c r="R319" s="19"/>
      <c r="S319" s="19"/>
      <c r="U319" s="19"/>
      <c r="W319" s="19"/>
      <c r="X319" s="19" t="s">
        <v>662</v>
      </c>
      <c r="Y319" s="27" t="s">
        <v>54</v>
      </c>
      <c r="Z319" s="27" t="s">
        <v>259</v>
      </c>
      <c r="AA319" s="27" t="s">
        <v>2571</v>
      </c>
      <c r="AB319" s="27" t="s">
        <v>2572</v>
      </c>
      <c r="AC319" s="37" t="s">
        <v>2573</v>
      </c>
      <c r="AD319" s="38" t="s">
        <v>2574</v>
      </c>
      <c r="AE319" s="36">
        <v>45833</v>
      </c>
      <c r="AF319" s="19" t="s">
        <v>89</v>
      </c>
      <c r="AG319" s="19" t="s">
        <v>90</v>
      </c>
      <c r="AH319" s="19" t="s">
        <v>62</v>
      </c>
      <c r="AI319" s="19" t="s">
        <v>63</v>
      </c>
      <c r="AJ319" s="19" t="s">
        <v>2575</v>
      </c>
      <c r="AK319" s="19"/>
      <c r="AL319" s="19"/>
      <c r="AM319" s="19"/>
      <c r="AN319" s="19" t="s">
        <v>65</v>
      </c>
      <c r="AO319" s="23">
        <v>45838.945138888892</v>
      </c>
      <c r="AP319" s="26">
        <f t="shared" si="11"/>
        <v>38</v>
      </c>
    </row>
    <row r="320" spans="1:42" ht="25.5" hidden="1" customHeight="1">
      <c r="A320" s="19" t="s">
        <v>92</v>
      </c>
      <c r="B320" s="19" t="s">
        <v>1917</v>
      </c>
      <c r="C320" s="19" t="s">
        <v>2480</v>
      </c>
      <c r="D320" s="19" t="s">
        <v>45</v>
      </c>
      <c r="E320" s="19" t="s">
        <v>46</v>
      </c>
      <c r="F320" s="19" t="s">
        <v>2576</v>
      </c>
      <c r="G320" s="19" t="s">
        <v>48</v>
      </c>
      <c r="H320" s="19" t="s">
        <v>49</v>
      </c>
      <c r="I320" s="20">
        <v>45839.768750000003</v>
      </c>
      <c r="K320" s="19"/>
      <c r="L320" s="20">
        <v>45839.788194444453</v>
      </c>
      <c r="M320" s="19"/>
      <c r="N320" s="22">
        <f t="shared" si="10"/>
        <v>1.9444444449618459E-2</v>
      </c>
      <c r="O320" s="19" t="s">
        <v>50</v>
      </c>
      <c r="P320" s="19" t="s">
        <v>2577</v>
      </c>
      <c r="Q320" s="19" t="s">
        <v>2578</v>
      </c>
      <c r="R320" s="19"/>
      <c r="S320" s="19"/>
      <c r="U320" s="19"/>
      <c r="W320" s="19"/>
      <c r="X320" s="19" t="s">
        <v>109</v>
      </c>
      <c r="Y320" s="27" t="s">
        <v>147</v>
      </c>
      <c r="Z320" s="27" t="s">
        <v>78</v>
      </c>
      <c r="AA320" s="27" t="s">
        <v>78</v>
      </c>
      <c r="AB320" s="27" t="s">
        <v>78</v>
      </c>
      <c r="AC320" s="37" t="s">
        <v>78</v>
      </c>
      <c r="AD320" s="38" t="s">
        <v>78</v>
      </c>
      <c r="AE320" s="36">
        <v>45839</v>
      </c>
      <c r="AF320" s="19" t="s">
        <v>60</v>
      </c>
      <c r="AG320" s="19" t="s">
        <v>78</v>
      </c>
      <c r="AH320" s="19" t="s">
        <v>78</v>
      </c>
      <c r="AI320" s="19" t="s">
        <v>63</v>
      </c>
      <c r="AJ320" s="19" t="s">
        <v>2579</v>
      </c>
      <c r="AK320" s="19"/>
      <c r="AL320" s="19"/>
      <c r="AM320" s="19"/>
      <c r="AN320" s="19" t="s">
        <v>622</v>
      </c>
      <c r="AO320" s="23">
        <v>45839.780555555553</v>
      </c>
      <c r="AP320" s="26">
        <f t="shared" si="11"/>
        <v>28</v>
      </c>
    </row>
    <row r="321" spans="1:42" ht="25.5" hidden="1" customHeight="1">
      <c r="A321" s="19" t="s">
        <v>42</v>
      </c>
      <c r="C321" s="19" t="s">
        <v>2123</v>
      </c>
      <c r="D321" s="19" t="s">
        <v>45</v>
      </c>
      <c r="E321" s="19" t="s">
        <v>46</v>
      </c>
      <c r="F321" s="19" t="s">
        <v>2580</v>
      </c>
      <c r="G321" s="19" t="s">
        <v>48</v>
      </c>
      <c r="H321" s="19" t="s">
        <v>49</v>
      </c>
      <c r="I321" s="20">
        <v>45839.772916666669</v>
      </c>
      <c r="K321" s="19"/>
      <c r="L321" s="20">
        <v>45839.85833333333</v>
      </c>
      <c r="M321" s="19"/>
      <c r="N321" s="22">
        <f t="shared" si="10"/>
        <v>8.5416666661330964E-2</v>
      </c>
      <c r="O321" s="19" t="s">
        <v>63</v>
      </c>
      <c r="P321" s="19" t="s">
        <v>2581</v>
      </c>
      <c r="Q321" s="19" t="s">
        <v>2582</v>
      </c>
      <c r="R321" s="19"/>
      <c r="S321" s="19"/>
      <c r="U321" s="19"/>
      <c r="W321" s="19"/>
      <c r="X321" s="19" t="s">
        <v>72</v>
      </c>
      <c r="Y321" s="27" t="s">
        <v>147</v>
      </c>
      <c r="Z321" s="27" t="s">
        <v>78</v>
      </c>
      <c r="AA321" s="27" t="s">
        <v>78</v>
      </c>
      <c r="AB321" s="27" t="s">
        <v>78</v>
      </c>
      <c r="AC321" s="37" t="s">
        <v>78</v>
      </c>
      <c r="AD321" s="38" t="s">
        <v>78</v>
      </c>
      <c r="AE321" s="36">
        <v>45839</v>
      </c>
      <c r="AF321" s="19" t="s">
        <v>89</v>
      </c>
      <c r="AG321" s="19" t="s">
        <v>90</v>
      </c>
      <c r="AH321" s="19" t="s">
        <v>62</v>
      </c>
      <c r="AI321" s="19" t="s">
        <v>63</v>
      </c>
      <c r="AJ321" s="19" t="s">
        <v>2583</v>
      </c>
      <c r="AK321" s="19"/>
      <c r="AL321" s="19"/>
      <c r="AM321" s="19"/>
      <c r="AN321" s="19" t="s">
        <v>65</v>
      </c>
      <c r="AO321" s="23">
        <v>45839.790972222218</v>
      </c>
      <c r="AP321" s="26">
        <f t="shared" si="11"/>
        <v>123</v>
      </c>
    </row>
    <row r="322" spans="1:42" ht="25.5" hidden="1" customHeight="1">
      <c r="A322" s="19" t="s">
        <v>285</v>
      </c>
      <c r="B322" s="19" t="s">
        <v>186</v>
      </c>
      <c r="C322" s="19" t="s">
        <v>577</v>
      </c>
      <c r="D322" s="19" t="s">
        <v>45</v>
      </c>
      <c r="E322" s="19" t="s">
        <v>46</v>
      </c>
      <c r="F322" s="19" t="s">
        <v>2584</v>
      </c>
      <c r="G322" s="19" t="s">
        <v>48</v>
      </c>
      <c r="H322" s="19" t="s">
        <v>49</v>
      </c>
      <c r="I322" s="20">
        <v>45840.23333333333</v>
      </c>
      <c r="K322" s="19"/>
      <c r="L322" s="20">
        <v>45840.277777777781</v>
      </c>
      <c r="M322" s="19"/>
      <c r="N322" s="22">
        <f t="shared" si="10"/>
        <v>4.444444445107365E-2</v>
      </c>
      <c r="O322" s="19" t="s">
        <v>50</v>
      </c>
      <c r="P322" s="19" t="s">
        <v>2585</v>
      </c>
      <c r="Q322" s="19" t="s">
        <v>2586</v>
      </c>
      <c r="R322" s="19"/>
      <c r="S322" s="19"/>
      <c r="U322" s="19"/>
      <c r="W322" s="19"/>
      <c r="X322" s="19" t="s">
        <v>191</v>
      </c>
      <c r="Y322" s="27" t="s">
        <v>133</v>
      </c>
      <c r="Z322" s="27" t="s">
        <v>988</v>
      </c>
      <c r="AA322" s="27" t="s">
        <v>2587</v>
      </c>
      <c r="AB322" s="27" t="s">
        <v>2588</v>
      </c>
      <c r="AC322" s="37" t="s">
        <v>2589</v>
      </c>
      <c r="AD322" s="38" t="s">
        <v>2590</v>
      </c>
      <c r="AE322" s="36">
        <v>45839</v>
      </c>
      <c r="AF322" s="19" t="s">
        <v>293</v>
      </c>
      <c r="AG322" s="19" t="s">
        <v>307</v>
      </c>
      <c r="AH322" s="19" t="s">
        <v>62</v>
      </c>
      <c r="AI322" s="19" t="s">
        <v>63</v>
      </c>
      <c r="AJ322" s="19" t="s">
        <v>2591</v>
      </c>
      <c r="AK322" s="19"/>
      <c r="AL322" s="19"/>
      <c r="AM322" s="19"/>
      <c r="AN322" s="19" t="s">
        <v>65</v>
      </c>
      <c r="AO322" s="23">
        <v>45840.231249999997</v>
      </c>
      <c r="AP322" s="26">
        <f t="shared" si="11"/>
        <v>64</v>
      </c>
    </row>
    <row r="323" spans="1:42" ht="25.5" hidden="1" customHeight="1">
      <c r="A323" s="19" t="s">
        <v>42</v>
      </c>
      <c r="B323" s="19" t="s">
        <v>2592</v>
      </c>
      <c r="C323" s="19" t="s">
        <v>2162</v>
      </c>
      <c r="D323" s="19" t="s">
        <v>45</v>
      </c>
      <c r="E323" s="19" t="s">
        <v>225</v>
      </c>
      <c r="F323" s="19" t="s">
        <v>2593</v>
      </c>
      <c r="G323" s="19" t="s">
        <v>48</v>
      </c>
      <c r="H323" s="19" t="s">
        <v>49</v>
      </c>
      <c r="I323" s="20">
        <v>45841.611111111109</v>
      </c>
      <c r="K323" s="19"/>
      <c r="L323" s="20">
        <v>45841.629166666673</v>
      </c>
      <c r="M323" s="19"/>
      <c r="N323" s="22">
        <f t="shared" si="10"/>
        <v>1.8055555563478265E-2</v>
      </c>
      <c r="O323" s="19" t="s">
        <v>63</v>
      </c>
      <c r="P323" s="19" t="s">
        <v>2594</v>
      </c>
      <c r="Q323" s="19" t="s">
        <v>2595</v>
      </c>
      <c r="R323" s="19"/>
      <c r="S323" s="19"/>
      <c r="U323" s="19"/>
      <c r="W323" s="19"/>
      <c r="X323" s="19" t="s">
        <v>2596</v>
      </c>
      <c r="Y323" s="27" t="s">
        <v>54</v>
      </c>
      <c r="Z323" s="27" t="s">
        <v>123</v>
      </c>
      <c r="AA323" s="27" t="s">
        <v>2597</v>
      </c>
      <c r="AB323" s="27" t="s">
        <v>2598</v>
      </c>
      <c r="AC323" s="37">
        <v>45841.606944444437</v>
      </c>
      <c r="AD323" s="38">
        <v>45841.64166666667</v>
      </c>
      <c r="AE323" s="36">
        <v>45839</v>
      </c>
      <c r="AF323" s="19" t="s">
        <v>89</v>
      </c>
      <c r="AG323" s="19" t="s">
        <v>90</v>
      </c>
      <c r="AH323" s="19" t="s">
        <v>62</v>
      </c>
      <c r="AI323" s="19" t="s">
        <v>63</v>
      </c>
      <c r="AJ323" s="19" t="s">
        <v>2287</v>
      </c>
      <c r="AK323" s="19"/>
      <c r="AL323" s="19"/>
      <c r="AM323" s="19"/>
      <c r="AN323" s="19" t="s">
        <v>65</v>
      </c>
      <c r="AO323" s="23">
        <v>45841.611111111109</v>
      </c>
      <c r="AP323" s="26">
        <f t="shared" si="11"/>
        <v>26</v>
      </c>
    </row>
    <row r="324" spans="1:42" ht="25.5" hidden="1" customHeight="1">
      <c r="A324" s="19" t="s">
        <v>42</v>
      </c>
      <c r="C324" s="19" t="s">
        <v>2599</v>
      </c>
      <c r="D324" s="19" t="s">
        <v>45</v>
      </c>
      <c r="E324" s="19" t="s">
        <v>46</v>
      </c>
      <c r="F324" s="19" t="s">
        <v>2600</v>
      </c>
      <c r="G324" s="19" t="s">
        <v>48</v>
      </c>
      <c r="H324" s="19" t="s">
        <v>49</v>
      </c>
      <c r="I324" s="20">
        <v>45842.25</v>
      </c>
      <c r="K324" s="19"/>
      <c r="L324" s="20">
        <v>45842.484027777777</v>
      </c>
      <c r="M324" s="19"/>
      <c r="N324" s="22">
        <f t="shared" si="10"/>
        <v>0.23402777777664596</v>
      </c>
      <c r="O324" s="19" t="s">
        <v>63</v>
      </c>
      <c r="P324" s="19" t="s">
        <v>2601</v>
      </c>
      <c r="Q324" s="19" t="s">
        <v>2602</v>
      </c>
      <c r="R324" s="19"/>
      <c r="S324" s="19"/>
      <c r="U324" s="19"/>
      <c r="W324" s="19"/>
      <c r="X324" s="19" t="s">
        <v>72</v>
      </c>
      <c r="Y324" s="27" t="s">
        <v>147</v>
      </c>
      <c r="Z324" s="27" t="s">
        <v>78</v>
      </c>
      <c r="AA324" s="27" t="s">
        <v>78</v>
      </c>
      <c r="AB324" s="27" t="s">
        <v>78</v>
      </c>
      <c r="AC324" s="37" t="s">
        <v>78</v>
      </c>
      <c r="AD324" s="38" t="s">
        <v>78</v>
      </c>
      <c r="AE324" s="36">
        <v>45839</v>
      </c>
      <c r="AF324" s="19" t="s">
        <v>99</v>
      </c>
      <c r="AG324" s="19" t="s">
        <v>139</v>
      </c>
      <c r="AH324" s="19" t="s">
        <v>62</v>
      </c>
      <c r="AI324" s="19" t="s">
        <v>63</v>
      </c>
      <c r="AJ324" s="19" t="s">
        <v>2603</v>
      </c>
      <c r="AK324" s="19" t="s">
        <v>2604</v>
      </c>
      <c r="AL324" s="19"/>
      <c r="AM324" s="19"/>
      <c r="AN324" s="19" t="s">
        <v>65</v>
      </c>
      <c r="AO324" s="23">
        <v>45842.443749999999</v>
      </c>
      <c r="AP324" s="26">
        <f t="shared" si="11"/>
        <v>337</v>
      </c>
    </row>
    <row r="325" spans="1:42" ht="25.5" hidden="1" customHeight="1">
      <c r="A325" s="19" t="s">
        <v>42</v>
      </c>
      <c r="B325" s="19" t="s">
        <v>2605</v>
      </c>
      <c r="C325" s="19" t="s">
        <v>2606</v>
      </c>
      <c r="D325" s="19" t="s">
        <v>45</v>
      </c>
      <c r="E325" s="19" t="s">
        <v>356</v>
      </c>
      <c r="F325" s="19" t="s">
        <v>2607</v>
      </c>
      <c r="G325" s="19" t="s">
        <v>48</v>
      </c>
      <c r="H325" s="19" t="s">
        <v>49</v>
      </c>
      <c r="I325" s="20">
        <v>45843.313888888893</v>
      </c>
      <c r="K325" s="19"/>
      <c r="L325" s="20">
        <v>45843.339583333327</v>
      </c>
      <c r="M325" s="19"/>
      <c r="N325" s="22">
        <f t="shared" si="10"/>
        <v>2.5694444433611352E-2</v>
      </c>
      <c r="O325" s="19" t="s">
        <v>50</v>
      </c>
      <c r="P325" s="19" t="s">
        <v>2608</v>
      </c>
      <c r="Q325" s="19" t="s">
        <v>2609</v>
      </c>
      <c r="R325" s="19"/>
      <c r="S325" s="19"/>
      <c r="U325" s="19"/>
      <c r="W325" s="19"/>
      <c r="X325" s="19" t="s">
        <v>1412</v>
      </c>
      <c r="Y325" s="27" t="s">
        <v>133</v>
      </c>
      <c r="Z325" s="27" t="s">
        <v>811</v>
      </c>
      <c r="AA325" s="27" t="s">
        <v>2610</v>
      </c>
      <c r="AB325" s="27" t="s">
        <v>2611</v>
      </c>
      <c r="AC325" s="37" t="s">
        <v>2612</v>
      </c>
      <c r="AD325" s="38" t="s">
        <v>2613</v>
      </c>
      <c r="AE325" s="36">
        <v>45839</v>
      </c>
      <c r="AF325" s="19" t="s">
        <v>89</v>
      </c>
      <c r="AG325" s="19" t="s">
        <v>90</v>
      </c>
      <c r="AH325" s="19" t="s">
        <v>62</v>
      </c>
      <c r="AI325" s="19" t="s">
        <v>63</v>
      </c>
      <c r="AJ325" s="19" t="s">
        <v>2614</v>
      </c>
      <c r="AK325" s="19"/>
      <c r="AL325" s="19"/>
      <c r="AM325" s="19"/>
      <c r="AN325" s="19" t="s">
        <v>65</v>
      </c>
      <c r="AO325" s="23">
        <v>45843.313888888893</v>
      </c>
      <c r="AP325" s="26">
        <f t="shared" si="11"/>
        <v>37</v>
      </c>
    </row>
    <row r="326" spans="1:42" ht="25.5" hidden="1" customHeight="1">
      <c r="A326" s="19" t="s">
        <v>42</v>
      </c>
      <c r="B326" s="19" t="s">
        <v>2615</v>
      </c>
      <c r="C326" s="19" t="s">
        <v>2196</v>
      </c>
      <c r="D326" s="19" t="s">
        <v>45</v>
      </c>
      <c r="E326" s="19" t="s">
        <v>46</v>
      </c>
      <c r="F326" s="19" t="s">
        <v>2616</v>
      </c>
      <c r="G326" s="19" t="s">
        <v>48</v>
      </c>
      <c r="H326" s="19" t="s">
        <v>49</v>
      </c>
      <c r="I326" s="20">
        <v>45843.365277777782</v>
      </c>
      <c r="K326" s="19"/>
      <c r="L326" s="20">
        <v>45843.415277777778</v>
      </c>
      <c r="M326" s="19"/>
      <c r="N326" s="22">
        <f t="shared" si="10"/>
        <v>4.9999999995634425E-2</v>
      </c>
      <c r="O326" s="19" t="s">
        <v>50</v>
      </c>
      <c r="P326" s="19" t="s">
        <v>2617</v>
      </c>
      <c r="Q326" s="19" t="s">
        <v>2618</v>
      </c>
      <c r="R326" s="19"/>
      <c r="S326" s="19"/>
      <c r="U326" s="19"/>
      <c r="W326" s="19"/>
      <c r="X326" s="19" t="s">
        <v>1589</v>
      </c>
      <c r="Y326" s="27" t="s">
        <v>147</v>
      </c>
      <c r="Z326" s="27" t="s">
        <v>78</v>
      </c>
      <c r="AA326" s="27" t="s">
        <v>78</v>
      </c>
      <c r="AB326" s="27" t="s">
        <v>78</v>
      </c>
      <c r="AC326" s="37" t="s">
        <v>78</v>
      </c>
      <c r="AD326" s="38" t="s">
        <v>78</v>
      </c>
      <c r="AE326" s="36">
        <v>45839</v>
      </c>
      <c r="AF326" s="19" t="s">
        <v>89</v>
      </c>
      <c r="AG326" s="19" t="s">
        <v>90</v>
      </c>
      <c r="AH326" s="19" t="s">
        <v>62</v>
      </c>
      <c r="AI326" s="19" t="s">
        <v>63</v>
      </c>
      <c r="AJ326" s="19" t="s">
        <v>2619</v>
      </c>
      <c r="AK326" s="19"/>
      <c r="AL326" s="19"/>
      <c r="AM326" s="19"/>
      <c r="AN326" s="19" t="s">
        <v>65</v>
      </c>
      <c r="AO326" s="23">
        <v>45843.448611111111</v>
      </c>
      <c r="AP326" s="26">
        <f t="shared" si="11"/>
        <v>72</v>
      </c>
    </row>
    <row r="327" spans="1:42" ht="25.5" hidden="1" customHeight="1">
      <c r="A327" s="19" t="s">
        <v>116</v>
      </c>
      <c r="B327" s="19" t="s">
        <v>93</v>
      </c>
      <c r="C327" s="19" t="s">
        <v>94</v>
      </c>
      <c r="D327" s="19" t="s">
        <v>45</v>
      </c>
      <c r="E327" s="19" t="s">
        <v>46</v>
      </c>
      <c r="F327" s="19" t="s">
        <v>2620</v>
      </c>
      <c r="G327" s="19" t="s">
        <v>48</v>
      </c>
      <c r="H327" s="19" t="s">
        <v>49</v>
      </c>
      <c r="I327" s="20">
        <v>45845.058333333327</v>
      </c>
      <c r="K327" s="19"/>
      <c r="L327" s="20">
        <v>45845.071527777778</v>
      </c>
      <c r="M327" s="19"/>
      <c r="N327" s="22">
        <f t="shared" si="10"/>
        <v>1.319444445107365E-2</v>
      </c>
      <c r="O327" s="19" t="s">
        <v>50</v>
      </c>
      <c r="P327" s="19" t="s">
        <v>2621</v>
      </c>
      <c r="Q327" s="19" t="s">
        <v>2622</v>
      </c>
      <c r="R327" s="19"/>
      <c r="S327" s="19"/>
      <c r="U327" s="19"/>
      <c r="W327" s="19"/>
      <c r="X327" s="19" t="s">
        <v>98</v>
      </c>
      <c r="Y327" s="27" t="s">
        <v>54</v>
      </c>
      <c r="Z327" s="27" t="s">
        <v>361</v>
      </c>
      <c r="AA327" s="27" t="s">
        <v>2623</v>
      </c>
      <c r="AB327" s="27" t="s">
        <v>2624</v>
      </c>
      <c r="AC327" s="37" t="s">
        <v>2625</v>
      </c>
      <c r="AD327" s="38" t="s">
        <v>2626</v>
      </c>
      <c r="AE327" s="36">
        <v>45839</v>
      </c>
      <c r="AF327" s="19" t="s">
        <v>89</v>
      </c>
      <c r="AG327" s="19" t="s">
        <v>90</v>
      </c>
      <c r="AH327" s="19" t="s">
        <v>62</v>
      </c>
      <c r="AI327" s="19" t="s">
        <v>63</v>
      </c>
      <c r="AJ327" s="19" t="s">
        <v>2627</v>
      </c>
      <c r="AK327" s="19"/>
      <c r="AL327" s="19"/>
      <c r="AM327" s="19"/>
      <c r="AN327" s="19" t="s">
        <v>103</v>
      </c>
      <c r="AO327" s="23">
        <v>45845.058333333327</v>
      </c>
      <c r="AP327" s="26">
        <f t="shared" si="11"/>
        <v>19</v>
      </c>
    </row>
    <row r="328" spans="1:42" ht="25.5" hidden="1" customHeight="1">
      <c r="A328" s="19" t="s">
        <v>285</v>
      </c>
      <c r="B328" s="19" t="s">
        <v>470</v>
      </c>
      <c r="C328" s="19" t="s">
        <v>105</v>
      </c>
      <c r="D328" s="19" t="s">
        <v>45</v>
      </c>
      <c r="E328" s="19" t="s">
        <v>46</v>
      </c>
      <c r="F328" s="19" t="s">
        <v>2628</v>
      </c>
      <c r="G328" s="19" t="s">
        <v>48</v>
      </c>
      <c r="H328" s="19" t="s">
        <v>49</v>
      </c>
      <c r="I328" s="20">
        <v>45845.284722222219</v>
      </c>
      <c r="K328" s="19"/>
      <c r="L328" s="20">
        <v>45845.315972222219</v>
      </c>
      <c r="M328" s="19"/>
      <c r="N328" s="22">
        <f t="shared" si="10"/>
        <v>3.125E-2</v>
      </c>
      <c r="O328" s="19" t="s">
        <v>50</v>
      </c>
      <c r="P328" s="19" t="s">
        <v>2116</v>
      </c>
      <c r="Q328" s="19" t="s">
        <v>2629</v>
      </c>
      <c r="R328" s="19"/>
      <c r="S328" s="19"/>
      <c r="U328" s="19"/>
      <c r="W328" s="19"/>
      <c r="X328" s="19" t="s">
        <v>109</v>
      </c>
      <c r="Y328" s="27" t="s">
        <v>133</v>
      </c>
      <c r="Z328" s="27" t="s">
        <v>361</v>
      </c>
      <c r="AA328" s="27" t="s">
        <v>2630</v>
      </c>
      <c r="AB328" s="27" t="s">
        <v>2631</v>
      </c>
      <c r="AC328" s="37" t="s">
        <v>2632</v>
      </c>
      <c r="AD328" s="38" t="s">
        <v>2633</v>
      </c>
      <c r="AE328" s="36">
        <v>45839</v>
      </c>
      <c r="AF328" s="19" t="s">
        <v>89</v>
      </c>
      <c r="AG328" s="19" t="s">
        <v>90</v>
      </c>
      <c r="AH328" s="19" t="s">
        <v>62</v>
      </c>
      <c r="AI328" s="19" t="s">
        <v>63</v>
      </c>
      <c r="AJ328" s="19" t="s">
        <v>2634</v>
      </c>
      <c r="AK328" s="19"/>
      <c r="AL328" s="19"/>
      <c r="AM328" s="19"/>
      <c r="AN328" s="19" t="s">
        <v>103</v>
      </c>
      <c r="AO328" s="23">
        <v>45845.293749999997</v>
      </c>
      <c r="AP328" s="26">
        <f t="shared" si="11"/>
        <v>45</v>
      </c>
    </row>
    <row r="329" spans="1:42" ht="25.5" hidden="1" customHeight="1">
      <c r="A329" s="19" t="s">
        <v>42</v>
      </c>
      <c r="B329" s="19" t="s">
        <v>403</v>
      </c>
      <c r="C329" s="19" t="s">
        <v>105</v>
      </c>
      <c r="D329" s="19" t="s">
        <v>45</v>
      </c>
      <c r="E329" s="19" t="s">
        <v>46</v>
      </c>
      <c r="F329" s="19" t="s">
        <v>2635</v>
      </c>
      <c r="G329" s="19" t="s">
        <v>48</v>
      </c>
      <c r="H329" s="19" t="s">
        <v>49</v>
      </c>
      <c r="I329" s="20">
        <v>45845.326388888891</v>
      </c>
      <c r="K329" s="19"/>
      <c r="L329" s="20">
        <v>45845.388888888891</v>
      </c>
      <c r="M329" s="19"/>
      <c r="N329" s="22">
        <f t="shared" si="10"/>
        <v>6.25E-2</v>
      </c>
      <c r="O329" s="19" t="s">
        <v>50</v>
      </c>
      <c r="P329" s="19" t="s">
        <v>2636</v>
      </c>
      <c r="Q329" s="19" t="s">
        <v>2637</v>
      </c>
      <c r="R329" s="19" t="s">
        <v>2638</v>
      </c>
      <c r="S329" s="19" t="s">
        <v>2639</v>
      </c>
      <c r="T329" s="20">
        <v>45855.571527777778</v>
      </c>
      <c r="U329" s="19">
        <v>45855.728472222218</v>
      </c>
      <c r="V329" s="19" t="s">
        <v>157</v>
      </c>
      <c r="W329" s="19"/>
      <c r="X329" s="19" t="s">
        <v>109</v>
      </c>
      <c r="Y329" s="27" t="s">
        <v>147</v>
      </c>
      <c r="Z329" s="27" t="s">
        <v>78</v>
      </c>
      <c r="AA329" s="27" t="s">
        <v>78</v>
      </c>
      <c r="AB329" s="27" t="s">
        <v>78</v>
      </c>
      <c r="AC329" s="37" t="s">
        <v>78</v>
      </c>
      <c r="AD329" s="38" t="s">
        <v>78</v>
      </c>
      <c r="AE329" s="36">
        <v>45839</v>
      </c>
      <c r="AF329" s="19" t="s">
        <v>89</v>
      </c>
      <c r="AG329" s="19" t="s">
        <v>90</v>
      </c>
      <c r="AH329" s="19" t="s">
        <v>62</v>
      </c>
      <c r="AI329" s="19" t="s">
        <v>63</v>
      </c>
      <c r="AJ329" s="19" t="s">
        <v>2640</v>
      </c>
      <c r="AK329" s="19"/>
      <c r="AL329" s="19"/>
      <c r="AM329" s="19"/>
      <c r="AN329" s="19" t="s">
        <v>103</v>
      </c>
      <c r="AO329" s="23">
        <v>45845.326388888891</v>
      </c>
      <c r="AP329" s="26">
        <f t="shared" si="11"/>
        <v>90</v>
      </c>
    </row>
    <row r="330" spans="1:42" ht="25.5" hidden="1" customHeight="1">
      <c r="A330" s="19" t="s">
        <v>42</v>
      </c>
      <c r="B330" s="19" t="s">
        <v>599</v>
      </c>
      <c r="C330" s="19" t="s">
        <v>577</v>
      </c>
      <c r="D330" s="19" t="s">
        <v>45</v>
      </c>
      <c r="E330" s="19" t="s">
        <v>46</v>
      </c>
      <c r="F330" s="19" t="s">
        <v>2641</v>
      </c>
      <c r="G330" s="19" t="s">
        <v>48</v>
      </c>
      <c r="H330" s="19" t="s">
        <v>49</v>
      </c>
      <c r="I330" s="20">
        <v>45845.426388888889</v>
      </c>
      <c r="K330" s="19"/>
      <c r="L330" s="20">
        <v>45845.480555555558</v>
      </c>
      <c r="M330" s="19"/>
      <c r="N330" s="22">
        <f t="shared" si="10"/>
        <v>5.4166666668606922E-2</v>
      </c>
      <c r="O330" s="19" t="s">
        <v>63</v>
      </c>
      <c r="P330" s="19" t="s">
        <v>2642</v>
      </c>
      <c r="Q330" s="19" t="s">
        <v>2643</v>
      </c>
      <c r="R330" s="19"/>
      <c r="S330" s="19"/>
      <c r="U330" s="19"/>
      <c r="W330" s="19"/>
      <c r="X330" s="19" t="s">
        <v>191</v>
      </c>
      <c r="Y330" s="27" t="s">
        <v>133</v>
      </c>
      <c r="Z330" s="27" t="s">
        <v>123</v>
      </c>
      <c r="AA330" s="27" t="s">
        <v>2644</v>
      </c>
      <c r="AB330" s="27" t="s">
        <v>2645</v>
      </c>
      <c r="AC330" s="37">
        <v>45835.625</v>
      </c>
      <c r="AD330" s="38">
        <v>45842.636018518519</v>
      </c>
      <c r="AE330" s="36">
        <v>45839</v>
      </c>
      <c r="AF330" s="19" t="s">
        <v>89</v>
      </c>
      <c r="AG330" s="19" t="s">
        <v>90</v>
      </c>
      <c r="AH330" s="19" t="s">
        <v>62</v>
      </c>
      <c r="AI330" s="19" t="s">
        <v>63</v>
      </c>
      <c r="AJ330" s="19" t="s">
        <v>2646</v>
      </c>
      <c r="AK330" s="19"/>
      <c r="AL330" s="19"/>
      <c r="AM330" s="19"/>
      <c r="AN330" s="19" t="s">
        <v>103</v>
      </c>
      <c r="AO330" s="23">
        <v>45845.426388888889</v>
      </c>
      <c r="AP330" s="26">
        <f t="shared" si="11"/>
        <v>78</v>
      </c>
    </row>
    <row r="331" spans="1:42" ht="25.5" hidden="1" customHeight="1">
      <c r="A331" s="19" t="s">
        <v>116</v>
      </c>
      <c r="B331" s="19" t="s">
        <v>93</v>
      </c>
      <c r="C331" s="19" t="s">
        <v>452</v>
      </c>
      <c r="D331" s="19" t="s">
        <v>45</v>
      </c>
      <c r="E331" s="19" t="s">
        <v>46</v>
      </c>
      <c r="F331" s="19" t="s">
        <v>2647</v>
      </c>
      <c r="G331" s="19" t="s">
        <v>48</v>
      </c>
      <c r="H331" s="19" t="s">
        <v>49</v>
      </c>
      <c r="I331" s="20">
        <v>45845.665277777778</v>
      </c>
      <c r="K331" s="19"/>
      <c r="L331" s="20">
        <v>45845.861111111109</v>
      </c>
      <c r="M331" s="19"/>
      <c r="N331" s="22">
        <f t="shared" si="10"/>
        <v>0.19583333333139308</v>
      </c>
      <c r="O331" s="19" t="s">
        <v>50</v>
      </c>
      <c r="P331" s="19" t="s">
        <v>2648</v>
      </c>
      <c r="Q331" s="19" t="s">
        <v>2649</v>
      </c>
      <c r="R331" s="19"/>
      <c r="S331" s="19"/>
      <c r="U331" s="19"/>
      <c r="W331" s="19"/>
      <c r="X331" s="19" t="s">
        <v>122</v>
      </c>
      <c r="Y331" s="27" t="s">
        <v>147</v>
      </c>
      <c r="Z331" s="27" t="s">
        <v>78</v>
      </c>
      <c r="AA331" s="27" t="s">
        <v>78</v>
      </c>
      <c r="AB331" s="27" t="s">
        <v>78</v>
      </c>
      <c r="AC331" s="37" t="s">
        <v>78</v>
      </c>
      <c r="AD331" s="38" t="s">
        <v>78</v>
      </c>
      <c r="AE331" s="36">
        <v>45839</v>
      </c>
      <c r="AF331" s="19" t="s">
        <v>89</v>
      </c>
      <c r="AG331" s="19" t="s">
        <v>90</v>
      </c>
      <c r="AH331" s="19" t="s">
        <v>62</v>
      </c>
      <c r="AI331" s="19" t="s">
        <v>63</v>
      </c>
      <c r="AJ331" s="19" t="s">
        <v>2650</v>
      </c>
      <c r="AK331" s="19"/>
      <c r="AL331" s="19"/>
      <c r="AM331" s="19"/>
      <c r="AN331" s="19" t="s">
        <v>65</v>
      </c>
      <c r="AO331" s="23">
        <v>45845.665277777778</v>
      </c>
      <c r="AP331" s="26">
        <f t="shared" si="11"/>
        <v>282</v>
      </c>
    </row>
    <row r="332" spans="1:42" ht="25.5" hidden="1" customHeight="1">
      <c r="A332" s="19" t="s">
        <v>285</v>
      </c>
      <c r="B332" s="19" t="s">
        <v>2605</v>
      </c>
      <c r="C332" s="19" t="s">
        <v>2606</v>
      </c>
      <c r="D332" s="19" t="s">
        <v>45</v>
      </c>
      <c r="E332" s="19" t="s">
        <v>46</v>
      </c>
      <c r="F332" s="19" t="s">
        <v>2651</v>
      </c>
      <c r="G332" s="19" t="s">
        <v>48</v>
      </c>
      <c r="H332" s="19" t="s">
        <v>49</v>
      </c>
      <c r="I332" s="20">
        <v>45845.668749999997</v>
      </c>
      <c r="K332" s="19"/>
      <c r="L332" s="20">
        <v>45845.729166666657</v>
      </c>
      <c r="M332" s="19"/>
      <c r="N332" s="22">
        <f t="shared" si="10"/>
        <v>6.0416666659875773E-2</v>
      </c>
      <c r="O332" s="19" t="s">
        <v>63</v>
      </c>
      <c r="P332" s="19" t="s">
        <v>2652</v>
      </c>
      <c r="Q332" s="19" t="s">
        <v>2653</v>
      </c>
      <c r="R332" s="19"/>
      <c r="S332" s="19"/>
      <c r="U332" s="19"/>
      <c r="W332" s="19"/>
      <c r="X332" s="19" t="s">
        <v>1412</v>
      </c>
      <c r="Y332" s="27" t="s">
        <v>147</v>
      </c>
      <c r="Z332" s="27" t="s">
        <v>78</v>
      </c>
      <c r="AA332" s="27" t="s">
        <v>78</v>
      </c>
      <c r="AB332" s="27" t="s">
        <v>78</v>
      </c>
      <c r="AC332" s="37" t="s">
        <v>78</v>
      </c>
      <c r="AD332" s="38" t="s">
        <v>78</v>
      </c>
      <c r="AE332" s="36">
        <v>45839</v>
      </c>
      <c r="AF332" s="19" t="s">
        <v>293</v>
      </c>
      <c r="AG332" s="19" t="s">
        <v>294</v>
      </c>
      <c r="AH332" s="19" t="s">
        <v>62</v>
      </c>
      <c r="AI332" s="19" t="s">
        <v>63</v>
      </c>
      <c r="AJ332" s="19" t="s">
        <v>2654</v>
      </c>
      <c r="AK332" s="19"/>
      <c r="AL332" s="19"/>
      <c r="AM332" s="19"/>
      <c r="AN332" s="19" t="s">
        <v>65</v>
      </c>
      <c r="AO332" s="23">
        <v>45845.668749999997</v>
      </c>
      <c r="AP332" s="26">
        <f t="shared" si="11"/>
        <v>87</v>
      </c>
    </row>
    <row r="333" spans="1:42" ht="25.5" hidden="1" customHeight="1">
      <c r="A333" s="19" t="s">
        <v>42</v>
      </c>
      <c r="C333" s="19" t="s">
        <v>2655</v>
      </c>
      <c r="D333" s="19" t="s">
        <v>45</v>
      </c>
      <c r="E333" s="19" t="s">
        <v>46</v>
      </c>
      <c r="F333" s="19" t="s">
        <v>2656</v>
      </c>
      <c r="G333" s="19" t="s">
        <v>48</v>
      </c>
      <c r="H333" s="19" t="s">
        <v>49</v>
      </c>
      <c r="I333" s="20">
        <v>45846.488194444442</v>
      </c>
      <c r="K333" s="19"/>
      <c r="L333" s="20">
        <v>45846.498611111107</v>
      </c>
      <c r="M333" s="19"/>
      <c r="N333" s="22">
        <f t="shared" si="10"/>
        <v>1.0416666664241347E-2</v>
      </c>
      <c r="O333" s="19" t="s">
        <v>63</v>
      </c>
      <c r="P333" s="19" t="s">
        <v>2657</v>
      </c>
      <c r="Q333" s="19" t="s">
        <v>2658</v>
      </c>
      <c r="R333" s="19"/>
      <c r="S333" s="19"/>
      <c r="U333" s="19"/>
      <c r="W333" s="19"/>
      <c r="X333" s="19" t="s">
        <v>2659</v>
      </c>
      <c r="Y333" s="27" t="s">
        <v>54</v>
      </c>
      <c r="Z333" s="27" t="s">
        <v>123</v>
      </c>
      <c r="AA333" s="27" t="s">
        <v>2660</v>
      </c>
      <c r="AB333" s="27" t="s">
        <v>2661</v>
      </c>
      <c r="AC333" s="37">
        <v>45846.497916666667</v>
      </c>
      <c r="AD333" s="38">
        <v>45846.504861111112</v>
      </c>
      <c r="AE333" s="36">
        <v>45839</v>
      </c>
      <c r="AF333" s="19" t="s">
        <v>89</v>
      </c>
      <c r="AG333" s="19" t="s">
        <v>90</v>
      </c>
      <c r="AH333" s="19" t="s">
        <v>62</v>
      </c>
      <c r="AI333" s="19" t="s">
        <v>63</v>
      </c>
      <c r="AJ333" s="19" t="s">
        <v>2662</v>
      </c>
      <c r="AK333" s="19"/>
      <c r="AL333" s="19"/>
      <c r="AM333" s="19"/>
      <c r="AN333" s="19" t="s">
        <v>65</v>
      </c>
      <c r="AO333" s="23">
        <v>45846.488194444442</v>
      </c>
      <c r="AP333" s="26">
        <f t="shared" si="11"/>
        <v>15</v>
      </c>
    </row>
    <row r="334" spans="1:42" ht="25.5" hidden="1" customHeight="1">
      <c r="A334" s="19" t="s">
        <v>42</v>
      </c>
      <c r="B334" s="19" t="s">
        <v>2100</v>
      </c>
      <c r="C334" s="19" t="s">
        <v>336</v>
      </c>
      <c r="D334" s="19" t="s">
        <v>45</v>
      </c>
      <c r="E334" s="19" t="s">
        <v>46</v>
      </c>
      <c r="F334" s="19" t="s">
        <v>2663</v>
      </c>
      <c r="G334" s="19" t="s">
        <v>48</v>
      </c>
      <c r="H334" s="19" t="s">
        <v>49</v>
      </c>
      <c r="I334" s="20">
        <v>45846.56527777778</v>
      </c>
      <c r="K334" s="19"/>
      <c r="L334" s="20">
        <v>45846.568055555559</v>
      </c>
      <c r="M334" s="19"/>
      <c r="N334" s="22">
        <f t="shared" si="10"/>
        <v>2.7777777795563452E-3</v>
      </c>
      <c r="O334" s="19" t="s">
        <v>50</v>
      </c>
      <c r="P334" s="19" t="s">
        <v>2664</v>
      </c>
      <c r="Q334" s="19" t="s">
        <v>2665</v>
      </c>
      <c r="R334" s="19"/>
      <c r="S334" s="19"/>
      <c r="U334" s="19"/>
      <c r="W334" s="19"/>
      <c r="X334" s="19" t="s">
        <v>314</v>
      </c>
      <c r="Y334" s="27" t="s">
        <v>147</v>
      </c>
      <c r="Z334" s="27" t="s">
        <v>78</v>
      </c>
      <c r="AA334" s="27" t="s">
        <v>78</v>
      </c>
      <c r="AB334" s="27" t="s">
        <v>78</v>
      </c>
      <c r="AC334" s="37" t="s">
        <v>78</v>
      </c>
      <c r="AD334" s="38" t="s">
        <v>78</v>
      </c>
      <c r="AE334" s="36">
        <v>45839</v>
      </c>
      <c r="AF334" s="19" t="s">
        <v>89</v>
      </c>
      <c r="AG334" s="19" t="s">
        <v>90</v>
      </c>
      <c r="AH334" s="19" t="s">
        <v>62</v>
      </c>
      <c r="AI334" s="19" t="s">
        <v>63</v>
      </c>
      <c r="AJ334" s="19" t="s">
        <v>2666</v>
      </c>
      <c r="AK334" s="19"/>
      <c r="AL334" s="19"/>
      <c r="AM334" s="19"/>
      <c r="AN334" s="19" t="s">
        <v>103</v>
      </c>
      <c r="AO334" s="23">
        <v>45846.56527777778</v>
      </c>
      <c r="AP334" s="26">
        <f t="shared" si="11"/>
        <v>4</v>
      </c>
    </row>
    <row r="335" spans="1:42" ht="25.5" hidden="1" customHeight="1">
      <c r="A335" s="19" t="s">
        <v>42</v>
      </c>
      <c r="C335" s="19" t="s">
        <v>2667</v>
      </c>
      <c r="D335" s="19" t="s">
        <v>45</v>
      </c>
      <c r="E335" s="19" t="s">
        <v>46</v>
      </c>
      <c r="F335" s="19" t="s">
        <v>2668</v>
      </c>
      <c r="G335" s="19" t="s">
        <v>48</v>
      </c>
      <c r="H335" s="19" t="s">
        <v>49</v>
      </c>
      <c r="I335" s="20">
        <v>45847</v>
      </c>
      <c r="K335" s="19"/>
      <c r="L335" s="20">
        <v>45847.729166666657</v>
      </c>
      <c r="M335" s="19"/>
      <c r="N335" s="22">
        <f t="shared" si="10"/>
        <v>0.72916666665696539</v>
      </c>
      <c r="O335" s="19" t="s">
        <v>63</v>
      </c>
      <c r="P335" s="19" t="s">
        <v>2669</v>
      </c>
      <c r="Q335" s="19" t="s">
        <v>2670</v>
      </c>
      <c r="R335" s="19"/>
      <c r="S335" s="19"/>
      <c r="U335" s="19"/>
      <c r="W335" s="19"/>
      <c r="X335" s="19" t="s">
        <v>72</v>
      </c>
      <c r="Y335" s="27" t="s">
        <v>147</v>
      </c>
      <c r="Z335" s="27" t="s">
        <v>78</v>
      </c>
      <c r="AA335" s="27" t="s">
        <v>78</v>
      </c>
      <c r="AB335" s="27" t="s">
        <v>78</v>
      </c>
      <c r="AC335" s="37" t="s">
        <v>78</v>
      </c>
      <c r="AD335" s="38" t="s">
        <v>78</v>
      </c>
      <c r="AE335" s="36">
        <v>45839</v>
      </c>
      <c r="AF335" s="19" t="s">
        <v>78</v>
      </c>
      <c r="AG335" s="19" t="s">
        <v>78</v>
      </c>
      <c r="AH335" s="19" t="s">
        <v>62</v>
      </c>
      <c r="AI335" s="19" t="s">
        <v>63</v>
      </c>
      <c r="AJ335" s="19" t="s">
        <v>2671</v>
      </c>
      <c r="AK335" s="19"/>
      <c r="AL335" s="19"/>
      <c r="AM335" s="19"/>
      <c r="AN335" s="19" t="s">
        <v>65</v>
      </c>
      <c r="AO335" s="23">
        <v>45847.754166666673</v>
      </c>
      <c r="AP335" s="26">
        <f t="shared" si="11"/>
        <v>1050</v>
      </c>
    </row>
    <row r="336" spans="1:42" ht="25.5" hidden="1" customHeight="1">
      <c r="A336" s="19" t="s">
        <v>42</v>
      </c>
      <c r="C336" s="19" t="s">
        <v>2672</v>
      </c>
      <c r="D336" s="19" t="s">
        <v>45</v>
      </c>
      <c r="E336" s="19" t="s">
        <v>46</v>
      </c>
      <c r="F336" s="19" t="s">
        <v>2673</v>
      </c>
      <c r="G336" s="19" t="s">
        <v>48</v>
      </c>
      <c r="H336" s="19" t="s">
        <v>49</v>
      </c>
      <c r="I336" s="20">
        <v>45847.291666666657</v>
      </c>
      <c r="K336" s="19"/>
      <c r="L336" s="20">
        <v>45847.833333333343</v>
      </c>
      <c r="M336" s="19"/>
      <c r="N336" s="22">
        <f t="shared" ref="N336:N399" si="12">L336-I336</f>
        <v>0.54166666668606922</v>
      </c>
      <c r="O336" s="19" t="s">
        <v>63</v>
      </c>
      <c r="P336" s="19" t="s">
        <v>2674</v>
      </c>
      <c r="Q336" s="19" t="s">
        <v>2675</v>
      </c>
      <c r="R336" s="19"/>
      <c r="S336" s="19"/>
      <c r="U336" s="19"/>
      <c r="W336" s="19"/>
      <c r="X336" s="19" t="s">
        <v>72</v>
      </c>
      <c r="Y336" s="27" t="s">
        <v>147</v>
      </c>
      <c r="Z336" s="27" t="s">
        <v>78</v>
      </c>
      <c r="AA336" s="27" t="s">
        <v>78</v>
      </c>
      <c r="AB336" s="27" t="s">
        <v>78</v>
      </c>
      <c r="AC336" s="37" t="s">
        <v>78</v>
      </c>
      <c r="AD336" s="38" t="s">
        <v>78</v>
      </c>
      <c r="AE336" s="36">
        <v>45839</v>
      </c>
      <c r="AF336" s="19" t="s">
        <v>89</v>
      </c>
      <c r="AG336" s="19" t="s">
        <v>90</v>
      </c>
      <c r="AH336" s="19" t="s">
        <v>62</v>
      </c>
      <c r="AI336" s="19" t="s">
        <v>63</v>
      </c>
      <c r="AJ336" s="19" t="s">
        <v>2676</v>
      </c>
      <c r="AK336" s="19"/>
      <c r="AL336" s="19"/>
      <c r="AM336" s="19"/>
      <c r="AN336" s="19" t="s">
        <v>65</v>
      </c>
      <c r="AO336" s="23">
        <v>45847.609027777777</v>
      </c>
      <c r="AP336" s="26">
        <f t="shared" ref="AP336:AP399" si="13">((HOUR(N336)*60)+MINUTE(N336)+(SECOND(N336)/60))</f>
        <v>780</v>
      </c>
    </row>
    <row r="337" spans="1:42" ht="25.5" hidden="1" customHeight="1">
      <c r="A337" s="19" t="s">
        <v>285</v>
      </c>
      <c r="C337" s="19" t="s">
        <v>2677</v>
      </c>
      <c r="D337" s="19" t="s">
        <v>45</v>
      </c>
      <c r="E337" s="19" t="s">
        <v>46</v>
      </c>
      <c r="F337" s="19" t="s">
        <v>2678</v>
      </c>
      <c r="G337" s="19" t="s">
        <v>48</v>
      </c>
      <c r="H337" s="19" t="s">
        <v>49</v>
      </c>
      <c r="I337" s="20">
        <v>45847.323611111111</v>
      </c>
      <c r="K337" s="19"/>
      <c r="L337" s="20">
        <v>45847.347222222219</v>
      </c>
      <c r="M337" s="19"/>
      <c r="N337" s="22">
        <f t="shared" si="12"/>
        <v>2.361111110803904E-2</v>
      </c>
      <c r="O337" s="19" t="s">
        <v>50</v>
      </c>
      <c r="P337" s="19" t="s">
        <v>2679</v>
      </c>
      <c r="Q337" s="19" t="s">
        <v>2680</v>
      </c>
      <c r="R337" s="19"/>
      <c r="S337" s="19"/>
      <c r="U337" s="19"/>
      <c r="W337" s="19"/>
      <c r="X337" s="19" t="s">
        <v>314</v>
      </c>
      <c r="Y337" s="27" t="s">
        <v>133</v>
      </c>
      <c r="Z337" s="27" t="s">
        <v>196</v>
      </c>
      <c r="AA337" s="27" t="s">
        <v>2681</v>
      </c>
      <c r="AB337" s="27" t="s">
        <v>2682</v>
      </c>
      <c r="AC337" s="37" t="s">
        <v>2683</v>
      </c>
      <c r="AD337" s="38" t="s">
        <v>2684</v>
      </c>
      <c r="AE337" s="36">
        <v>45839</v>
      </c>
      <c r="AF337" s="19" t="s">
        <v>89</v>
      </c>
      <c r="AG337" s="19" t="s">
        <v>90</v>
      </c>
      <c r="AH337" s="19" t="s">
        <v>62</v>
      </c>
      <c r="AI337" s="19" t="s">
        <v>63</v>
      </c>
      <c r="AJ337" s="19" t="s">
        <v>2685</v>
      </c>
      <c r="AK337" s="19"/>
      <c r="AL337" s="19"/>
      <c r="AM337" s="19"/>
      <c r="AN337" s="19" t="s">
        <v>65</v>
      </c>
      <c r="AO337" s="23">
        <v>45847.323611111111</v>
      </c>
      <c r="AP337" s="26">
        <f t="shared" si="13"/>
        <v>34</v>
      </c>
    </row>
    <row r="338" spans="1:42" ht="25.5" hidden="1" customHeight="1">
      <c r="A338" s="19" t="s">
        <v>42</v>
      </c>
      <c r="B338" s="19" t="s">
        <v>410</v>
      </c>
      <c r="C338" s="19" t="s">
        <v>105</v>
      </c>
      <c r="D338" s="19" t="s">
        <v>45</v>
      </c>
      <c r="E338" s="19" t="s">
        <v>46</v>
      </c>
      <c r="F338" s="19" t="s">
        <v>2686</v>
      </c>
      <c r="G338" s="19" t="s">
        <v>48</v>
      </c>
      <c r="H338" s="19" t="s">
        <v>49</v>
      </c>
      <c r="I338" s="20">
        <v>45847.560416666667</v>
      </c>
      <c r="K338" s="19"/>
      <c r="L338" s="20">
        <v>45847.573611111111</v>
      </c>
      <c r="M338" s="19"/>
      <c r="N338" s="22">
        <f t="shared" si="12"/>
        <v>1.3194444443797693E-2</v>
      </c>
      <c r="O338" s="19" t="s">
        <v>50</v>
      </c>
      <c r="P338" s="19" t="s">
        <v>2687</v>
      </c>
      <c r="Q338" s="19" t="s">
        <v>2688</v>
      </c>
      <c r="R338" s="19"/>
      <c r="S338" s="19"/>
      <c r="U338" s="19"/>
      <c r="W338" s="19"/>
      <c r="X338" s="19" t="s">
        <v>109</v>
      </c>
      <c r="Y338" s="27" t="s">
        <v>147</v>
      </c>
      <c r="Z338" s="27" t="s">
        <v>78</v>
      </c>
      <c r="AA338" s="27" t="s">
        <v>78</v>
      </c>
      <c r="AB338" s="27" t="s">
        <v>78</v>
      </c>
      <c r="AC338" s="37" t="s">
        <v>78</v>
      </c>
      <c r="AD338" s="38" t="s">
        <v>78</v>
      </c>
      <c r="AE338" s="36">
        <v>45839</v>
      </c>
      <c r="AF338" s="19" t="s">
        <v>78</v>
      </c>
      <c r="AG338" s="19" t="s">
        <v>78</v>
      </c>
      <c r="AH338" s="19" t="s">
        <v>78</v>
      </c>
      <c r="AI338" s="19" t="s">
        <v>63</v>
      </c>
      <c r="AJ338" s="19" t="s">
        <v>2689</v>
      </c>
      <c r="AK338" s="19"/>
      <c r="AL338" s="19"/>
      <c r="AM338" s="19"/>
      <c r="AN338" s="19" t="s">
        <v>103</v>
      </c>
      <c r="AO338" s="23">
        <v>45847.573611111111</v>
      </c>
      <c r="AP338" s="26">
        <f t="shared" si="13"/>
        <v>19</v>
      </c>
    </row>
    <row r="339" spans="1:42" ht="25.5" hidden="1" customHeight="1">
      <c r="A339" s="19" t="s">
        <v>285</v>
      </c>
      <c r="B339" s="19" t="s">
        <v>2690</v>
      </c>
      <c r="C339" s="19" t="s">
        <v>2691</v>
      </c>
      <c r="D339" s="19" t="s">
        <v>45</v>
      </c>
      <c r="E339" s="19" t="s">
        <v>46</v>
      </c>
      <c r="F339" s="19" t="s">
        <v>2692</v>
      </c>
      <c r="G339" s="19" t="s">
        <v>48</v>
      </c>
      <c r="H339" s="19" t="s">
        <v>49</v>
      </c>
      <c r="I339" s="20">
        <v>45847.893055555563</v>
      </c>
      <c r="K339" s="19"/>
      <c r="L339" s="20">
        <v>45847.909722222219</v>
      </c>
      <c r="M339" s="19"/>
      <c r="N339" s="22">
        <f t="shared" si="12"/>
        <v>1.6666666655510198E-2</v>
      </c>
      <c r="O339" s="19" t="s">
        <v>50</v>
      </c>
      <c r="P339" s="19" t="s">
        <v>2693</v>
      </c>
      <c r="Q339" s="19" t="s">
        <v>2694</v>
      </c>
      <c r="R339" s="19"/>
      <c r="S339" s="19"/>
      <c r="U339" s="19"/>
      <c r="W339" s="19"/>
      <c r="X339" s="19" t="s">
        <v>2695</v>
      </c>
      <c r="Y339" s="27" t="s">
        <v>133</v>
      </c>
      <c r="Z339" s="27" t="s">
        <v>2696</v>
      </c>
      <c r="AA339" s="27" t="s">
        <v>2697</v>
      </c>
      <c r="AB339" s="27" t="s">
        <v>2698</v>
      </c>
      <c r="AC339" s="37" t="s">
        <v>2699</v>
      </c>
      <c r="AD339" s="38" t="s">
        <v>2700</v>
      </c>
      <c r="AE339" s="36">
        <v>45839</v>
      </c>
      <c r="AF339" s="19" t="s">
        <v>89</v>
      </c>
      <c r="AG339" s="19" t="s">
        <v>90</v>
      </c>
      <c r="AH339" s="19" t="s">
        <v>62</v>
      </c>
      <c r="AI339" s="19" t="s">
        <v>63</v>
      </c>
      <c r="AJ339" s="19" t="s">
        <v>2701</v>
      </c>
      <c r="AK339" s="19" t="s">
        <v>2702</v>
      </c>
      <c r="AL339" s="19"/>
      <c r="AM339" s="19"/>
      <c r="AN339" s="19" t="s">
        <v>128</v>
      </c>
      <c r="AO339" s="23">
        <v>45847.901388888888</v>
      </c>
      <c r="AP339" s="26">
        <f t="shared" si="13"/>
        <v>24</v>
      </c>
    </row>
    <row r="340" spans="1:42" ht="25.5" hidden="1" customHeight="1">
      <c r="A340" s="19" t="s">
        <v>42</v>
      </c>
      <c r="C340" s="19" t="s">
        <v>752</v>
      </c>
      <c r="D340" s="19" t="s">
        <v>45</v>
      </c>
      <c r="E340" s="19" t="s">
        <v>46</v>
      </c>
      <c r="F340" s="19" t="s">
        <v>2703</v>
      </c>
      <c r="G340" s="19" t="s">
        <v>48</v>
      </c>
      <c r="H340" s="19" t="s">
        <v>49</v>
      </c>
      <c r="I340" s="20">
        <v>45848.291666666657</v>
      </c>
      <c r="K340" s="19"/>
      <c r="L340" s="20">
        <v>45848.354166666657</v>
      </c>
      <c r="M340" s="19"/>
      <c r="N340" s="22">
        <f t="shared" si="12"/>
        <v>6.25E-2</v>
      </c>
      <c r="O340" s="19" t="s">
        <v>50</v>
      </c>
      <c r="P340" s="19" t="s">
        <v>2704</v>
      </c>
      <c r="Q340" s="19" t="s">
        <v>2705</v>
      </c>
      <c r="R340" s="19"/>
      <c r="S340" s="19"/>
      <c r="U340" s="19"/>
      <c r="W340" s="19"/>
      <c r="X340" s="19" t="s">
        <v>72</v>
      </c>
      <c r="Y340" s="27" t="s">
        <v>54</v>
      </c>
      <c r="Z340" s="27" t="s">
        <v>123</v>
      </c>
      <c r="AA340" s="27" t="s">
        <v>2706</v>
      </c>
      <c r="AB340" s="27" t="s">
        <v>2707</v>
      </c>
      <c r="AC340" s="37">
        <v>45848.338194444441</v>
      </c>
      <c r="AD340" s="38">
        <v>45848.362500000003</v>
      </c>
      <c r="AE340" s="36">
        <v>45839</v>
      </c>
      <c r="AF340" s="19" t="s">
        <v>99</v>
      </c>
      <c r="AG340" s="19" t="s">
        <v>100</v>
      </c>
      <c r="AH340" s="19" t="s">
        <v>62</v>
      </c>
      <c r="AI340" s="19" t="s">
        <v>63</v>
      </c>
      <c r="AJ340" s="19" t="s">
        <v>2708</v>
      </c>
      <c r="AK340" s="19" t="s">
        <v>2709</v>
      </c>
      <c r="AL340" s="19"/>
      <c r="AM340" s="19"/>
      <c r="AN340" s="19" t="s">
        <v>65</v>
      </c>
      <c r="AO340" s="23">
        <v>45848.333333333343</v>
      </c>
      <c r="AP340" s="26">
        <f t="shared" si="13"/>
        <v>90</v>
      </c>
    </row>
    <row r="341" spans="1:42" ht="25.5" customHeight="1">
      <c r="A341" s="19" t="s">
        <v>42</v>
      </c>
      <c r="B341" s="19" t="s">
        <v>66</v>
      </c>
      <c r="C341" s="19" t="s">
        <v>682</v>
      </c>
      <c r="D341" s="19" t="s">
        <v>45</v>
      </c>
      <c r="E341" s="19" t="s">
        <v>46</v>
      </c>
      <c r="F341" s="19" t="s">
        <v>2710</v>
      </c>
      <c r="G341" s="19" t="s">
        <v>48</v>
      </c>
      <c r="H341" s="19" t="s">
        <v>69</v>
      </c>
      <c r="I341" s="20">
        <v>45848.354166666657</v>
      </c>
      <c r="K341" s="19"/>
      <c r="L341" s="20">
        <v>45848.8125</v>
      </c>
      <c r="M341" s="19"/>
      <c r="N341" s="22">
        <f t="shared" si="12"/>
        <v>0.45833333334303461</v>
      </c>
      <c r="O341" s="19" t="s">
        <v>63</v>
      </c>
      <c r="P341" s="19" t="s">
        <v>2711</v>
      </c>
      <c r="Q341" s="19" t="s">
        <v>2712</v>
      </c>
      <c r="R341" s="19"/>
      <c r="S341" s="19"/>
      <c r="U341" s="19"/>
      <c r="W341" s="19"/>
      <c r="X341" s="19" t="s">
        <v>72</v>
      </c>
      <c r="Y341" s="27" t="s">
        <v>147</v>
      </c>
      <c r="Z341" s="27" t="s">
        <v>78</v>
      </c>
      <c r="AA341" s="27" t="s">
        <v>78</v>
      </c>
      <c r="AB341" s="27" t="s">
        <v>78</v>
      </c>
      <c r="AC341" s="37" t="s">
        <v>78</v>
      </c>
      <c r="AD341" s="38" t="s">
        <v>78</v>
      </c>
      <c r="AE341" s="36">
        <v>45839</v>
      </c>
      <c r="AF341" s="19" t="s">
        <v>78</v>
      </c>
      <c r="AG341" s="19" t="s">
        <v>78</v>
      </c>
      <c r="AH341" s="19" t="s">
        <v>62</v>
      </c>
      <c r="AI341" s="19" t="s">
        <v>63</v>
      </c>
      <c r="AJ341" s="19" t="s">
        <v>2713</v>
      </c>
      <c r="AK341" s="19"/>
      <c r="AL341" s="19"/>
      <c r="AM341" s="19"/>
      <c r="AN341" s="19" t="s">
        <v>65</v>
      </c>
      <c r="AO341" s="23">
        <v>45848.849305555559</v>
      </c>
      <c r="AP341" s="26">
        <f t="shared" si="13"/>
        <v>660</v>
      </c>
    </row>
    <row r="342" spans="1:42" ht="25.5" hidden="1" customHeight="1">
      <c r="A342" s="19" t="s">
        <v>42</v>
      </c>
      <c r="B342" s="19" t="s">
        <v>43</v>
      </c>
      <c r="C342" s="19" t="s">
        <v>2714</v>
      </c>
      <c r="D342" s="19" t="s">
        <v>45</v>
      </c>
      <c r="E342" s="19" t="s">
        <v>46</v>
      </c>
      <c r="F342" s="19" t="s">
        <v>2715</v>
      </c>
      <c r="G342" s="19" t="s">
        <v>48</v>
      </c>
      <c r="H342" s="19" t="s">
        <v>49</v>
      </c>
      <c r="I342" s="20">
        <v>45848.679166666669</v>
      </c>
      <c r="K342" s="19"/>
      <c r="L342" s="20">
        <v>45848.736111111109</v>
      </c>
      <c r="M342" s="19"/>
      <c r="N342" s="22">
        <f t="shared" si="12"/>
        <v>5.694444444088731E-2</v>
      </c>
      <c r="O342" s="19" t="s">
        <v>63</v>
      </c>
      <c r="P342" s="19" t="s">
        <v>2716</v>
      </c>
      <c r="Q342" s="19" t="s">
        <v>2717</v>
      </c>
      <c r="R342" s="19"/>
      <c r="S342" s="19"/>
      <c r="U342" s="19"/>
      <c r="W342" s="19"/>
      <c r="X342" s="19" t="s">
        <v>98</v>
      </c>
      <c r="Y342" s="27" t="s">
        <v>147</v>
      </c>
      <c r="Z342" s="27" t="s">
        <v>78</v>
      </c>
      <c r="AA342" s="27" t="s">
        <v>78</v>
      </c>
      <c r="AB342" s="27" t="s">
        <v>78</v>
      </c>
      <c r="AC342" s="37" t="s">
        <v>78</v>
      </c>
      <c r="AD342" s="38" t="s">
        <v>78</v>
      </c>
      <c r="AE342" s="36">
        <v>45839</v>
      </c>
      <c r="AF342" s="19" t="s">
        <v>89</v>
      </c>
      <c r="AG342" s="19" t="s">
        <v>90</v>
      </c>
      <c r="AH342" s="19" t="s">
        <v>62</v>
      </c>
      <c r="AI342" s="19" t="s">
        <v>63</v>
      </c>
      <c r="AJ342" s="19" t="s">
        <v>2718</v>
      </c>
      <c r="AK342" s="19"/>
      <c r="AL342" s="19"/>
      <c r="AM342" s="19"/>
      <c r="AN342" s="19" t="s">
        <v>103</v>
      </c>
      <c r="AO342" s="23">
        <v>45848.677777777782</v>
      </c>
      <c r="AP342" s="26">
        <f t="shared" si="13"/>
        <v>82</v>
      </c>
    </row>
    <row r="343" spans="1:42" ht="25.5" hidden="1" customHeight="1">
      <c r="A343" s="19" t="s">
        <v>285</v>
      </c>
      <c r="B343" s="19" t="s">
        <v>43</v>
      </c>
      <c r="C343" s="19" t="s">
        <v>1767</v>
      </c>
      <c r="D343" s="19" t="s">
        <v>45</v>
      </c>
      <c r="E343" s="19" t="s">
        <v>46</v>
      </c>
      <c r="F343" s="19" t="s">
        <v>2719</v>
      </c>
      <c r="G343" s="19" t="s">
        <v>48</v>
      </c>
      <c r="H343" s="19" t="s">
        <v>49</v>
      </c>
      <c r="I343" s="20">
        <v>45848.697916666657</v>
      </c>
      <c r="K343" s="19"/>
      <c r="L343" s="20">
        <v>45848.725694444453</v>
      </c>
      <c r="M343" s="19"/>
      <c r="N343" s="22">
        <f t="shared" si="12"/>
        <v>2.7777777795563452E-2</v>
      </c>
      <c r="O343" s="19" t="s">
        <v>50</v>
      </c>
      <c r="P343" s="19" t="s">
        <v>2720</v>
      </c>
      <c r="Q343" s="19" t="s">
        <v>2721</v>
      </c>
      <c r="R343" s="19"/>
      <c r="S343" s="19"/>
      <c r="U343" s="19"/>
      <c r="W343" s="19"/>
      <c r="X343" s="19" t="s">
        <v>98</v>
      </c>
      <c r="Y343" s="27" t="s">
        <v>54</v>
      </c>
      <c r="Z343" s="27" t="s">
        <v>259</v>
      </c>
      <c r="AA343" s="27" t="s">
        <v>2722</v>
      </c>
      <c r="AB343" s="27" t="s">
        <v>2723</v>
      </c>
      <c r="AC343" s="37" t="s">
        <v>2724</v>
      </c>
      <c r="AD343" s="38" t="s">
        <v>2725</v>
      </c>
      <c r="AE343" s="36">
        <v>45839</v>
      </c>
      <c r="AF343" s="19" t="s">
        <v>293</v>
      </c>
      <c r="AG343" s="19" t="s">
        <v>307</v>
      </c>
      <c r="AH343" s="19" t="s">
        <v>62</v>
      </c>
      <c r="AI343" s="19" t="s">
        <v>63</v>
      </c>
      <c r="AJ343" s="19" t="s">
        <v>2726</v>
      </c>
      <c r="AK343" s="19"/>
      <c r="AL343" s="19"/>
      <c r="AM343" s="19"/>
      <c r="AN343" s="19" t="s">
        <v>65</v>
      </c>
      <c r="AO343" s="23">
        <v>45848.697916666657</v>
      </c>
      <c r="AP343" s="26">
        <f t="shared" si="13"/>
        <v>40</v>
      </c>
    </row>
    <row r="344" spans="1:42" ht="25.5" hidden="1" customHeight="1">
      <c r="A344" s="19" t="s">
        <v>42</v>
      </c>
      <c r="B344" s="19" t="s">
        <v>186</v>
      </c>
      <c r="C344" s="19" t="s">
        <v>577</v>
      </c>
      <c r="D344" s="19" t="s">
        <v>45</v>
      </c>
      <c r="E344" s="19" t="s">
        <v>967</v>
      </c>
      <c r="F344" s="19" t="s">
        <v>2727</v>
      </c>
      <c r="G344" s="19" t="s">
        <v>48</v>
      </c>
      <c r="H344" s="19" t="s">
        <v>49</v>
      </c>
      <c r="I344" s="20">
        <v>45848.713888888888</v>
      </c>
      <c r="K344" s="19"/>
      <c r="L344" s="20">
        <v>45848.765277777777</v>
      </c>
      <c r="M344" s="19"/>
      <c r="N344" s="22">
        <f t="shared" si="12"/>
        <v>5.1388888889050577E-2</v>
      </c>
      <c r="O344" s="19" t="s">
        <v>63</v>
      </c>
      <c r="P344" s="19" t="s">
        <v>2728</v>
      </c>
      <c r="Q344" s="19" t="s">
        <v>2729</v>
      </c>
      <c r="R344" s="19"/>
      <c r="S344" s="19"/>
      <c r="U344" s="19"/>
      <c r="W344" s="19"/>
      <c r="X344" s="19" t="s">
        <v>191</v>
      </c>
      <c r="Y344" s="27" t="s">
        <v>147</v>
      </c>
      <c r="Z344" s="27" t="s">
        <v>78</v>
      </c>
      <c r="AA344" s="27" t="s">
        <v>78</v>
      </c>
      <c r="AB344" s="27" t="s">
        <v>78</v>
      </c>
      <c r="AC344" s="37" t="s">
        <v>78</v>
      </c>
      <c r="AD344" s="38" t="s">
        <v>78</v>
      </c>
      <c r="AE344" s="36">
        <v>45839</v>
      </c>
      <c r="AF344" s="19" t="s">
        <v>89</v>
      </c>
      <c r="AG344" s="19" t="s">
        <v>90</v>
      </c>
      <c r="AH344" s="19" t="s">
        <v>62</v>
      </c>
      <c r="AI344" s="19" t="s">
        <v>63</v>
      </c>
      <c r="AJ344" s="19" t="s">
        <v>2730</v>
      </c>
      <c r="AK344" s="19"/>
      <c r="AL344" s="19"/>
      <c r="AM344" s="19"/>
      <c r="AN344" s="19" t="s">
        <v>65</v>
      </c>
      <c r="AO344" s="23">
        <v>45848.713888888888</v>
      </c>
      <c r="AP344" s="26">
        <f t="shared" si="13"/>
        <v>74</v>
      </c>
    </row>
    <row r="345" spans="1:42" ht="25.5" hidden="1" customHeight="1">
      <c r="A345" s="19" t="s">
        <v>42</v>
      </c>
      <c r="B345" s="19" t="s">
        <v>2731</v>
      </c>
      <c r="C345" s="19" t="s">
        <v>2732</v>
      </c>
      <c r="D345" s="19" t="s">
        <v>45</v>
      </c>
      <c r="E345" s="19" t="s">
        <v>46</v>
      </c>
      <c r="F345" s="19" t="s">
        <v>2733</v>
      </c>
      <c r="G345" s="19" t="s">
        <v>48</v>
      </c>
      <c r="H345" s="19" t="s">
        <v>49</v>
      </c>
      <c r="I345" s="20">
        <v>45849.085416666669</v>
      </c>
      <c r="K345" s="19"/>
      <c r="L345" s="20">
        <v>45849.101388888892</v>
      </c>
      <c r="M345" s="19"/>
      <c r="N345" s="22">
        <f t="shared" si="12"/>
        <v>1.5972222223354038E-2</v>
      </c>
      <c r="O345" s="19" t="s">
        <v>50</v>
      </c>
      <c r="P345" s="19" t="s">
        <v>2734</v>
      </c>
      <c r="Q345" s="19" t="s">
        <v>2735</v>
      </c>
      <c r="R345" s="19"/>
      <c r="S345" s="19"/>
      <c r="U345" s="19"/>
      <c r="W345" s="19"/>
      <c r="X345" s="19" t="s">
        <v>1288</v>
      </c>
      <c r="Y345" s="27" t="s">
        <v>54</v>
      </c>
      <c r="Z345" s="27" t="s">
        <v>2736</v>
      </c>
      <c r="AA345" s="27" t="s">
        <v>2737</v>
      </c>
      <c r="AB345" s="27" t="s">
        <v>2738</v>
      </c>
      <c r="AC345" s="37" t="s">
        <v>2739</v>
      </c>
      <c r="AD345" s="38" t="s">
        <v>2740</v>
      </c>
      <c r="AE345" s="36">
        <v>45839</v>
      </c>
      <c r="AF345" s="19" t="s">
        <v>89</v>
      </c>
      <c r="AG345" s="19" t="s">
        <v>90</v>
      </c>
      <c r="AH345" s="19" t="s">
        <v>62</v>
      </c>
      <c r="AI345" s="19" t="s">
        <v>63</v>
      </c>
      <c r="AJ345" s="19" t="s">
        <v>2741</v>
      </c>
      <c r="AK345" s="19"/>
      <c r="AL345" s="19"/>
      <c r="AM345" s="19"/>
      <c r="AN345" s="19" t="s">
        <v>128</v>
      </c>
      <c r="AO345" s="23">
        <v>45849.085416666669</v>
      </c>
      <c r="AP345" s="26">
        <f t="shared" si="13"/>
        <v>23</v>
      </c>
    </row>
    <row r="346" spans="1:42" ht="25.5" customHeight="1">
      <c r="A346" s="19" t="s">
        <v>42</v>
      </c>
      <c r="B346" s="19" t="s">
        <v>2742</v>
      </c>
      <c r="C346" s="19" t="s">
        <v>2743</v>
      </c>
      <c r="D346" s="19" t="s">
        <v>45</v>
      </c>
      <c r="E346" s="19" t="s">
        <v>46</v>
      </c>
      <c r="F346" s="19" t="s">
        <v>2744</v>
      </c>
      <c r="G346" s="19" t="s">
        <v>48</v>
      </c>
      <c r="H346" s="19" t="s">
        <v>69</v>
      </c>
      <c r="I346" s="20">
        <v>45849.336805555547</v>
      </c>
      <c r="J346" s="20">
        <v>45849.366666666669</v>
      </c>
      <c r="K346" s="19">
        <v>45849.388888888891</v>
      </c>
      <c r="L346" s="20">
        <v>45849.40625</v>
      </c>
      <c r="M346" s="19"/>
      <c r="N346" s="22">
        <f t="shared" si="12"/>
        <v>6.9444444452528842E-2</v>
      </c>
      <c r="O346" s="19" t="s">
        <v>50</v>
      </c>
      <c r="P346" s="19" t="s">
        <v>2745</v>
      </c>
      <c r="Q346" s="19" t="s">
        <v>2746</v>
      </c>
      <c r="R346" s="19" t="s">
        <v>2747</v>
      </c>
      <c r="S346" s="19" t="s">
        <v>2748</v>
      </c>
      <c r="T346" s="20">
        <v>45849.55327546296</v>
      </c>
      <c r="U346" s="19">
        <v>45853.773611111108</v>
      </c>
      <c r="V346" s="19" t="s">
        <v>157</v>
      </c>
      <c r="W346" s="19"/>
      <c r="X346" s="19" t="s">
        <v>2749</v>
      </c>
      <c r="Y346" s="27" t="s">
        <v>54</v>
      </c>
      <c r="Z346" s="27" t="s">
        <v>2750</v>
      </c>
      <c r="AA346" s="27" t="s">
        <v>2751</v>
      </c>
      <c r="AB346" s="27" t="s">
        <v>2752</v>
      </c>
      <c r="AC346" s="37" t="s">
        <v>2753</v>
      </c>
      <c r="AD346" s="38" t="s">
        <v>2754</v>
      </c>
      <c r="AE346" s="36">
        <v>45839</v>
      </c>
      <c r="AF346" s="19" t="s">
        <v>89</v>
      </c>
      <c r="AG346" s="19" t="s">
        <v>90</v>
      </c>
      <c r="AH346" s="19" t="s">
        <v>62</v>
      </c>
      <c r="AI346" s="19" t="s">
        <v>63</v>
      </c>
      <c r="AJ346" s="19" t="s">
        <v>2755</v>
      </c>
      <c r="AK346" s="19"/>
      <c r="AL346" s="19"/>
      <c r="AM346" s="19"/>
      <c r="AN346" s="19" t="s">
        <v>103</v>
      </c>
      <c r="AO346" s="23">
        <v>45849.336805555547</v>
      </c>
      <c r="AP346" s="26">
        <f t="shared" si="13"/>
        <v>100</v>
      </c>
    </row>
    <row r="347" spans="1:42" ht="25.5" customHeight="1">
      <c r="A347" s="19" t="s">
        <v>116</v>
      </c>
      <c r="B347" s="19" t="s">
        <v>2756</v>
      </c>
      <c r="C347" s="19" t="s">
        <v>2757</v>
      </c>
      <c r="D347" s="19" t="s">
        <v>45</v>
      </c>
      <c r="E347" s="19" t="s">
        <v>46</v>
      </c>
      <c r="F347" s="19" t="s">
        <v>2758</v>
      </c>
      <c r="G347" s="19" t="s">
        <v>48</v>
      </c>
      <c r="H347" s="19" t="s">
        <v>152</v>
      </c>
      <c r="I347" s="20">
        <v>45849.40625</v>
      </c>
      <c r="J347" s="20">
        <v>45849.45208333333</v>
      </c>
      <c r="K347" s="19"/>
      <c r="L347" s="20">
        <v>45849.467361111107</v>
      </c>
      <c r="M347" s="19"/>
      <c r="N347" s="22">
        <f t="shared" si="12"/>
        <v>6.1111111106583849E-2</v>
      </c>
      <c r="O347" s="19" t="s">
        <v>50</v>
      </c>
      <c r="P347" s="19" t="s">
        <v>2759</v>
      </c>
      <c r="Q347" s="19" t="s">
        <v>2760</v>
      </c>
      <c r="R347" s="19" t="s">
        <v>2761</v>
      </c>
      <c r="S347" s="19" t="s">
        <v>2762</v>
      </c>
      <c r="T347" s="20">
        <v>45849.553969907407</v>
      </c>
      <c r="U347" s="19"/>
      <c r="V347" s="19" t="s">
        <v>861</v>
      </c>
      <c r="W347" s="19"/>
      <c r="X347" s="19" t="s">
        <v>1192</v>
      </c>
      <c r="Y347" s="27" t="s">
        <v>54</v>
      </c>
      <c r="Z347" s="27" t="s">
        <v>2763</v>
      </c>
      <c r="AA347" s="27" t="s">
        <v>2764</v>
      </c>
      <c r="AB347" s="27" t="s">
        <v>2765</v>
      </c>
      <c r="AC347" s="37" t="s">
        <v>2766</v>
      </c>
      <c r="AD347" s="38" t="s">
        <v>2767</v>
      </c>
      <c r="AE347" s="36">
        <v>45839</v>
      </c>
      <c r="AF347" s="19" t="s">
        <v>89</v>
      </c>
      <c r="AG347" s="19" t="s">
        <v>90</v>
      </c>
      <c r="AH347" s="19" t="s">
        <v>62</v>
      </c>
      <c r="AI347" s="19" t="s">
        <v>63</v>
      </c>
      <c r="AJ347" s="19" t="s">
        <v>2768</v>
      </c>
      <c r="AK347" s="19"/>
      <c r="AL347" s="19"/>
      <c r="AM347" s="19"/>
      <c r="AN347" s="19" t="s">
        <v>103</v>
      </c>
      <c r="AO347" s="23">
        <v>45849.40625</v>
      </c>
      <c r="AP347" s="26">
        <f t="shared" si="13"/>
        <v>88</v>
      </c>
    </row>
    <row r="348" spans="1:42" ht="25.5" hidden="1" customHeight="1">
      <c r="A348" s="19" t="s">
        <v>285</v>
      </c>
      <c r="B348" s="19" t="s">
        <v>470</v>
      </c>
      <c r="C348" s="19" t="s">
        <v>2769</v>
      </c>
      <c r="D348" s="19" t="s">
        <v>45</v>
      </c>
      <c r="E348" s="19" t="s">
        <v>46</v>
      </c>
      <c r="F348" s="19" t="s">
        <v>2770</v>
      </c>
      <c r="G348" s="19" t="s">
        <v>48</v>
      </c>
      <c r="H348" s="19" t="s">
        <v>49</v>
      </c>
      <c r="I348" s="20">
        <v>45849.668055555558</v>
      </c>
      <c r="K348" s="19"/>
      <c r="L348" s="20">
        <v>45849.691666666673</v>
      </c>
      <c r="M348" s="19"/>
      <c r="N348" s="22">
        <f t="shared" si="12"/>
        <v>2.3611111115314998E-2</v>
      </c>
      <c r="O348" s="19" t="s">
        <v>63</v>
      </c>
      <c r="P348" s="19" t="s">
        <v>2771</v>
      </c>
      <c r="Q348" s="19" t="s">
        <v>2772</v>
      </c>
      <c r="R348" s="19"/>
      <c r="S348" s="19"/>
      <c r="U348" s="19"/>
      <c r="W348" s="19"/>
      <c r="X348" s="19" t="s">
        <v>2596</v>
      </c>
      <c r="Y348" s="27" t="s">
        <v>133</v>
      </c>
      <c r="Z348" s="27" t="s">
        <v>2773</v>
      </c>
      <c r="AA348" s="27" t="s">
        <v>2774</v>
      </c>
      <c r="AB348" s="27" t="s">
        <v>2775</v>
      </c>
      <c r="AC348" s="37" t="s">
        <v>2776</v>
      </c>
      <c r="AD348" s="38" t="s">
        <v>2777</v>
      </c>
      <c r="AE348" s="36">
        <v>45839</v>
      </c>
      <c r="AF348" s="19" t="s">
        <v>89</v>
      </c>
      <c r="AG348" s="19" t="s">
        <v>90</v>
      </c>
      <c r="AH348" s="19" t="s">
        <v>62</v>
      </c>
      <c r="AI348" s="19" t="s">
        <v>63</v>
      </c>
      <c r="AJ348" s="19" t="s">
        <v>2778</v>
      </c>
      <c r="AK348" s="19"/>
      <c r="AL348" s="19"/>
      <c r="AM348" s="19"/>
      <c r="AN348" s="19" t="s">
        <v>65</v>
      </c>
      <c r="AO348" s="23">
        <v>45849.668055555558</v>
      </c>
      <c r="AP348" s="26">
        <f t="shared" si="13"/>
        <v>34</v>
      </c>
    </row>
    <row r="349" spans="1:42" ht="25.5" hidden="1" customHeight="1">
      <c r="A349" s="19" t="s">
        <v>285</v>
      </c>
      <c r="B349" s="19" t="s">
        <v>2605</v>
      </c>
      <c r="C349" s="19" t="s">
        <v>2606</v>
      </c>
      <c r="D349" s="19" t="s">
        <v>45</v>
      </c>
      <c r="E349" s="19" t="s">
        <v>46</v>
      </c>
      <c r="F349" s="19" t="s">
        <v>2779</v>
      </c>
      <c r="G349" s="19" t="s">
        <v>48</v>
      </c>
      <c r="H349" s="19" t="s">
        <v>49</v>
      </c>
      <c r="I349" s="20">
        <v>45850.354166666657</v>
      </c>
      <c r="K349" s="19"/>
      <c r="L349" s="20">
        <v>45850.376388888893</v>
      </c>
      <c r="M349" s="19"/>
      <c r="N349" s="22">
        <f t="shared" si="12"/>
        <v>2.2222222236450762E-2</v>
      </c>
      <c r="O349" s="19" t="s">
        <v>63</v>
      </c>
      <c r="P349" s="19" t="s">
        <v>2780</v>
      </c>
      <c r="Q349" s="19" t="s">
        <v>2781</v>
      </c>
      <c r="R349" s="19"/>
      <c r="S349" s="19"/>
      <c r="U349" s="19"/>
      <c r="W349" s="19"/>
      <c r="X349" s="19" t="s">
        <v>1412</v>
      </c>
      <c r="Y349" s="27" t="s">
        <v>133</v>
      </c>
      <c r="Z349" s="27" t="s">
        <v>414</v>
      </c>
      <c r="AA349" s="27" t="s">
        <v>2782</v>
      </c>
      <c r="AB349" s="27" t="s">
        <v>2783</v>
      </c>
      <c r="AC349" s="37" t="s">
        <v>2784</v>
      </c>
      <c r="AD349" s="38" t="s">
        <v>2785</v>
      </c>
      <c r="AE349" s="36">
        <v>45839</v>
      </c>
      <c r="AF349" s="19" t="s">
        <v>293</v>
      </c>
      <c r="AG349" s="19" t="s">
        <v>294</v>
      </c>
      <c r="AH349" s="19" t="s">
        <v>62</v>
      </c>
      <c r="AI349" s="19" t="s">
        <v>63</v>
      </c>
      <c r="AJ349" s="19" t="s">
        <v>2654</v>
      </c>
      <c r="AK349" s="19"/>
      <c r="AL349" s="19"/>
      <c r="AM349" s="19"/>
      <c r="AN349" s="19" t="s">
        <v>65</v>
      </c>
      <c r="AO349" s="23">
        <v>45850.354166666657</v>
      </c>
      <c r="AP349" s="26">
        <f t="shared" si="13"/>
        <v>32</v>
      </c>
    </row>
    <row r="350" spans="1:42" ht="25.5" hidden="1" customHeight="1">
      <c r="A350" s="19" t="s">
        <v>92</v>
      </c>
      <c r="B350" s="19" t="s">
        <v>2786</v>
      </c>
      <c r="C350" s="19" t="s">
        <v>2480</v>
      </c>
      <c r="D350" s="19" t="s">
        <v>45</v>
      </c>
      <c r="E350" s="19" t="s">
        <v>46</v>
      </c>
      <c r="F350" s="19" t="s">
        <v>2787</v>
      </c>
      <c r="G350" s="19" t="s">
        <v>48</v>
      </c>
      <c r="H350" s="19" t="s">
        <v>49</v>
      </c>
      <c r="I350" s="20">
        <v>45850.422222222223</v>
      </c>
      <c r="K350" s="19"/>
      <c r="L350" s="20">
        <v>45850.486111111109</v>
      </c>
      <c r="M350" s="19"/>
      <c r="N350" s="22">
        <f t="shared" si="12"/>
        <v>6.3888888886140194E-2</v>
      </c>
      <c r="O350" s="19" t="s">
        <v>50</v>
      </c>
      <c r="P350" s="19" t="s">
        <v>2636</v>
      </c>
      <c r="Q350" s="19" t="s">
        <v>2788</v>
      </c>
      <c r="R350" s="19"/>
      <c r="S350" s="19"/>
      <c r="U350" s="19"/>
      <c r="W350" s="19"/>
      <c r="X350" s="19" t="s">
        <v>109</v>
      </c>
      <c r="Y350" s="27" t="s">
        <v>133</v>
      </c>
      <c r="Z350" s="27" t="s">
        <v>414</v>
      </c>
      <c r="AA350" s="27" t="s">
        <v>2789</v>
      </c>
      <c r="AB350" s="27" t="s">
        <v>2790</v>
      </c>
      <c r="AC350" s="37">
        <v>45850.382638888892</v>
      </c>
      <c r="AD350" s="38" t="s">
        <v>2791</v>
      </c>
      <c r="AE350" s="36">
        <v>45839</v>
      </c>
      <c r="AF350" s="19" t="s">
        <v>60</v>
      </c>
      <c r="AG350" s="19" t="s">
        <v>78</v>
      </c>
      <c r="AH350" s="19" t="s">
        <v>78</v>
      </c>
      <c r="AI350" s="19" t="s">
        <v>63</v>
      </c>
      <c r="AJ350" s="19" t="s">
        <v>2792</v>
      </c>
      <c r="AK350" s="19"/>
      <c r="AL350" s="19"/>
      <c r="AM350" s="19"/>
      <c r="AN350" s="19" t="s">
        <v>622</v>
      </c>
      <c r="AO350" s="23">
        <v>45850.429166666669</v>
      </c>
      <c r="AP350" s="26">
        <f t="shared" si="13"/>
        <v>92</v>
      </c>
    </row>
    <row r="351" spans="1:42" ht="25.5" hidden="1" customHeight="1">
      <c r="A351" s="19" t="s">
        <v>42</v>
      </c>
      <c r="B351" s="19" t="s">
        <v>309</v>
      </c>
      <c r="C351" s="19" t="s">
        <v>1637</v>
      </c>
      <c r="D351" s="19" t="s">
        <v>45</v>
      </c>
      <c r="E351" s="19" t="s">
        <v>46</v>
      </c>
      <c r="F351" s="19" t="s">
        <v>2793</v>
      </c>
      <c r="G351" s="19" t="s">
        <v>48</v>
      </c>
      <c r="H351" s="19" t="s">
        <v>49</v>
      </c>
      <c r="I351" s="20">
        <v>45850.586111111108</v>
      </c>
      <c r="K351" s="19"/>
      <c r="L351" s="20">
        <v>45850.808333333327</v>
      </c>
      <c r="M351" s="19"/>
      <c r="N351" s="22">
        <f t="shared" si="12"/>
        <v>0.22222222221898846</v>
      </c>
      <c r="O351" s="19" t="s">
        <v>63</v>
      </c>
      <c r="P351" s="19" t="s">
        <v>2794</v>
      </c>
      <c r="Q351" s="19" t="s">
        <v>2795</v>
      </c>
      <c r="R351" s="19"/>
      <c r="S351" s="19"/>
      <c r="U351" s="19"/>
      <c r="W351" s="19"/>
      <c r="X351" s="19" t="s">
        <v>314</v>
      </c>
      <c r="Y351" s="27" t="s">
        <v>54</v>
      </c>
      <c r="Z351" s="27" t="s">
        <v>123</v>
      </c>
      <c r="AA351" s="27" t="s">
        <v>2796</v>
      </c>
      <c r="AB351" s="27" t="s">
        <v>2797</v>
      </c>
      <c r="AC351" s="37" t="s">
        <v>2798</v>
      </c>
      <c r="AD351" s="38">
        <v>45850.545624999999</v>
      </c>
      <c r="AE351" s="36">
        <v>45839</v>
      </c>
      <c r="AF351" s="19" t="s">
        <v>89</v>
      </c>
      <c r="AG351" s="19" t="s">
        <v>294</v>
      </c>
      <c r="AH351" s="19" t="s">
        <v>62</v>
      </c>
      <c r="AI351" s="19" t="s">
        <v>63</v>
      </c>
      <c r="AJ351" s="19" t="s">
        <v>2799</v>
      </c>
      <c r="AK351" s="19"/>
      <c r="AL351" s="19"/>
      <c r="AM351" s="19"/>
      <c r="AN351" s="19" t="s">
        <v>65</v>
      </c>
      <c r="AO351" s="23">
        <v>45850.586111111108</v>
      </c>
      <c r="AP351" s="26">
        <f t="shared" si="13"/>
        <v>320</v>
      </c>
    </row>
    <row r="352" spans="1:42" ht="25.5" hidden="1" customHeight="1">
      <c r="A352" s="19" t="s">
        <v>42</v>
      </c>
      <c r="B352" s="19" t="s">
        <v>2800</v>
      </c>
      <c r="C352" s="19" t="s">
        <v>2801</v>
      </c>
      <c r="D352" s="19" t="s">
        <v>45</v>
      </c>
      <c r="E352" s="19" t="s">
        <v>46</v>
      </c>
      <c r="F352" s="19" t="s">
        <v>2802</v>
      </c>
      <c r="G352" s="19" t="s">
        <v>48</v>
      </c>
      <c r="H352" s="19" t="s">
        <v>49</v>
      </c>
      <c r="I352" s="20">
        <v>45850.67291666667</v>
      </c>
      <c r="K352" s="19"/>
      <c r="L352" s="20">
        <v>45850.681250000001</v>
      </c>
      <c r="M352" s="19"/>
      <c r="N352" s="22">
        <f t="shared" si="12"/>
        <v>8.333333331393078E-3</v>
      </c>
      <c r="O352" s="19" t="s">
        <v>50</v>
      </c>
      <c r="P352" s="19" t="s">
        <v>2803</v>
      </c>
      <c r="Q352" s="19" t="s">
        <v>2804</v>
      </c>
      <c r="R352" s="19"/>
      <c r="S352" s="19"/>
      <c r="U352" s="19"/>
      <c r="W352" s="19"/>
      <c r="X352" s="19" t="s">
        <v>269</v>
      </c>
      <c r="Y352" s="27" t="s">
        <v>54</v>
      </c>
      <c r="Z352" s="27" t="s">
        <v>196</v>
      </c>
      <c r="AA352" s="27" t="s">
        <v>2805</v>
      </c>
      <c r="AB352" s="27" t="s">
        <v>2806</v>
      </c>
      <c r="AC352" s="37" t="s">
        <v>2807</v>
      </c>
      <c r="AD352" s="38" t="s">
        <v>2808</v>
      </c>
      <c r="AE352" s="36">
        <v>45839</v>
      </c>
      <c r="AF352" s="19" t="s">
        <v>89</v>
      </c>
      <c r="AG352" s="19" t="s">
        <v>90</v>
      </c>
      <c r="AH352" s="19" t="s">
        <v>62</v>
      </c>
      <c r="AI352" s="19" t="s">
        <v>63</v>
      </c>
      <c r="AJ352" s="19" t="s">
        <v>2809</v>
      </c>
      <c r="AK352" s="19"/>
      <c r="AL352" s="19"/>
      <c r="AM352" s="19"/>
      <c r="AN352" s="19" t="s">
        <v>128</v>
      </c>
      <c r="AO352" s="23">
        <v>45850.67291666667</v>
      </c>
      <c r="AP352" s="26">
        <f t="shared" si="13"/>
        <v>12</v>
      </c>
    </row>
    <row r="353" spans="1:42" ht="25.5" hidden="1" customHeight="1">
      <c r="A353" s="19" t="s">
        <v>285</v>
      </c>
      <c r="B353" s="19" t="s">
        <v>2810</v>
      </c>
      <c r="C353" s="19" t="s">
        <v>2811</v>
      </c>
      <c r="D353" s="19" t="s">
        <v>45</v>
      </c>
      <c r="E353" s="19" t="s">
        <v>356</v>
      </c>
      <c r="F353" s="19" t="s">
        <v>2812</v>
      </c>
      <c r="G353" s="19" t="s">
        <v>48</v>
      </c>
      <c r="H353" s="19" t="s">
        <v>49</v>
      </c>
      <c r="I353" s="20">
        <v>45850.714583333327</v>
      </c>
      <c r="K353" s="19"/>
      <c r="L353" s="20">
        <v>45850.744444444441</v>
      </c>
      <c r="M353" s="19"/>
      <c r="N353" s="22">
        <f t="shared" si="12"/>
        <v>2.9861111113859806E-2</v>
      </c>
      <c r="O353" s="19" t="s">
        <v>50</v>
      </c>
      <c r="P353" s="19" t="s">
        <v>2813</v>
      </c>
      <c r="Q353" s="19" t="s">
        <v>2814</v>
      </c>
      <c r="R353" s="19" t="s">
        <v>2815</v>
      </c>
      <c r="S353" s="19" t="s">
        <v>2816</v>
      </c>
      <c r="T353" s="20">
        <v>45850.804409722223</v>
      </c>
      <c r="U353" s="19">
        <v>45854.533333333333</v>
      </c>
      <c r="V353" s="19" t="s">
        <v>157</v>
      </c>
      <c r="W353" s="19"/>
      <c r="X353" s="19" t="s">
        <v>269</v>
      </c>
      <c r="Y353" s="27" t="s">
        <v>133</v>
      </c>
      <c r="Z353" s="27" t="s">
        <v>2817</v>
      </c>
      <c r="AA353" s="27" t="s">
        <v>2818</v>
      </c>
      <c r="AB353" s="27" t="s">
        <v>2819</v>
      </c>
      <c r="AC353" s="37" t="s">
        <v>2820</v>
      </c>
      <c r="AD353" s="38" t="s">
        <v>2821</v>
      </c>
      <c r="AE353" s="36">
        <v>45839</v>
      </c>
      <c r="AF353" s="19" t="s">
        <v>89</v>
      </c>
      <c r="AG353" s="19" t="s">
        <v>656</v>
      </c>
      <c r="AH353" s="19" t="s">
        <v>62</v>
      </c>
      <c r="AI353" s="19" t="s">
        <v>63</v>
      </c>
      <c r="AJ353" s="19" t="s">
        <v>2822</v>
      </c>
      <c r="AK353" s="19"/>
      <c r="AL353" s="19"/>
      <c r="AM353" s="19"/>
      <c r="AN353" s="19" t="s">
        <v>128</v>
      </c>
      <c r="AO353" s="23">
        <v>45850.712500000001</v>
      </c>
      <c r="AP353" s="26">
        <f t="shared" si="13"/>
        <v>43</v>
      </c>
    </row>
    <row r="354" spans="1:42" ht="25.5" hidden="1" customHeight="1">
      <c r="A354" s="19" t="s">
        <v>42</v>
      </c>
      <c r="B354" s="19" t="s">
        <v>309</v>
      </c>
      <c r="C354" s="19" t="s">
        <v>1637</v>
      </c>
      <c r="D354" s="19" t="s">
        <v>45</v>
      </c>
      <c r="E354" s="19" t="s">
        <v>46</v>
      </c>
      <c r="F354" s="19" t="s">
        <v>2823</v>
      </c>
      <c r="G354" s="19" t="s">
        <v>48</v>
      </c>
      <c r="H354" s="19" t="s">
        <v>49</v>
      </c>
      <c r="I354" s="20">
        <v>45852.005555555559</v>
      </c>
      <c r="K354" s="19"/>
      <c r="L354" s="20">
        <v>45852.09375</v>
      </c>
      <c r="M354" s="19"/>
      <c r="N354" s="22">
        <f t="shared" si="12"/>
        <v>8.819444444088731E-2</v>
      </c>
      <c r="O354" s="19" t="s">
        <v>63</v>
      </c>
      <c r="P354" s="19" t="s">
        <v>2824</v>
      </c>
      <c r="Q354" s="19" t="s">
        <v>2825</v>
      </c>
      <c r="R354" s="19"/>
      <c r="S354" s="19"/>
      <c r="U354" s="19"/>
      <c r="W354" s="19"/>
      <c r="X354" s="19" t="s">
        <v>314</v>
      </c>
      <c r="Y354" s="27" t="s">
        <v>54</v>
      </c>
      <c r="Z354" s="27" t="s">
        <v>361</v>
      </c>
      <c r="AA354" s="27" t="s">
        <v>2826</v>
      </c>
      <c r="AB354" s="27" t="s">
        <v>2827</v>
      </c>
      <c r="AC354" s="37" t="s">
        <v>2828</v>
      </c>
      <c r="AD354" s="38" t="s">
        <v>2829</v>
      </c>
      <c r="AE354" s="36">
        <v>45839</v>
      </c>
      <c r="AF354" s="19" t="s">
        <v>89</v>
      </c>
      <c r="AG354" s="19" t="s">
        <v>90</v>
      </c>
      <c r="AH354" s="19" t="s">
        <v>62</v>
      </c>
      <c r="AI354" s="19" t="s">
        <v>63</v>
      </c>
      <c r="AJ354" s="19" t="s">
        <v>2830</v>
      </c>
      <c r="AK354" s="19"/>
      <c r="AL354" s="19"/>
      <c r="AM354" s="19"/>
      <c r="AN354" s="19" t="s">
        <v>65</v>
      </c>
      <c r="AO354" s="23">
        <v>45852.005555555559</v>
      </c>
      <c r="AP354" s="26">
        <f t="shared" si="13"/>
        <v>127</v>
      </c>
    </row>
    <row r="355" spans="1:42" ht="25.5" hidden="1" customHeight="1">
      <c r="A355" s="19" t="s">
        <v>285</v>
      </c>
      <c r="B355" s="19" t="s">
        <v>309</v>
      </c>
      <c r="C355" s="19" t="s">
        <v>1637</v>
      </c>
      <c r="D355" s="19" t="s">
        <v>45</v>
      </c>
      <c r="E355" s="19" t="s">
        <v>46</v>
      </c>
      <c r="F355" s="19" t="s">
        <v>2831</v>
      </c>
      <c r="G355" s="19" t="s">
        <v>48</v>
      </c>
      <c r="H355" s="19" t="s">
        <v>49</v>
      </c>
      <c r="I355" s="20">
        <v>45852.260416666657</v>
      </c>
      <c r="K355" s="19"/>
      <c r="L355" s="20">
        <v>45852.318055555559</v>
      </c>
      <c r="M355" s="19"/>
      <c r="N355" s="22">
        <f t="shared" si="12"/>
        <v>5.7638888902147301E-2</v>
      </c>
      <c r="O355" s="19" t="s">
        <v>50</v>
      </c>
      <c r="P355" s="19" t="s">
        <v>2832</v>
      </c>
      <c r="Q355" s="19" t="s">
        <v>2833</v>
      </c>
      <c r="R355" s="19"/>
      <c r="S355" s="19"/>
      <c r="U355" s="19"/>
      <c r="W355" s="19"/>
      <c r="X355" s="19" t="s">
        <v>314</v>
      </c>
      <c r="Y355" s="27" t="s">
        <v>133</v>
      </c>
      <c r="Z355" s="27" t="s">
        <v>2834</v>
      </c>
      <c r="AA355" s="27" t="s">
        <v>2835</v>
      </c>
      <c r="AB355" s="27" t="s">
        <v>2836</v>
      </c>
      <c r="AC355" s="37" t="s">
        <v>2837</v>
      </c>
      <c r="AD355" s="38" t="s">
        <v>2838</v>
      </c>
      <c r="AE355" s="36">
        <v>45839</v>
      </c>
      <c r="AF355" s="19" t="s">
        <v>89</v>
      </c>
      <c r="AG355" s="19" t="s">
        <v>294</v>
      </c>
      <c r="AH355" s="19" t="s">
        <v>62</v>
      </c>
      <c r="AI355" s="19" t="s">
        <v>63</v>
      </c>
      <c r="AJ355" s="19" t="s">
        <v>2839</v>
      </c>
      <c r="AK355" s="19"/>
      <c r="AL355" s="19"/>
      <c r="AM355" s="19"/>
      <c r="AN355" s="19" t="s">
        <v>65</v>
      </c>
      <c r="AO355" s="23">
        <v>45852.260416666657</v>
      </c>
      <c r="AP355" s="26">
        <f t="shared" si="13"/>
        <v>83</v>
      </c>
    </row>
    <row r="356" spans="1:42" ht="25.5" hidden="1" customHeight="1">
      <c r="A356" s="19" t="s">
        <v>42</v>
      </c>
      <c r="B356" s="19" t="s">
        <v>186</v>
      </c>
      <c r="C356" s="19" t="s">
        <v>577</v>
      </c>
      <c r="D356" s="19" t="s">
        <v>45</v>
      </c>
      <c r="E356" s="19" t="s">
        <v>356</v>
      </c>
      <c r="F356" s="19" t="s">
        <v>2840</v>
      </c>
      <c r="G356" s="19" t="s">
        <v>48</v>
      </c>
      <c r="H356" s="19" t="s">
        <v>49</v>
      </c>
      <c r="I356" s="20">
        <v>45852.276388888888</v>
      </c>
      <c r="K356" s="19"/>
      <c r="L356" s="20">
        <v>45852.468055555553</v>
      </c>
      <c r="M356" s="19"/>
      <c r="N356" s="22">
        <f t="shared" si="12"/>
        <v>0.19166666666569654</v>
      </c>
      <c r="O356" s="19" t="s">
        <v>50</v>
      </c>
      <c r="P356" s="19" t="s">
        <v>2841</v>
      </c>
      <c r="Q356" s="19" t="s">
        <v>2842</v>
      </c>
      <c r="R356" s="19"/>
      <c r="S356" s="19"/>
      <c r="U356" s="19"/>
      <c r="W356" s="19"/>
      <c r="X356" s="19" t="s">
        <v>191</v>
      </c>
      <c r="Y356" s="27" t="s">
        <v>54</v>
      </c>
      <c r="Z356" s="27" t="s">
        <v>2843</v>
      </c>
      <c r="AA356" s="27" t="s">
        <v>2844</v>
      </c>
      <c r="AB356" s="27" t="s">
        <v>2845</v>
      </c>
      <c r="AC356" s="37" t="s">
        <v>2846</v>
      </c>
      <c r="AD356" s="38" t="s">
        <v>2847</v>
      </c>
      <c r="AE356" s="36">
        <v>45839</v>
      </c>
      <c r="AF356" s="19" t="s">
        <v>99</v>
      </c>
      <c r="AG356" s="19" t="s">
        <v>139</v>
      </c>
      <c r="AH356" s="19" t="s">
        <v>62</v>
      </c>
      <c r="AI356" s="19" t="s">
        <v>63</v>
      </c>
      <c r="AJ356" s="19" t="s">
        <v>2848</v>
      </c>
      <c r="AK356" s="19" t="s">
        <v>2849</v>
      </c>
      <c r="AL356" s="19"/>
      <c r="AM356" s="19"/>
      <c r="AN356" s="19" t="s">
        <v>65</v>
      </c>
      <c r="AO356" s="23">
        <v>45852.276388888888</v>
      </c>
      <c r="AP356" s="26">
        <f t="shared" si="13"/>
        <v>276</v>
      </c>
    </row>
    <row r="357" spans="1:42" ht="25.5" hidden="1" customHeight="1">
      <c r="A357" s="19" t="s">
        <v>42</v>
      </c>
      <c r="B357" s="19" t="s">
        <v>66</v>
      </c>
      <c r="C357" s="19" t="s">
        <v>1793</v>
      </c>
      <c r="D357" s="19" t="s">
        <v>45</v>
      </c>
      <c r="E357" s="19" t="s">
        <v>46</v>
      </c>
      <c r="F357" s="19" t="s">
        <v>2850</v>
      </c>
      <c r="G357" s="19" t="s">
        <v>48</v>
      </c>
      <c r="H357" s="19" t="s">
        <v>49</v>
      </c>
      <c r="I357" s="20">
        <v>45852.342361111107</v>
      </c>
      <c r="K357" s="19"/>
      <c r="L357" s="20">
        <v>45852.928472222222</v>
      </c>
      <c r="M357" s="19"/>
      <c r="N357" s="22">
        <f t="shared" si="12"/>
        <v>0.586111111115315</v>
      </c>
      <c r="O357" s="19" t="s">
        <v>50</v>
      </c>
      <c r="P357" s="19" t="s">
        <v>2851</v>
      </c>
      <c r="Q357" s="19" t="s">
        <v>2852</v>
      </c>
      <c r="R357" s="19"/>
      <c r="S357" s="19"/>
      <c r="U357" s="19"/>
      <c r="W357" s="19"/>
      <c r="X357" s="19" t="s">
        <v>72</v>
      </c>
      <c r="Y357" s="27" t="s">
        <v>54</v>
      </c>
      <c r="Z357" s="27" t="s">
        <v>784</v>
      </c>
      <c r="AA357" s="27" t="s">
        <v>2853</v>
      </c>
      <c r="AB357" s="27" t="s">
        <v>2854</v>
      </c>
      <c r="AC357" s="37">
        <v>45852.352083333331</v>
      </c>
      <c r="AD357" s="38">
        <v>45852.359027777777</v>
      </c>
      <c r="AE357" s="36">
        <v>45839</v>
      </c>
      <c r="AF357" s="19" t="s">
        <v>89</v>
      </c>
      <c r="AG357" s="19" t="s">
        <v>90</v>
      </c>
      <c r="AH357" s="19" t="s">
        <v>62</v>
      </c>
      <c r="AI357" s="19" t="s">
        <v>63</v>
      </c>
      <c r="AJ357" s="19" t="s">
        <v>2855</v>
      </c>
      <c r="AK357" s="19" t="s">
        <v>2856</v>
      </c>
      <c r="AL357" s="19"/>
      <c r="AM357" s="19"/>
      <c r="AN357" s="19" t="s">
        <v>65</v>
      </c>
      <c r="AO357" s="23">
        <v>45852.979166666657</v>
      </c>
      <c r="AP357" s="26">
        <f t="shared" si="13"/>
        <v>844</v>
      </c>
    </row>
    <row r="358" spans="1:42" ht="25.5" hidden="1" customHeight="1">
      <c r="A358" s="19" t="s">
        <v>42</v>
      </c>
      <c r="B358" s="19" t="s">
        <v>186</v>
      </c>
      <c r="C358" s="19" t="s">
        <v>577</v>
      </c>
      <c r="D358" s="19" t="s">
        <v>45</v>
      </c>
      <c r="E358" s="19" t="s">
        <v>46</v>
      </c>
      <c r="F358" s="19" t="s">
        <v>2857</v>
      </c>
      <c r="G358" s="19" t="s">
        <v>48</v>
      </c>
      <c r="H358" s="19" t="s">
        <v>49</v>
      </c>
      <c r="I358" s="20">
        <v>45852.375</v>
      </c>
      <c r="K358" s="19"/>
      <c r="L358" s="20">
        <v>45852.479166666657</v>
      </c>
      <c r="M358" s="19"/>
      <c r="N358" s="22">
        <f t="shared" si="12"/>
        <v>0.10416666665696539</v>
      </c>
      <c r="O358" s="19" t="s">
        <v>63</v>
      </c>
      <c r="P358" s="19" t="s">
        <v>2858</v>
      </c>
      <c r="Q358" s="19" t="s">
        <v>2859</v>
      </c>
      <c r="R358" s="19"/>
      <c r="S358" s="19"/>
      <c r="U358" s="19"/>
      <c r="W358" s="19"/>
      <c r="X358" s="19" t="s">
        <v>191</v>
      </c>
      <c r="Y358" s="27" t="s">
        <v>54</v>
      </c>
      <c r="Z358" s="27" t="s">
        <v>784</v>
      </c>
      <c r="AA358" s="27" t="s">
        <v>2860</v>
      </c>
      <c r="AB358" s="27" t="s">
        <v>2861</v>
      </c>
      <c r="AC358" s="37">
        <v>45852.373611111107</v>
      </c>
      <c r="AD358" s="38">
        <v>45852.380555555559</v>
      </c>
      <c r="AE358" s="36">
        <v>45839</v>
      </c>
      <c r="AF358" s="19" t="s">
        <v>89</v>
      </c>
      <c r="AG358" s="19" t="s">
        <v>90</v>
      </c>
      <c r="AH358" s="19" t="s">
        <v>62</v>
      </c>
      <c r="AI358" s="19" t="s">
        <v>63</v>
      </c>
      <c r="AJ358" s="19" t="s">
        <v>2862</v>
      </c>
      <c r="AK358" s="19"/>
      <c r="AL358" s="19"/>
      <c r="AM358" s="19"/>
      <c r="AN358" s="19" t="s">
        <v>65</v>
      </c>
      <c r="AO358" s="23">
        <v>45852.375</v>
      </c>
      <c r="AP358" s="26">
        <f t="shared" si="13"/>
        <v>150</v>
      </c>
    </row>
    <row r="359" spans="1:42" ht="25.5" hidden="1" customHeight="1">
      <c r="A359" s="19" t="s">
        <v>42</v>
      </c>
      <c r="B359" s="19" t="s">
        <v>93</v>
      </c>
      <c r="C359" s="19" t="s">
        <v>129</v>
      </c>
      <c r="D359" s="19" t="s">
        <v>45</v>
      </c>
      <c r="E359" s="19" t="s">
        <v>46</v>
      </c>
      <c r="F359" s="19" t="s">
        <v>2863</v>
      </c>
      <c r="G359" s="19" t="s">
        <v>48</v>
      </c>
      <c r="H359" s="19" t="s">
        <v>49</v>
      </c>
      <c r="I359" s="20">
        <v>45852.729166666657</v>
      </c>
      <c r="K359" s="19"/>
      <c r="L359" s="20">
        <v>45852.788194444453</v>
      </c>
      <c r="M359" s="19"/>
      <c r="N359" s="22">
        <f t="shared" si="12"/>
        <v>5.9027777795563452E-2</v>
      </c>
      <c r="O359" s="19" t="s">
        <v>63</v>
      </c>
      <c r="P359" s="19" t="s">
        <v>2864</v>
      </c>
      <c r="Q359" s="19" t="s">
        <v>2865</v>
      </c>
      <c r="R359" s="19"/>
      <c r="S359" s="19"/>
      <c r="U359" s="19"/>
      <c r="W359" s="19"/>
      <c r="X359" s="19" t="s">
        <v>109</v>
      </c>
      <c r="Y359" s="27" t="s">
        <v>54</v>
      </c>
      <c r="Z359" s="27" t="s">
        <v>2866</v>
      </c>
      <c r="AA359" s="27" t="s">
        <v>2867</v>
      </c>
      <c r="AB359" s="27" t="s">
        <v>2868</v>
      </c>
      <c r="AC359" s="37" t="s">
        <v>2869</v>
      </c>
      <c r="AD359" s="38" t="s">
        <v>2870</v>
      </c>
      <c r="AE359" s="36">
        <v>45839</v>
      </c>
      <c r="AF359" s="19" t="s">
        <v>89</v>
      </c>
      <c r="AG359" s="19" t="s">
        <v>126</v>
      </c>
      <c r="AH359" s="19" t="s">
        <v>62</v>
      </c>
      <c r="AI359" s="19" t="s">
        <v>63</v>
      </c>
      <c r="AJ359" s="19" t="s">
        <v>2871</v>
      </c>
      <c r="AK359" s="19"/>
      <c r="AL359" s="19"/>
      <c r="AM359" s="19"/>
      <c r="AN359" s="19" t="s">
        <v>103</v>
      </c>
      <c r="AO359" s="23">
        <v>45852.729166666657</v>
      </c>
      <c r="AP359" s="26">
        <f t="shared" si="13"/>
        <v>85</v>
      </c>
    </row>
    <row r="360" spans="1:42" ht="25.5" hidden="1" customHeight="1">
      <c r="A360" s="19" t="s">
        <v>42</v>
      </c>
      <c r="B360" s="19" t="s">
        <v>93</v>
      </c>
      <c r="C360" s="19" t="s">
        <v>336</v>
      </c>
      <c r="D360" s="19" t="s">
        <v>45</v>
      </c>
      <c r="E360" s="19" t="s">
        <v>46</v>
      </c>
      <c r="F360" s="19" t="s">
        <v>2872</v>
      </c>
      <c r="G360" s="19" t="s">
        <v>48</v>
      </c>
      <c r="H360" s="19" t="s">
        <v>49</v>
      </c>
      <c r="I360" s="20">
        <v>45852.886805555558</v>
      </c>
      <c r="K360" s="19"/>
      <c r="L360" s="20">
        <v>45852.946527777778</v>
      </c>
      <c r="M360" s="19"/>
      <c r="N360" s="22">
        <f t="shared" si="12"/>
        <v>5.9722222220443655E-2</v>
      </c>
      <c r="O360" s="19" t="s">
        <v>50</v>
      </c>
      <c r="P360" s="19" t="s">
        <v>2873</v>
      </c>
      <c r="Q360" s="19" t="s">
        <v>2874</v>
      </c>
      <c r="R360" s="19"/>
      <c r="S360" s="19"/>
      <c r="U360" s="19"/>
      <c r="W360" s="19"/>
      <c r="X360" s="19" t="s">
        <v>314</v>
      </c>
      <c r="Y360" s="27" t="s">
        <v>54</v>
      </c>
      <c r="Z360" s="27" t="s">
        <v>2875</v>
      </c>
      <c r="AA360" s="27" t="s">
        <v>2876</v>
      </c>
      <c r="AB360" s="27" t="s">
        <v>2877</v>
      </c>
      <c r="AC360" s="37" t="s">
        <v>2878</v>
      </c>
      <c r="AD360" s="38" t="s">
        <v>2879</v>
      </c>
      <c r="AE360" s="36">
        <v>45839</v>
      </c>
      <c r="AF360" s="19" t="s">
        <v>89</v>
      </c>
      <c r="AG360" s="19" t="s">
        <v>90</v>
      </c>
      <c r="AH360" s="19" t="s">
        <v>62</v>
      </c>
      <c r="AI360" s="19" t="s">
        <v>63</v>
      </c>
      <c r="AJ360" s="19" t="s">
        <v>2880</v>
      </c>
      <c r="AK360" s="19"/>
      <c r="AL360" s="19"/>
      <c r="AM360" s="19"/>
      <c r="AN360" s="19" t="s">
        <v>103</v>
      </c>
      <c r="AO360" s="23">
        <v>45852.886805555558</v>
      </c>
      <c r="AP360" s="26">
        <f t="shared" si="13"/>
        <v>86</v>
      </c>
    </row>
    <row r="361" spans="1:42" ht="25.5" hidden="1" customHeight="1">
      <c r="A361" s="19" t="s">
        <v>42</v>
      </c>
      <c r="B361" s="19" t="s">
        <v>93</v>
      </c>
      <c r="C361" s="19" t="s">
        <v>1637</v>
      </c>
      <c r="D361" s="19" t="s">
        <v>45</v>
      </c>
      <c r="E361" s="19" t="s">
        <v>46</v>
      </c>
      <c r="F361" s="19" t="s">
        <v>2881</v>
      </c>
      <c r="G361" s="19" t="s">
        <v>48</v>
      </c>
      <c r="H361" s="19" t="s">
        <v>49</v>
      </c>
      <c r="I361" s="20">
        <v>45852.979166666657</v>
      </c>
      <c r="K361" s="19"/>
      <c r="L361" s="20">
        <v>45853.034722222219</v>
      </c>
      <c r="M361" s="19"/>
      <c r="N361" s="22">
        <f t="shared" si="12"/>
        <v>5.5555555562023073E-2</v>
      </c>
      <c r="O361" s="19" t="s">
        <v>50</v>
      </c>
      <c r="P361" s="19" t="s">
        <v>2882</v>
      </c>
      <c r="Q361" s="19" t="s">
        <v>2883</v>
      </c>
      <c r="R361" s="19"/>
      <c r="S361" s="19"/>
      <c r="U361" s="19"/>
      <c r="W361" s="19"/>
      <c r="X361" s="19" t="s">
        <v>314</v>
      </c>
      <c r="Y361" s="27" t="s">
        <v>133</v>
      </c>
      <c r="Z361" s="27" t="s">
        <v>2884</v>
      </c>
      <c r="AA361" s="27" t="s">
        <v>2885</v>
      </c>
      <c r="AB361" s="27" t="s">
        <v>2886</v>
      </c>
      <c r="AC361" s="37" t="s">
        <v>2887</v>
      </c>
      <c r="AD361" s="38" t="s">
        <v>2888</v>
      </c>
      <c r="AE361" s="36">
        <v>45839</v>
      </c>
      <c r="AF361" s="19" t="s">
        <v>89</v>
      </c>
      <c r="AG361" s="19" t="s">
        <v>90</v>
      </c>
      <c r="AH361" s="19" t="s">
        <v>62</v>
      </c>
      <c r="AI361" s="19" t="s">
        <v>63</v>
      </c>
      <c r="AJ361" s="19" t="s">
        <v>2889</v>
      </c>
      <c r="AK361" s="19"/>
      <c r="AL361" s="19"/>
      <c r="AM361" s="19"/>
      <c r="AN361" s="19" t="s">
        <v>65</v>
      </c>
      <c r="AO361" s="23">
        <v>45852.979166666657</v>
      </c>
      <c r="AP361" s="26">
        <f t="shared" si="13"/>
        <v>80</v>
      </c>
    </row>
    <row r="362" spans="1:42" ht="25.5" hidden="1" customHeight="1">
      <c r="A362" s="19" t="s">
        <v>42</v>
      </c>
      <c r="C362" s="19" t="s">
        <v>2890</v>
      </c>
      <c r="D362" s="19" t="s">
        <v>45</v>
      </c>
      <c r="E362" s="19" t="s">
        <v>46</v>
      </c>
      <c r="F362" s="19" t="s">
        <v>2891</v>
      </c>
      <c r="G362" s="19" t="s">
        <v>48</v>
      </c>
      <c r="H362" s="19" t="s">
        <v>49</v>
      </c>
      <c r="I362" s="20">
        <v>45853.125</v>
      </c>
      <c r="K362" s="19"/>
      <c r="L362" s="20">
        <v>45853.54583333333</v>
      </c>
      <c r="M362" s="19"/>
      <c r="N362" s="22">
        <f t="shared" si="12"/>
        <v>0.42083333332993789</v>
      </c>
      <c r="O362" s="19" t="s">
        <v>50</v>
      </c>
      <c r="P362" s="19" t="s">
        <v>2892</v>
      </c>
      <c r="Q362" s="19" t="s">
        <v>2893</v>
      </c>
      <c r="R362" s="19"/>
      <c r="S362" s="19"/>
      <c r="U362" s="19"/>
      <c r="W362" s="19"/>
      <c r="X362" s="19" t="s">
        <v>72</v>
      </c>
      <c r="Y362" s="27" t="s">
        <v>147</v>
      </c>
      <c r="Z362" s="27" t="s">
        <v>78</v>
      </c>
      <c r="AA362" s="27" t="s">
        <v>78</v>
      </c>
      <c r="AB362" s="27" t="s">
        <v>78</v>
      </c>
      <c r="AC362" s="37" t="s">
        <v>78</v>
      </c>
      <c r="AD362" s="38" t="s">
        <v>78</v>
      </c>
      <c r="AE362" s="36">
        <v>45839</v>
      </c>
      <c r="AF362" s="19" t="s">
        <v>78</v>
      </c>
      <c r="AG362" s="19" t="s">
        <v>78</v>
      </c>
      <c r="AH362" s="19" t="s">
        <v>62</v>
      </c>
      <c r="AI362" s="19" t="s">
        <v>63</v>
      </c>
      <c r="AJ362" s="19" t="s">
        <v>2894</v>
      </c>
      <c r="AK362" s="19"/>
      <c r="AL362" s="19"/>
      <c r="AM362" s="19"/>
      <c r="AN362" s="19" t="s">
        <v>65</v>
      </c>
      <c r="AO362" s="23">
        <v>45853.584027777782</v>
      </c>
      <c r="AP362" s="26">
        <f t="shared" si="13"/>
        <v>606</v>
      </c>
    </row>
    <row r="363" spans="1:42" ht="25.5" hidden="1" customHeight="1">
      <c r="A363" s="19" t="s">
        <v>116</v>
      </c>
      <c r="B363" s="19" t="s">
        <v>738</v>
      </c>
      <c r="C363" s="19" t="s">
        <v>2895</v>
      </c>
      <c r="D363" s="19" t="s">
        <v>45</v>
      </c>
      <c r="E363" s="19" t="s">
        <v>46</v>
      </c>
      <c r="F363" s="19" t="s">
        <v>2896</v>
      </c>
      <c r="G363" s="19" t="s">
        <v>48</v>
      </c>
      <c r="H363" s="19" t="s">
        <v>49</v>
      </c>
      <c r="I363" s="20">
        <v>45853.320833333331</v>
      </c>
      <c r="K363" s="19"/>
      <c r="L363" s="20">
        <v>45853.361111111109</v>
      </c>
      <c r="M363" s="19"/>
      <c r="N363" s="22">
        <f t="shared" si="12"/>
        <v>4.0277777778101154E-2</v>
      </c>
      <c r="O363" s="19" t="s">
        <v>50</v>
      </c>
      <c r="P363" s="19" t="s">
        <v>2897</v>
      </c>
      <c r="Q363" s="19" t="s">
        <v>2898</v>
      </c>
      <c r="R363" s="19"/>
      <c r="S363" s="19"/>
      <c r="U363" s="19"/>
      <c r="W363" s="19"/>
      <c r="X363" s="19" t="s">
        <v>109</v>
      </c>
      <c r="Y363" s="27" t="s">
        <v>54</v>
      </c>
      <c r="Z363" s="27" t="s">
        <v>123</v>
      </c>
      <c r="AA363" s="27" t="s">
        <v>2899</v>
      </c>
      <c r="AB363" s="27" t="s">
        <v>2900</v>
      </c>
      <c r="AC363" s="37">
        <v>45853.313888888893</v>
      </c>
      <c r="AD363" s="38">
        <v>45853.320833333331</v>
      </c>
      <c r="AE363" s="36">
        <v>45839</v>
      </c>
      <c r="AF363" s="19" t="s">
        <v>99</v>
      </c>
      <c r="AG363" s="19" t="s">
        <v>100</v>
      </c>
      <c r="AH363" s="19" t="s">
        <v>62</v>
      </c>
      <c r="AI363" s="19" t="s">
        <v>63</v>
      </c>
      <c r="AJ363" s="19" t="s">
        <v>2901</v>
      </c>
      <c r="AK363" s="19"/>
      <c r="AL363" s="19"/>
      <c r="AM363" s="19"/>
      <c r="AN363" s="19" t="s">
        <v>103</v>
      </c>
      <c r="AO363" s="23">
        <v>45853.319444444453</v>
      </c>
      <c r="AP363" s="26">
        <f t="shared" si="13"/>
        <v>58</v>
      </c>
    </row>
    <row r="364" spans="1:42" ht="25.5" hidden="1" customHeight="1">
      <c r="A364" s="19" t="s">
        <v>42</v>
      </c>
      <c r="B364" s="19" t="s">
        <v>2902</v>
      </c>
      <c r="C364" s="19" t="s">
        <v>1559</v>
      </c>
      <c r="D364" s="19" t="s">
        <v>45</v>
      </c>
      <c r="E364" s="19" t="s">
        <v>967</v>
      </c>
      <c r="F364" s="19" t="s">
        <v>2903</v>
      </c>
      <c r="G364" s="19" t="s">
        <v>48</v>
      </c>
      <c r="H364" s="19" t="s">
        <v>49</v>
      </c>
      <c r="I364" s="20">
        <v>45853.398611111108</v>
      </c>
      <c r="K364" s="19"/>
      <c r="L364" s="20">
        <v>45853.648611111108</v>
      </c>
      <c r="M364" s="19"/>
      <c r="N364" s="22">
        <f t="shared" si="12"/>
        <v>0.25</v>
      </c>
      <c r="O364" s="19" t="s">
        <v>50</v>
      </c>
      <c r="P364" s="19" t="s">
        <v>2904</v>
      </c>
      <c r="Q364" s="19" t="s">
        <v>2905</v>
      </c>
      <c r="R364" s="19"/>
      <c r="S364" s="19"/>
      <c r="U364" s="19"/>
      <c r="W364" s="19"/>
      <c r="X364" s="19" t="s">
        <v>109</v>
      </c>
      <c r="Y364" s="27" t="s">
        <v>54</v>
      </c>
      <c r="Z364" s="27" t="s">
        <v>2054</v>
      </c>
      <c r="AA364" s="27" t="s">
        <v>2054</v>
      </c>
      <c r="AB364" s="27" t="s">
        <v>2054</v>
      </c>
      <c r="AC364" s="37" t="s">
        <v>2054</v>
      </c>
      <c r="AD364" s="38" t="s">
        <v>2054</v>
      </c>
      <c r="AE364" s="36">
        <v>45839</v>
      </c>
      <c r="AF364" s="19" t="s">
        <v>89</v>
      </c>
      <c r="AG364" s="19" t="s">
        <v>90</v>
      </c>
      <c r="AH364" s="19" t="s">
        <v>62</v>
      </c>
      <c r="AI364" s="19" t="s">
        <v>63</v>
      </c>
      <c r="AJ364" s="19" t="s">
        <v>2906</v>
      </c>
      <c r="AK364" s="19"/>
      <c r="AL364" s="19"/>
      <c r="AM364" s="19"/>
      <c r="AN364" s="19" t="s">
        <v>622</v>
      </c>
      <c r="AO364" s="23">
        <v>45853.398611111108</v>
      </c>
      <c r="AP364" s="26">
        <f t="shared" si="13"/>
        <v>360</v>
      </c>
    </row>
    <row r="365" spans="1:42" ht="25.5" hidden="1" customHeight="1">
      <c r="A365" s="19" t="s">
        <v>42</v>
      </c>
      <c r="B365" s="19" t="s">
        <v>43</v>
      </c>
      <c r="C365" s="19" t="s">
        <v>2907</v>
      </c>
      <c r="D365" s="19" t="s">
        <v>45</v>
      </c>
      <c r="E365" s="19" t="s">
        <v>46</v>
      </c>
      <c r="F365" s="19" t="s">
        <v>2908</v>
      </c>
      <c r="G365" s="19" t="s">
        <v>48</v>
      </c>
      <c r="H365" s="19" t="s">
        <v>49</v>
      </c>
      <c r="I365" s="20">
        <v>45853.472222222219</v>
      </c>
      <c r="K365" s="19"/>
      <c r="L365" s="20">
        <v>45853.534722222219</v>
      </c>
      <c r="M365" s="19"/>
      <c r="N365" s="22">
        <f t="shared" si="12"/>
        <v>6.25E-2</v>
      </c>
      <c r="O365" s="19" t="s">
        <v>50</v>
      </c>
      <c r="P365" s="19" t="s">
        <v>2909</v>
      </c>
      <c r="Q365" s="19" t="s">
        <v>2910</v>
      </c>
      <c r="R365" s="19"/>
      <c r="S365" s="19"/>
      <c r="U365" s="19"/>
      <c r="W365" s="19"/>
      <c r="X365" s="19" t="s">
        <v>53</v>
      </c>
      <c r="Y365" s="27" t="s">
        <v>147</v>
      </c>
      <c r="Z365" s="27" t="s">
        <v>78</v>
      </c>
      <c r="AA365" s="27" t="s">
        <v>78</v>
      </c>
      <c r="AB365" s="27" t="s">
        <v>78</v>
      </c>
      <c r="AC365" s="37" t="s">
        <v>78</v>
      </c>
      <c r="AD365" s="38" t="s">
        <v>78</v>
      </c>
      <c r="AE365" s="36">
        <v>45839</v>
      </c>
      <c r="AF365" s="19" t="s">
        <v>89</v>
      </c>
      <c r="AG365" s="19" t="s">
        <v>90</v>
      </c>
      <c r="AH365" s="19" t="s">
        <v>62</v>
      </c>
      <c r="AI365" s="19" t="s">
        <v>63</v>
      </c>
      <c r="AJ365" s="19" t="s">
        <v>2911</v>
      </c>
      <c r="AK365" s="19"/>
      <c r="AL365" s="19"/>
      <c r="AM365" s="19"/>
      <c r="AN365" s="19" t="s">
        <v>103</v>
      </c>
      <c r="AO365" s="23">
        <v>45853.472222222219</v>
      </c>
      <c r="AP365" s="26">
        <f t="shared" si="13"/>
        <v>90</v>
      </c>
    </row>
    <row r="366" spans="1:42" ht="25.5" hidden="1" customHeight="1">
      <c r="A366" s="19" t="s">
        <v>42</v>
      </c>
      <c r="B366" s="19" t="s">
        <v>2912</v>
      </c>
      <c r="C366" s="19" t="s">
        <v>1408</v>
      </c>
      <c r="D366" s="19" t="s">
        <v>45</v>
      </c>
      <c r="E366" s="19" t="s">
        <v>46</v>
      </c>
      <c r="F366" s="19" t="s">
        <v>2913</v>
      </c>
      <c r="G366" s="19" t="s">
        <v>48</v>
      </c>
      <c r="H366" s="19" t="s">
        <v>49</v>
      </c>
      <c r="I366" s="20">
        <v>45853.754166666673</v>
      </c>
      <c r="K366" s="19"/>
      <c r="L366" s="20">
        <v>45854</v>
      </c>
      <c r="M366" s="19"/>
      <c r="N366" s="22">
        <f t="shared" si="12"/>
        <v>0.2458333333270275</v>
      </c>
      <c r="O366" s="19" t="s">
        <v>50</v>
      </c>
      <c r="P366" s="19" t="s">
        <v>2914</v>
      </c>
      <c r="Q366" s="19" t="s">
        <v>2915</v>
      </c>
      <c r="R366" s="19"/>
      <c r="S366" s="19"/>
      <c r="U366" s="19"/>
      <c r="W366" s="19"/>
      <c r="X366" s="19" t="s">
        <v>1412</v>
      </c>
      <c r="Y366" s="27" t="s">
        <v>54</v>
      </c>
      <c r="Z366" s="27" t="s">
        <v>209</v>
      </c>
      <c r="AA366" s="27" t="s">
        <v>2916</v>
      </c>
      <c r="AB366" s="27" t="s">
        <v>2917</v>
      </c>
      <c r="AC366" s="37">
        <v>45853.735914351862</v>
      </c>
      <c r="AD366" s="38">
        <v>45853.839386574073</v>
      </c>
      <c r="AE366" s="36">
        <v>45839</v>
      </c>
      <c r="AF366" s="19" t="s">
        <v>89</v>
      </c>
      <c r="AG366" s="19" t="s">
        <v>90</v>
      </c>
      <c r="AH366" s="19" t="s">
        <v>62</v>
      </c>
      <c r="AI366" s="19" t="s">
        <v>63</v>
      </c>
      <c r="AJ366" s="19" t="s">
        <v>2918</v>
      </c>
      <c r="AK366" s="19"/>
      <c r="AL366" s="19"/>
      <c r="AM366" s="19"/>
      <c r="AN366" s="19" t="s">
        <v>65</v>
      </c>
      <c r="AO366" s="23">
        <v>45853.754166666673</v>
      </c>
      <c r="AP366" s="26">
        <f t="shared" si="13"/>
        <v>354</v>
      </c>
    </row>
    <row r="367" spans="1:42" ht="25.5" hidden="1" customHeight="1">
      <c r="A367" s="19" t="s">
        <v>42</v>
      </c>
      <c r="B367" s="19" t="s">
        <v>1558</v>
      </c>
      <c r="C367" s="19" t="s">
        <v>1559</v>
      </c>
      <c r="D367" s="19" t="s">
        <v>45</v>
      </c>
      <c r="E367" s="19" t="s">
        <v>967</v>
      </c>
      <c r="F367" s="19" t="s">
        <v>2903</v>
      </c>
      <c r="G367" s="19" t="s">
        <v>226</v>
      </c>
      <c r="H367" s="19" t="s">
        <v>49</v>
      </c>
      <c r="I367" s="20">
        <v>45853.796527777777</v>
      </c>
      <c r="K367" s="19"/>
      <c r="L367" s="20">
        <v>45853.868055555547</v>
      </c>
      <c r="M367" s="19"/>
      <c r="N367" s="22">
        <f t="shared" si="12"/>
        <v>7.1527777770825196E-2</v>
      </c>
      <c r="O367" s="19" t="s">
        <v>50</v>
      </c>
      <c r="P367" s="19" t="s">
        <v>2919</v>
      </c>
      <c r="Q367" s="19" t="s">
        <v>2920</v>
      </c>
      <c r="R367" s="19"/>
      <c r="S367" s="19"/>
      <c r="U367" s="19"/>
      <c r="W367" s="19"/>
      <c r="X367" s="19" t="s">
        <v>109</v>
      </c>
      <c r="Y367" s="27" t="s">
        <v>147</v>
      </c>
      <c r="Z367" s="27" t="s">
        <v>78</v>
      </c>
      <c r="AA367" s="27" t="s">
        <v>78</v>
      </c>
      <c r="AB367" s="27" t="s">
        <v>78</v>
      </c>
      <c r="AC367" s="37" t="s">
        <v>78</v>
      </c>
      <c r="AD367" s="38" t="s">
        <v>78</v>
      </c>
      <c r="AE367" s="36">
        <v>45839</v>
      </c>
      <c r="AF367" s="19" t="s">
        <v>89</v>
      </c>
      <c r="AG367" s="19" t="s">
        <v>90</v>
      </c>
      <c r="AH367" s="19" t="s">
        <v>62</v>
      </c>
      <c r="AI367" s="19" t="s">
        <v>50</v>
      </c>
      <c r="AJ367" s="19" t="s">
        <v>2921</v>
      </c>
      <c r="AK367" s="19"/>
      <c r="AL367" s="19"/>
      <c r="AM367" s="19"/>
      <c r="AN367" s="19" t="s">
        <v>622</v>
      </c>
      <c r="AO367" s="23">
        <v>45853.796527777777</v>
      </c>
      <c r="AP367" s="26">
        <f t="shared" si="13"/>
        <v>103</v>
      </c>
    </row>
    <row r="368" spans="1:42" ht="25.5" hidden="1" customHeight="1">
      <c r="A368" s="19" t="s">
        <v>42</v>
      </c>
      <c r="B368" s="19" t="s">
        <v>2922</v>
      </c>
      <c r="C368" s="19" t="s">
        <v>2923</v>
      </c>
      <c r="D368" s="19" t="s">
        <v>45</v>
      </c>
      <c r="E368" s="19" t="s">
        <v>46</v>
      </c>
      <c r="F368" s="19" t="s">
        <v>2924</v>
      </c>
      <c r="G368" s="19" t="s">
        <v>48</v>
      </c>
      <c r="H368" s="19" t="s">
        <v>49</v>
      </c>
      <c r="I368" s="20">
        <v>45853.798611111109</v>
      </c>
      <c r="K368" s="19"/>
      <c r="L368" s="20">
        <v>45853.822916666657</v>
      </c>
      <c r="M368" s="19"/>
      <c r="N368" s="22">
        <f t="shared" si="12"/>
        <v>2.4305555547471158E-2</v>
      </c>
      <c r="O368" s="19" t="s">
        <v>50</v>
      </c>
      <c r="P368" s="19" t="s">
        <v>2925</v>
      </c>
      <c r="Q368" s="19" t="s">
        <v>2926</v>
      </c>
      <c r="R368" s="19"/>
      <c r="S368" s="19"/>
      <c r="U368" s="19"/>
      <c r="W368" s="19"/>
      <c r="X368" s="19" t="s">
        <v>109</v>
      </c>
      <c r="Y368" s="27" t="s">
        <v>54</v>
      </c>
      <c r="Z368" s="27" t="s">
        <v>414</v>
      </c>
      <c r="AA368" s="27" t="s">
        <v>2927</v>
      </c>
      <c r="AB368" s="27" t="s">
        <v>2928</v>
      </c>
      <c r="AC368" s="37">
        <v>45853.787499999999</v>
      </c>
      <c r="AD368" s="38">
        <v>45853.835416666669</v>
      </c>
      <c r="AE368" s="36">
        <v>45839</v>
      </c>
      <c r="AF368" s="19" t="s">
        <v>99</v>
      </c>
      <c r="AG368" s="19" t="s">
        <v>100</v>
      </c>
      <c r="AH368" s="19" t="s">
        <v>62</v>
      </c>
      <c r="AI368" s="19" t="s">
        <v>63</v>
      </c>
      <c r="AJ368" s="19" t="s">
        <v>2929</v>
      </c>
      <c r="AK368" s="19" t="s">
        <v>2930</v>
      </c>
      <c r="AL368" s="19"/>
      <c r="AM368" s="19"/>
      <c r="AN368" s="19" t="s">
        <v>103</v>
      </c>
      <c r="AO368" s="23">
        <v>45853.798611111109</v>
      </c>
      <c r="AP368" s="26">
        <f t="shared" si="13"/>
        <v>35</v>
      </c>
    </row>
    <row r="369" spans="1:42" ht="25.5" hidden="1" customHeight="1">
      <c r="A369" s="19" t="s">
        <v>42</v>
      </c>
      <c r="B369" s="19" t="s">
        <v>66</v>
      </c>
      <c r="C369" s="19" t="s">
        <v>142</v>
      </c>
      <c r="D369" s="19" t="s">
        <v>45</v>
      </c>
      <c r="E369" s="19" t="s">
        <v>46</v>
      </c>
      <c r="F369" s="19" t="s">
        <v>2931</v>
      </c>
      <c r="G369" s="19" t="s">
        <v>48</v>
      </c>
      <c r="H369" s="19" t="s">
        <v>49</v>
      </c>
      <c r="I369" s="20">
        <v>45854.078472222223</v>
      </c>
      <c r="K369" s="19"/>
      <c r="L369" s="20">
        <v>45854.12777777778</v>
      </c>
      <c r="M369" s="19"/>
      <c r="N369" s="22">
        <f t="shared" si="12"/>
        <v>4.9305555556202307E-2</v>
      </c>
      <c r="O369" s="19" t="s">
        <v>50</v>
      </c>
      <c r="P369" s="19" t="s">
        <v>2932</v>
      </c>
      <c r="Q369" s="19" t="s">
        <v>2933</v>
      </c>
      <c r="R369" s="19"/>
      <c r="S369" s="19"/>
      <c r="U369" s="19"/>
      <c r="W369" s="19"/>
      <c r="X369" s="19" t="s">
        <v>72</v>
      </c>
      <c r="Y369" s="27" t="s">
        <v>54</v>
      </c>
      <c r="Z369" s="27" t="s">
        <v>2934</v>
      </c>
      <c r="AA369" s="27" t="s">
        <v>2935</v>
      </c>
      <c r="AB369" s="27" t="s">
        <v>2936</v>
      </c>
      <c r="AC369" s="37" t="s">
        <v>2937</v>
      </c>
      <c r="AD369" s="38" t="s">
        <v>2938</v>
      </c>
      <c r="AE369" s="36">
        <v>45839</v>
      </c>
      <c r="AF369" s="19" t="s">
        <v>89</v>
      </c>
      <c r="AG369" s="19" t="s">
        <v>90</v>
      </c>
      <c r="AH369" s="19" t="s">
        <v>62</v>
      </c>
      <c r="AI369" s="19" t="s">
        <v>63</v>
      </c>
      <c r="AJ369" s="19" t="s">
        <v>2939</v>
      </c>
      <c r="AK369" s="19"/>
      <c r="AL369" s="19"/>
      <c r="AM369" s="19"/>
      <c r="AN369" s="19" t="s">
        <v>65</v>
      </c>
      <c r="AO369" s="23">
        <v>45854.142361111109</v>
      </c>
      <c r="AP369" s="26">
        <f t="shared" si="13"/>
        <v>71</v>
      </c>
    </row>
    <row r="370" spans="1:42" ht="25.5" hidden="1" customHeight="1">
      <c r="A370" s="19" t="s">
        <v>42</v>
      </c>
      <c r="B370" s="19" t="s">
        <v>43</v>
      </c>
      <c r="C370" s="19" t="s">
        <v>2907</v>
      </c>
      <c r="D370" s="19" t="s">
        <v>45</v>
      </c>
      <c r="E370" s="19" t="s">
        <v>46</v>
      </c>
      <c r="F370" s="19" t="s">
        <v>2908</v>
      </c>
      <c r="G370" s="19" t="s">
        <v>226</v>
      </c>
      <c r="H370" s="19" t="s">
        <v>49</v>
      </c>
      <c r="I370" s="20">
        <v>45854.40625</v>
      </c>
      <c r="K370" s="19"/>
      <c r="L370" s="20">
        <v>45854.458333333343</v>
      </c>
      <c r="M370" s="19"/>
      <c r="N370" s="22">
        <f t="shared" si="12"/>
        <v>5.208333334303461E-2</v>
      </c>
      <c r="O370" s="19" t="s">
        <v>50</v>
      </c>
      <c r="P370" s="19" t="s">
        <v>2909</v>
      </c>
      <c r="Q370" s="19" t="s">
        <v>2940</v>
      </c>
      <c r="R370" s="19"/>
      <c r="S370" s="19"/>
      <c r="U370" s="19"/>
      <c r="W370" s="19"/>
      <c r="X370" s="19" t="s">
        <v>620</v>
      </c>
      <c r="Y370" s="27" t="s">
        <v>147</v>
      </c>
      <c r="Z370" s="27" t="s">
        <v>78</v>
      </c>
      <c r="AA370" s="27" t="s">
        <v>78</v>
      </c>
      <c r="AB370" s="27" t="s">
        <v>78</v>
      </c>
      <c r="AC370" s="37" t="s">
        <v>78</v>
      </c>
      <c r="AD370" s="38" t="s">
        <v>78</v>
      </c>
      <c r="AE370" s="36">
        <v>45839</v>
      </c>
      <c r="AF370" s="19" t="s">
        <v>89</v>
      </c>
      <c r="AG370" s="19" t="s">
        <v>90</v>
      </c>
      <c r="AH370" s="19" t="s">
        <v>62</v>
      </c>
      <c r="AI370" s="19" t="s">
        <v>50</v>
      </c>
      <c r="AJ370" s="19" t="s">
        <v>2941</v>
      </c>
      <c r="AK370" s="19"/>
      <c r="AL370" s="19"/>
      <c r="AM370" s="19"/>
      <c r="AN370" s="19" t="s">
        <v>103</v>
      </c>
      <c r="AO370" s="23">
        <v>45854.40625</v>
      </c>
      <c r="AP370" s="26">
        <f t="shared" si="13"/>
        <v>75</v>
      </c>
    </row>
    <row r="371" spans="1:42" ht="25.5" hidden="1" customHeight="1">
      <c r="A371" s="19" t="s">
        <v>42</v>
      </c>
      <c r="B371" s="19" t="s">
        <v>186</v>
      </c>
      <c r="C371" s="19" t="s">
        <v>577</v>
      </c>
      <c r="D371" s="19" t="s">
        <v>45</v>
      </c>
      <c r="E371" s="19" t="s">
        <v>46</v>
      </c>
      <c r="F371" s="19" t="s">
        <v>2942</v>
      </c>
      <c r="G371" s="19" t="s">
        <v>48</v>
      </c>
      <c r="H371" s="19" t="s">
        <v>49</v>
      </c>
      <c r="I371" s="20">
        <v>45854.523611111108</v>
      </c>
      <c r="K371" s="19"/>
      <c r="L371" s="20">
        <v>45854.667361111111</v>
      </c>
      <c r="M371" s="19"/>
      <c r="N371" s="22">
        <f t="shared" si="12"/>
        <v>0.14375000000291038</v>
      </c>
      <c r="O371" s="19" t="s">
        <v>63</v>
      </c>
      <c r="P371" s="19" t="s">
        <v>2943</v>
      </c>
      <c r="Q371" s="19" t="s">
        <v>2944</v>
      </c>
      <c r="R371" s="19"/>
      <c r="S371" s="19"/>
      <c r="U371" s="19"/>
      <c r="W371" s="19"/>
      <c r="X371" s="19" t="s">
        <v>191</v>
      </c>
      <c r="Y371" s="27" t="s">
        <v>147</v>
      </c>
      <c r="Z371" s="27" t="s">
        <v>78</v>
      </c>
      <c r="AA371" s="27" t="s">
        <v>78</v>
      </c>
      <c r="AB371" s="27" t="s">
        <v>78</v>
      </c>
      <c r="AC371" s="37" t="s">
        <v>78</v>
      </c>
      <c r="AD371" s="38" t="s">
        <v>78</v>
      </c>
      <c r="AE371" s="36">
        <v>45839</v>
      </c>
      <c r="AF371" s="19" t="s">
        <v>89</v>
      </c>
      <c r="AG371" s="19" t="s">
        <v>126</v>
      </c>
      <c r="AH371" s="19" t="s">
        <v>62</v>
      </c>
      <c r="AI371" s="19" t="s">
        <v>50</v>
      </c>
      <c r="AJ371" s="19" t="s">
        <v>2945</v>
      </c>
      <c r="AK371" s="19"/>
      <c r="AL371" s="19"/>
      <c r="AM371" s="19"/>
      <c r="AN371" s="19" t="s">
        <v>65</v>
      </c>
      <c r="AO371" s="23">
        <v>45854.40625</v>
      </c>
      <c r="AP371" s="26">
        <f t="shared" si="13"/>
        <v>207</v>
      </c>
    </row>
    <row r="372" spans="1:42" ht="25.5" hidden="1" customHeight="1">
      <c r="A372" s="19" t="s">
        <v>42</v>
      </c>
      <c r="B372" s="19" t="s">
        <v>470</v>
      </c>
      <c r="C372" s="19" t="s">
        <v>471</v>
      </c>
      <c r="D372" s="19" t="s">
        <v>45</v>
      </c>
      <c r="E372" s="19" t="s">
        <v>46</v>
      </c>
      <c r="F372" s="19" t="s">
        <v>2946</v>
      </c>
      <c r="G372" s="19" t="s">
        <v>48</v>
      </c>
      <c r="H372" s="19" t="s">
        <v>49</v>
      </c>
      <c r="I372" s="20">
        <v>45854.632638888892</v>
      </c>
      <c r="K372" s="19"/>
      <c r="L372" s="20">
        <v>45854.6875</v>
      </c>
      <c r="M372" s="19"/>
      <c r="N372" s="22">
        <f t="shared" si="12"/>
        <v>5.486111110803904E-2</v>
      </c>
      <c r="O372" s="19" t="s">
        <v>50</v>
      </c>
      <c r="P372" s="19" t="s">
        <v>2947</v>
      </c>
      <c r="Q372" s="19" t="s">
        <v>2948</v>
      </c>
      <c r="R372" s="19"/>
      <c r="S372" s="19"/>
      <c r="U372" s="19"/>
      <c r="W372" s="19"/>
      <c r="X372" s="19" t="s">
        <v>475</v>
      </c>
      <c r="Y372" s="27" t="s">
        <v>54</v>
      </c>
      <c r="Z372" s="27" t="s">
        <v>1691</v>
      </c>
      <c r="AA372" s="27" t="s">
        <v>2949</v>
      </c>
      <c r="AB372" s="27" t="s">
        <v>2950</v>
      </c>
      <c r="AC372" s="37" t="s">
        <v>2951</v>
      </c>
      <c r="AD372" s="38" t="s">
        <v>2952</v>
      </c>
      <c r="AE372" s="36">
        <v>45839</v>
      </c>
      <c r="AF372" s="19" t="s">
        <v>89</v>
      </c>
      <c r="AG372" s="19" t="s">
        <v>90</v>
      </c>
      <c r="AH372" s="19" t="s">
        <v>62</v>
      </c>
      <c r="AI372" s="19" t="s">
        <v>63</v>
      </c>
      <c r="AJ372" s="19" t="s">
        <v>2953</v>
      </c>
      <c r="AK372" s="19"/>
      <c r="AL372" s="19"/>
      <c r="AM372" s="19"/>
      <c r="AN372" s="19" t="s">
        <v>128</v>
      </c>
      <c r="AO372" s="23">
        <v>45854.632638888892</v>
      </c>
      <c r="AP372" s="26">
        <f t="shared" si="13"/>
        <v>79</v>
      </c>
    </row>
    <row r="373" spans="1:42" ht="25.5" hidden="1" customHeight="1">
      <c r="A373" s="19" t="s">
        <v>285</v>
      </c>
      <c r="C373" s="19" t="s">
        <v>717</v>
      </c>
      <c r="D373" s="19" t="s">
        <v>45</v>
      </c>
      <c r="E373" s="19" t="s">
        <v>46</v>
      </c>
      <c r="F373" s="19" t="s">
        <v>2954</v>
      </c>
      <c r="G373" s="19" t="s">
        <v>48</v>
      </c>
      <c r="H373" s="19" t="s">
        <v>49</v>
      </c>
      <c r="I373" s="20">
        <v>45855.450694444437</v>
      </c>
      <c r="K373" s="19"/>
      <c r="L373" s="20">
        <v>45855.496527777781</v>
      </c>
      <c r="M373" s="19"/>
      <c r="N373" s="22">
        <f t="shared" si="12"/>
        <v>4.5833333344489802E-2</v>
      </c>
      <c r="O373" s="19" t="s">
        <v>63</v>
      </c>
      <c r="P373" s="19" t="s">
        <v>2955</v>
      </c>
      <c r="Q373" s="19" t="s">
        <v>2956</v>
      </c>
      <c r="R373" s="19"/>
      <c r="S373" s="19"/>
      <c r="U373" s="19"/>
      <c r="W373" s="19"/>
      <c r="X373" s="19" t="s">
        <v>721</v>
      </c>
      <c r="Y373" s="27" t="s">
        <v>133</v>
      </c>
      <c r="Z373" s="27" t="s">
        <v>2957</v>
      </c>
      <c r="AA373" s="27" t="s">
        <v>2958</v>
      </c>
      <c r="AB373" s="27" t="s">
        <v>2959</v>
      </c>
      <c r="AC373" s="37" t="s">
        <v>2960</v>
      </c>
      <c r="AD373" s="38" t="s">
        <v>2961</v>
      </c>
      <c r="AE373" s="36">
        <v>45839</v>
      </c>
      <c r="AF373" s="19" t="s">
        <v>78</v>
      </c>
      <c r="AG373" s="19" t="s">
        <v>78</v>
      </c>
      <c r="AH373" s="19" t="s">
        <v>78</v>
      </c>
      <c r="AI373" s="19" t="s">
        <v>63</v>
      </c>
      <c r="AJ373" s="19" t="s">
        <v>2962</v>
      </c>
      <c r="AK373" s="19"/>
      <c r="AL373" s="19"/>
      <c r="AM373" s="19"/>
      <c r="AN373" s="19" t="s">
        <v>103</v>
      </c>
      <c r="AO373" s="23">
        <v>45855.450694444437</v>
      </c>
      <c r="AP373" s="26">
        <f t="shared" si="13"/>
        <v>66</v>
      </c>
    </row>
    <row r="374" spans="1:42" ht="25.5" hidden="1" customHeight="1">
      <c r="A374" s="19" t="s">
        <v>285</v>
      </c>
      <c r="B374" s="19" t="s">
        <v>2912</v>
      </c>
      <c r="C374" s="19" t="s">
        <v>1408</v>
      </c>
      <c r="D374" s="19" t="s">
        <v>45</v>
      </c>
      <c r="E374" s="19" t="s">
        <v>46</v>
      </c>
      <c r="F374" s="19" t="s">
        <v>2913</v>
      </c>
      <c r="G374" s="19" t="s">
        <v>226</v>
      </c>
      <c r="H374" s="19" t="s">
        <v>49</v>
      </c>
      <c r="I374" s="20">
        <v>45855.588888888888</v>
      </c>
      <c r="K374" s="19"/>
      <c r="L374" s="20">
        <v>45855.652777777781</v>
      </c>
      <c r="M374" s="19"/>
      <c r="N374" s="22">
        <f t="shared" si="12"/>
        <v>6.3888888893416151E-2</v>
      </c>
      <c r="O374" s="19" t="s">
        <v>50</v>
      </c>
      <c r="P374" s="19" t="s">
        <v>2963</v>
      </c>
      <c r="Q374" s="19" t="s">
        <v>2964</v>
      </c>
      <c r="R374" s="19"/>
      <c r="S374" s="19"/>
      <c r="U374" s="19"/>
      <c r="W374" s="19"/>
      <c r="X374" s="19" t="s">
        <v>1412</v>
      </c>
      <c r="Y374" s="27" t="s">
        <v>54</v>
      </c>
      <c r="Z374" s="27" t="s">
        <v>209</v>
      </c>
      <c r="AA374" s="27" t="s">
        <v>2965</v>
      </c>
      <c r="AB374" s="27" t="s">
        <v>2966</v>
      </c>
      <c r="AC374" s="37">
        <v>45855.57916666667</v>
      </c>
      <c r="AD374" s="38" t="s">
        <v>1116</v>
      </c>
      <c r="AE374" s="36">
        <v>45839</v>
      </c>
      <c r="AF374" s="19" t="s">
        <v>89</v>
      </c>
      <c r="AG374" s="19" t="s">
        <v>90</v>
      </c>
      <c r="AH374" s="19" t="s">
        <v>62</v>
      </c>
      <c r="AI374" s="19" t="s">
        <v>50</v>
      </c>
      <c r="AJ374" s="19" t="s">
        <v>2967</v>
      </c>
      <c r="AK374" s="19"/>
      <c r="AL374" s="19"/>
      <c r="AM374" s="19"/>
      <c r="AN374" s="19" t="s">
        <v>128</v>
      </c>
      <c r="AO374" s="23">
        <v>45855.588888888888</v>
      </c>
      <c r="AP374" s="26">
        <f t="shared" si="13"/>
        <v>92</v>
      </c>
    </row>
    <row r="375" spans="1:42" ht="25.5" hidden="1" customHeight="1">
      <c r="A375" s="19" t="s">
        <v>42</v>
      </c>
      <c r="B375" s="19" t="s">
        <v>309</v>
      </c>
      <c r="C375" s="19" t="s">
        <v>310</v>
      </c>
      <c r="D375" s="19" t="s">
        <v>45</v>
      </c>
      <c r="E375" s="19" t="s">
        <v>46</v>
      </c>
      <c r="F375" s="19" t="s">
        <v>2968</v>
      </c>
      <c r="G375" s="19" t="s">
        <v>48</v>
      </c>
      <c r="H375" s="19" t="s">
        <v>49</v>
      </c>
      <c r="I375" s="20">
        <v>45855.776388888888</v>
      </c>
      <c r="K375" s="19"/>
      <c r="L375" s="20">
        <v>45855.906944444447</v>
      </c>
      <c r="M375" s="19"/>
      <c r="N375" s="22">
        <f t="shared" si="12"/>
        <v>0.13055555555911269</v>
      </c>
      <c r="O375" s="19" t="s">
        <v>63</v>
      </c>
      <c r="P375" s="19" t="s">
        <v>2969</v>
      </c>
      <c r="Q375" s="19" t="s">
        <v>2970</v>
      </c>
      <c r="R375" s="19"/>
      <c r="S375" s="19"/>
      <c r="U375" s="19"/>
      <c r="W375" s="19"/>
      <c r="X375" s="19" t="s">
        <v>314</v>
      </c>
      <c r="Y375" s="27" t="s">
        <v>54</v>
      </c>
      <c r="Z375" s="27" t="s">
        <v>2971</v>
      </c>
      <c r="AA375" s="27" t="s">
        <v>2972</v>
      </c>
      <c r="AB375" s="27" t="s">
        <v>2973</v>
      </c>
      <c r="AC375" s="37" t="s">
        <v>2974</v>
      </c>
      <c r="AD375" s="38" t="s">
        <v>2975</v>
      </c>
      <c r="AE375" s="36">
        <v>45839</v>
      </c>
      <c r="AF375" s="19" t="s">
        <v>89</v>
      </c>
      <c r="AG375" s="19" t="s">
        <v>90</v>
      </c>
      <c r="AH375" s="19" t="s">
        <v>62</v>
      </c>
      <c r="AI375" s="19" t="s">
        <v>63</v>
      </c>
      <c r="AJ375" s="19" t="s">
        <v>2976</v>
      </c>
      <c r="AK375" s="19"/>
      <c r="AL375" s="19"/>
      <c r="AM375" s="19"/>
      <c r="AN375" s="19" t="s">
        <v>622</v>
      </c>
      <c r="AO375" s="23">
        <v>45855.776388888888</v>
      </c>
      <c r="AP375" s="26">
        <f t="shared" si="13"/>
        <v>188</v>
      </c>
    </row>
    <row r="376" spans="1:42" ht="25.5" hidden="1" customHeight="1">
      <c r="A376" s="19" t="s">
        <v>116</v>
      </c>
      <c r="C376" s="19" t="s">
        <v>1734</v>
      </c>
      <c r="D376" s="19" t="s">
        <v>45</v>
      </c>
      <c r="E376" s="19" t="s">
        <v>46</v>
      </c>
      <c r="F376" s="19" t="s">
        <v>2977</v>
      </c>
      <c r="G376" s="19" t="s">
        <v>48</v>
      </c>
      <c r="H376" s="19" t="s">
        <v>49</v>
      </c>
      <c r="I376" s="20">
        <v>45856.237500000003</v>
      </c>
      <c r="K376" s="19"/>
      <c r="L376" s="20">
        <v>45856.322916666657</v>
      </c>
      <c r="M376" s="19"/>
      <c r="N376" s="22">
        <f t="shared" si="12"/>
        <v>8.5416666654055007E-2</v>
      </c>
      <c r="O376" s="19" t="s">
        <v>50</v>
      </c>
      <c r="P376" s="19" t="s">
        <v>2978</v>
      </c>
      <c r="Q376" s="19" t="s">
        <v>2979</v>
      </c>
      <c r="R376" s="19"/>
      <c r="S376" s="19"/>
      <c r="U376" s="19"/>
      <c r="W376" s="19"/>
      <c r="X376" s="19" t="s">
        <v>122</v>
      </c>
      <c r="Y376" s="27" t="s">
        <v>133</v>
      </c>
      <c r="Z376" s="27" t="s">
        <v>361</v>
      </c>
      <c r="AA376" s="27" t="s">
        <v>2980</v>
      </c>
      <c r="AB376" s="27" t="s">
        <v>2981</v>
      </c>
      <c r="AC376" s="37" t="s">
        <v>2982</v>
      </c>
      <c r="AD376" s="38" t="s">
        <v>2983</v>
      </c>
      <c r="AE376" s="36">
        <v>45839</v>
      </c>
      <c r="AF376" s="19" t="s">
        <v>89</v>
      </c>
      <c r="AG376" s="19" t="s">
        <v>126</v>
      </c>
      <c r="AH376" s="19" t="s">
        <v>62</v>
      </c>
      <c r="AI376" s="19" t="s">
        <v>63</v>
      </c>
      <c r="AJ376" s="19" t="s">
        <v>2984</v>
      </c>
      <c r="AK376" s="19"/>
      <c r="AL376" s="19"/>
      <c r="AM376" s="19"/>
      <c r="AN376" s="19" t="s">
        <v>65</v>
      </c>
      <c r="AO376" s="23">
        <v>45856.237500000003</v>
      </c>
      <c r="AP376" s="26">
        <f t="shared" si="13"/>
        <v>123</v>
      </c>
    </row>
    <row r="377" spans="1:42" ht="25.5" hidden="1" customHeight="1">
      <c r="A377" s="19" t="s">
        <v>42</v>
      </c>
      <c r="B377" s="19" t="s">
        <v>242</v>
      </c>
      <c r="C377" s="19" t="s">
        <v>336</v>
      </c>
      <c r="D377" s="19" t="s">
        <v>45</v>
      </c>
      <c r="E377" s="19" t="s">
        <v>46</v>
      </c>
      <c r="F377" s="19" t="s">
        <v>2985</v>
      </c>
      <c r="G377" s="19" t="s">
        <v>48</v>
      </c>
      <c r="H377" s="19" t="s">
        <v>49</v>
      </c>
      <c r="I377" s="20">
        <v>45856.320833333331</v>
      </c>
      <c r="K377" s="19"/>
      <c r="L377" s="20">
        <v>45856.326388888891</v>
      </c>
      <c r="M377" s="19"/>
      <c r="N377" s="22">
        <f t="shared" si="12"/>
        <v>5.5555555591126904E-3</v>
      </c>
      <c r="O377" s="19" t="s">
        <v>50</v>
      </c>
      <c r="P377" s="19" t="s">
        <v>2986</v>
      </c>
      <c r="Q377" s="19" t="s">
        <v>2987</v>
      </c>
      <c r="R377" s="19"/>
      <c r="S377" s="19"/>
      <c r="U377" s="19"/>
      <c r="W377" s="19"/>
      <c r="X377" s="19" t="s">
        <v>314</v>
      </c>
      <c r="Y377" s="27" t="s">
        <v>54</v>
      </c>
      <c r="Z377" s="27" t="s">
        <v>348</v>
      </c>
      <c r="AA377" s="27" t="s">
        <v>2988</v>
      </c>
      <c r="AB377" s="27" t="s">
        <v>2989</v>
      </c>
      <c r="AC377" s="37" t="s">
        <v>2990</v>
      </c>
      <c r="AD377" s="38" t="s">
        <v>2991</v>
      </c>
      <c r="AE377" s="36">
        <v>45839</v>
      </c>
      <c r="AF377" s="19" t="s">
        <v>89</v>
      </c>
      <c r="AG377" s="19" t="s">
        <v>90</v>
      </c>
      <c r="AH377" s="19" t="s">
        <v>62</v>
      </c>
      <c r="AI377" s="19" t="s">
        <v>63</v>
      </c>
      <c r="AJ377" s="19" t="s">
        <v>2992</v>
      </c>
      <c r="AK377" s="19"/>
      <c r="AL377" s="19"/>
      <c r="AM377" s="19"/>
      <c r="AN377" s="19" t="s">
        <v>103</v>
      </c>
      <c r="AO377" s="23">
        <v>45856.320833333331</v>
      </c>
      <c r="AP377" s="26">
        <f t="shared" si="13"/>
        <v>8</v>
      </c>
    </row>
    <row r="378" spans="1:42" ht="25.5" customHeight="1">
      <c r="A378" s="19" t="s">
        <v>42</v>
      </c>
      <c r="B378" s="19" t="s">
        <v>43</v>
      </c>
      <c r="C378" s="19" t="s">
        <v>2993</v>
      </c>
      <c r="D378" s="19" t="s">
        <v>45</v>
      </c>
      <c r="E378" s="19" t="s">
        <v>46</v>
      </c>
      <c r="F378" s="19" t="s">
        <v>2994</v>
      </c>
      <c r="G378" s="19" t="s">
        <v>48</v>
      </c>
      <c r="H378" s="19" t="s">
        <v>152</v>
      </c>
      <c r="I378" s="20">
        <v>45856.478472222218</v>
      </c>
      <c r="J378" s="20">
        <v>45856.503472222219</v>
      </c>
      <c r="K378" s="19"/>
      <c r="L378" s="20">
        <v>45856.524305555547</v>
      </c>
      <c r="M378" s="19"/>
      <c r="N378" s="22">
        <f t="shared" si="12"/>
        <v>4.5833333329937886E-2</v>
      </c>
      <c r="O378" s="19" t="s">
        <v>50</v>
      </c>
      <c r="P378" s="19" t="s">
        <v>2995</v>
      </c>
      <c r="Q378" s="19" t="s">
        <v>2996</v>
      </c>
      <c r="R378" s="19" t="s">
        <v>2997</v>
      </c>
      <c r="S378" s="19" t="s">
        <v>2998</v>
      </c>
      <c r="T378" s="20">
        <v>45856.606793981482</v>
      </c>
      <c r="U378" s="19">
        <v>45859.790277777778</v>
      </c>
      <c r="V378" s="19" t="s">
        <v>157</v>
      </c>
      <c r="W378" s="19"/>
      <c r="X378" s="19" t="s">
        <v>2999</v>
      </c>
      <c r="Y378" s="27" t="s">
        <v>133</v>
      </c>
      <c r="Z378" s="27" t="s">
        <v>3000</v>
      </c>
      <c r="AA378" s="27" t="s">
        <v>3001</v>
      </c>
      <c r="AB378" s="27" t="s">
        <v>3002</v>
      </c>
      <c r="AC378" s="37" t="s">
        <v>3003</v>
      </c>
      <c r="AD378" s="38" t="s">
        <v>3004</v>
      </c>
      <c r="AE378" s="36">
        <v>45839</v>
      </c>
      <c r="AF378" s="19" t="s">
        <v>89</v>
      </c>
      <c r="AG378" s="19" t="s">
        <v>656</v>
      </c>
      <c r="AH378" s="19" t="s">
        <v>62</v>
      </c>
      <c r="AI378" s="19" t="s">
        <v>63</v>
      </c>
      <c r="AJ378" s="19" t="s">
        <v>3005</v>
      </c>
      <c r="AK378" s="19"/>
      <c r="AL378" s="19"/>
      <c r="AM378" s="19"/>
      <c r="AN378" s="19" t="s">
        <v>65</v>
      </c>
      <c r="AO378" s="23">
        <v>45856.478472222218</v>
      </c>
      <c r="AP378" s="26">
        <f t="shared" si="13"/>
        <v>66</v>
      </c>
    </row>
    <row r="379" spans="1:42" ht="25.5" hidden="1" customHeight="1">
      <c r="A379" s="19" t="s">
        <v>116</v>
      </c>
      <c r="B379" s="19" t="s">
        <v>93</v>
      </c>
      <c r="C379" s="19" t="s">
        <v>94</v>
      </c>
      <c r="D379" s="19" t="s">
        <v>45</v>
      </c>
      <c r="E379" s="19" t="s">
        <v>46</v>
      </c>
      <c r="F379" s="19" t="s">
        <v>3006</v>
      </c>
      <c r="G379" s="19" t="s">
        <v>48</v>
      </c>
      <c r="H379" s="19" t="s">
        <v>49</v>
      </c>
      <c r="I379" s="20">
        <v>45856.510416666657</v>
      </c>
      <c r="K379" s="19"/>
      <c r="L379" s="20">
        <v>45856.526388888888</v>
      </c>
      <c r="M379" s="19"/>
      <c r="N379" s="22">
        <f t="shared" si="12"/>
        <v>1.5972222230629995E-2</v>
      </c>
      <c r="O379" s="19" t="s">
        <v>50</v>
      </c>
      <c r="P379" s="19" t="s">
        <v>2621</v>
      </c>
      <c r="Q379" s="19" t="s">
        <v>3007</v>
      </c>
      <c r="R379" s="19"/>
      <c r="S379" s="19"/>
      <c r="U379" s="19"/>
      <c r="W379" s="19"/>
      <c r="X379" s="19" t="s">
        <v>98</v>
      </c>
      <c r="Y379" s="27" t="s">
        <v>54</v>
      </c>
      <c r="Z379" s="27" t="s">
        <v>811</v>
      </c>
      <c r="AA379" s="27" t="s">
        <v>3008</v>
      </c>
      <c r="AB379" s="27" t="s">
        <v>3009</v>
      </c>
      <c r="AC379" s="37" t="s">
        <v>3010</v>
      </c>
      <c r="AD379" s="38" t="s">
        <v>3011</v>
      </c>
      <c r="AE379" s="36">
        <v>45839</v>
      </c>
      <c r="AF379" s="19" t="s">
        <v>89</v>
      </c>
      <c r="AG379" s="19" t="s">
        <v>90</v>
      </c>
      <c r="AH379" s="19" t="s">
        <v>62</v>
      </c>
      <c r="AI379" s="19" t="s">
        <v>63</v>
      </c>
      <c r="AJ379" s="19" t="s">
        <v>2627</v>
      </c>
      <c r="AK379" s="19" t="s">
        <v>3012</v>
      </c>
      <c r="AL379" s="19"/>
      <c r="AM379" s="19"/>
      <c r="AN379" s="19" t="s">
        <v>103</v>
      </c>
      <c r="AO379" s="23">
        <v>45856.510416666657</v>
      </c>
      <c r="AP379" s="26">
        <f t="shared" si="13"/>
        <v>23</v>
      </c>
    </row>
    <row r="380" spans="1:42" ht="25.5" hidden="1" customHeight="1">
      <c r="A380" s="19" t="s">
        <v>116</v>
      </c>
      <c r="B380" s="19" t="s">
        <v>93</v>
      </c>
      <c r="C380" s="19" t="s">
        <v>336</v>
      </c>
      <c r="D380" s="19" t="s">
        <v>45</v>
      </c>
      <c r="E380" s="19" t="s">
        <v>46</v>
      </c>
      <c r="F380" s="19" t="s">
        <v>3013</v>
      </c>
      <c r="G380" s="19" t="s">
        <v>48</v>
      </c>
      <c r="H380" s="19" t="s">
        <v>49</v>
      </c>
      <c r="I380" s="20">
        <v>45856.55972222222</v>
      </c>
      <c r="K380" s="19"/>
      <c r="L380" s="20">
        <v>45856.576388888891</v>
      </c>
      <c r="M380" s="19"/>
      <c r="N380" s="22">
        <f t="shared" si="12"/>
        <v>1.6666666670062114E-2</v>
      </c>
      <c r="O380" s="19" t="s">
        <v>50</v>
      </c>
      <c r="P380" s="19" t="s">
        <v>3014</v>
      </c>
      <c r="Q380" s="19" t="s">
        <v>3015</v>
      </c>
      <c r="R380" s="19"/>
      <c r="S380" s="19"/>
      <c r="U380" s="19"/>
      <c r="W380" s="19"/>
      <c r="X380" s="19" t="s">
        <v>314</v>
      </c>
      <c r="Y380" s="27" t="s">
        <v>54</v>
      </c>
      <c r="Z380" s="27" t="s">
        <v>361</v>
      </c>
      <c r="AA380" s="27" t="s">
        <v>3016</v>
      </c>
      <c r="AB380" s="27" t="s">
        <v>3017</v>
      </c>
      <c r="AC380" s="37" t="s">
        <v>3018</v>
      </c>
      <c r="AD380" s="38" t="s">
        <v>3019</v>
      </c>
      <c r="AE380" s="36">
        <v>45839</v>
      </c>
      <c r="AF380" s="19" t="s">
        <v>89</v>
      </c>
      <c r="AG380" s="19" t="s">
        <v>90</v>
      </c>
      <c r="AH380" s="19" t="s">
        <v>62</v>
      </c>
      <c r="AI380" s="19" t="s">
        <v>63</v>
      </c>
      <c r="AJ380" s="19" t="s">
        <v>3020</v>
      </c>
      <c r="AK380" s="19"/>
      <c r="AL380" s="19"/>
      <c r="AM380" s="19"/>
      <c r="AN380" s="19" t="s">
        <v>103</v>
      </c>
      <c r="AO380" s="23">
        <v>45856.55972222222</v>
      </c>
      <c r="AP380" s="26">
        <f t="shared" si="13"/>
        <v>24</v>
      </c>
    </row>
    <row r="381" spans="1:42" ht="25.5" hidden="1" customHeight="1">
      <c r="A381" s="19" t="s">
        <v>42</v>
      </c>
      <c r="C381" s="19" t="s">
        <v>3021</v>
      </c>
      <c r="D381" s="19" t="s">
        <v>45</v>
      </c>
      <c r="E381" s="19" t="s">
        <v>46</v>
      </c>
      <c r="F381" s="19" t="s">
        <v>3022</v>
      </c>
      <c r="G381" s="19" t="s">
        <v>48</v>
      </c>
      <c r="H381" s="19" t="s">
        <v>49</v>
      </c>
      <c r="I381" s="20">
        <v>45856.573611111111</v>
      </c>
      <c r="K381" s="19"/>
      <c r="L381" s="20">
        <v>45856.590277777781</v>
      </c>
      <c r="M381" s="19"/>
      <c r="N381" s="22">
        <f t="shared" si="12"/>
        <v>1.6666666670062114E-2</v>
      </c>
      <c r="O381" s="19" t="s">
        <v>63</v>
      </c>
      <c r="P381" s="19" t="s">
        <v>3023</v>
      </c>
      <c r="Q381" s="19" t="s">
        <v>3024</v>
      </c>
      <c r="R381" s="19"/>
      <c r="S381" s="19"/>
      <c r="U381" s="19"/>
      <c r="W381" s="19"/>
      <c r="X381" s="19" t="s">
        <v>3025</v>
      </c>
      <c r="Y381" s="27" t="s">
        <v>147</v>
      </c>
      <c r="Z381" s="27" t="s">
        <v>78</v>
      </c>
      <c r="AA381" s="27" t="s">
        <v>78</v>
      </c>
      <c r="AB381" s="27" t="s">
        <v>78</v>
      </c>
      <c r="AC381" s="37" t="s">
        <v>78</v>
      </c>
      <c r="AD381" s="38" t="s">
        <v>78</v>
      </c>
      <c r="AE381" s="36">
        <v>45839</v>
      </c>
      <c r="AF381" s="19" t="s">
        <v>89</v>
      </c>
      <c r="AG381" s="19" t="s">
        <v>90</v>
      </c>
      <c r="AH381" s="19" t="s">
        <v>62</v>
      </c>
      <c r="AI381" s="19" t="s">
        <v>63</v>
      </c>
      <c r="AJ381" s="19" t="s">
        <v>3026</v>
      </c>
      <c r="AK381" s="19"/>
      <c r="AL381" s="19"/>
      <c r="AM381" s="19"/>
      <c r="AN381" s="19" t="s">
        <v>65</v>
      </c>
      <c r="AO381" s="23">
        <v>45856.573611111111</v>
      </c>
      <c r="AP381" s="26">
        <f t="shared" si="13"/>
        <v>24</v>
      </c>
    </row>
    <row r="382" spans="1:42" ht="25.5" customHeight="1">
      <c r="A382" s="19" t="s">
        <v>285</v>
      </c>
      <c r="B382" s="19" t="s">
        <v>271</v>
      </c>
      <c r="C382" s="19" t="s">
        <v>3027</v>
      </c>
      <c r="D382" s="19" t="s">
        <v>45</v>
      </c>
      <c r="E382" s="19" t="s">
        <v>46</v>
      </c>
      <c r="F382" s="19" t="s">
        <v>3028</v>
      </c>
      <c r="G382" s="19" t="s">
        <v>48</v>
      </c>
      <c r="H382" s="19" t="s">
        <v>152</v>
      </c>
      <c r="I382" s="20">
        <v>45856.632638888892</v>
      </c>
      <c r="J382" s="20">
        <v>45856.666666666657</v>
      </c>
      <c r="K382" s="19"/>
      <c r="L382" s="20">
        <v>45856.673611111109</v>
      </c>
      <c r="M382" s="19"/>
      <c r="N382" s="22">
        <f t="shared" si="12"/>
        <v>4.0972222217533272E-2</v>
      </c>
      <c r="O382" s="19" t="s">
        <v>63</v>
      </c>
      <c r="P382" s="19" t="s">
        <v>3029</v>
      </c>
      <c r="Q382" s="19" t="s">
        <v>3030</v>
      </c>
      <c r="R382" s="19" t="s">
        <v>3031</v>
      </c>
      <c r="S382" s="19" t="s">
        <v>3032</v>
      </c>
      <c r="T382" s="20">
        <v>45856.74591435185</v>
      </c>
      <c r="U382" s="19">
        <v>45859.680555555547</v>
      </c>
      <c r="V382" s="19" t="s">
        <v>157</v>
      </c>
      <c r="W382" s="19"/>
      <c r="X382" s="19" t="s">
        <v>301</v>
      </c>
      <c r="Y382" s="27" t="s">
        <v>54</v>
      </c>
      <c r="Z382" s="27" t="s">
        <v>361</v>
      </c>
      <c r="AA382" s="27" t="s">
        <v>3033</v>
      </c>
      <c r="AB382" s="27" t="s">
        <v>3034</v>
      </c>
      <c r="AC382" s="37" t="s">
        <v>3035</v>
      </c>
      <c r="AD382" s="38" t="s">
        <v>3036</v>
      </c>
      <c r="AE382" s="36">
        <v>45839</v>
      </c>
      <c r="AF382" s="19" t="s">
        <v>293</v>
      </c>
      <c r="AG382" s="19" t="s">
        <v>307</v>
      </c>
      <c r="AH382" s="19" t="s">
        <v>62</v>
      </c>
      <c r="AI382" s="19" t="s">
        <v>63</v>
      </c>
      <c r="AJ382" s="19" t="s">
        <v>3037</v>
      </c>
      <c r="AK382" s="19"/>
      <c r="AL382" s="19"/>
      <c r="AM382" s="19"/>
      <c r="AN382" s="19" t="s">
        <v>103</v>
      </c>
      <c r="AO382" s="23">
        <v>45856.632638888892</v>
      </c>
      <c r="AP382" s="26">
        <f t="shared" si="13"/>
        <v>59</v>
      </c>
    </row>
    <row r="383" spans="1:42" ht="25.5" hidden="1" customHeight="1">
      <c r="A383" s="19" t="s">
        <v>42</v>
      </c>
      <c r="B383" s="19" t="s">
        <v>3038</v>
      </c>
      <c r="C383" s="19" t="s">
        <v>452</v>
      </c>
      <c r="D383" s="19" t="s">
        <v>45</v>
      </c>
      <c r="E383" s="19" t="s">
        <v>46</v>
      </c>
      <c r="F383" s="19" t="s">
        <v>3039</v>
      </c>
      <c r="G383" s="19" t="s">
        <v>48</v>
      </c>
      <c r="H383" s="19" t="s">
        <v>49</v>
      </c>
      <c r="I383" s="20">
        <v>45856.708333333343</v>
      </c>
      <c r="K383" s="19"/>
      <c r="L383" s="20">
        <v>45856.788194444453</v>
      </c>
      <c r="M383" s="19"/>
      <c r="N383" s="22">
        <f t="shared" si="12"/>
        <v>7.9861111109494232E-2</v>
      </c>
      <c r="O383" s="19" t="s">
        <v>50</v>
      </c>
      <c r="P383" s="19" t="s">
        <v>3040</v>
      </c>
      <c r="Q383" s="19" t="s">
        <v>3041</v>
      </c>
      <c r="R383" s="19"/>
      <c r="S383" s="19"/>
      <c r="U383" s="19"/>
      <c r="W383" s="19"/>
      <c r="X383" s="19" t="s">
        <v>122</v>
      </c>
      <c r="Y383" s="27" t="s">
        <v>133</v>
      </c>
      <c r="Z383" s="27" t="s">
        <v>123</v>
      </c>
      <c r="AA383" s="27" t="s">
        <v>3042</v>
      </c>
      <c r="AB383" s="27" t="s">
        <v>3043</v>
      </c>
      <c r="AC383" s="37">
        <v>45856.681944444441</v>
      </c>
      <c r="AD383" s="38">
        <v>45856.701388888891</v>
      </c>
      <c r="AE383" s="36">
        <v>45839</v>
      </c>
      <c r="AF383" s="19" t="s">
        <v>89</v>
      </c>
      <c r="AG383" s="19" t="s">
        <v>90</v>
      </c>
      <c r="AH383" s="19" t="s">
        <v>62</v>
      </c>
      <c r="AI383" s="19" t="s">
        <v>63</v>
      </c>
      <c r="AJ383" s="19" t="s">
        <v>3044</v>
      </c>
      <c r="AK383" s="19"/>
      <c r="AL383" s="19"/>
      <c r="AM383" s="19"/>
      <c r="AN383" s="19" t="s">
        <v>65</v>
      </c>
      <c r="AO383" s="23">
        <v>45856.708333333343</v>
      </c>
      <c r="AP383" s="26">
        <f t="shared" si="13"/>
        <v>115</v>
      </c>
    </row>
    <row r="384" spans="1:42" ht="25.5" hidden="1" customHeight="1">
      <c r="A384" s="19" t="s">
        <v>42</v>
      </c>
      <c r="B384" s="19" t="s">
        <v>242</v>
      </c>
      <c r="C384" s="19" t="s">
        <v>3045</v>
      </c>
      <c r="D384" s="19" t="s">
        <v>45</v>
      </c>
      <c r="E384" s="19" t="s">
        <v>46</v>
      </c>
      <c r="F384" s="19" t="s">
        <v>3046</v>
      </c>
      <c r="G384" s="19" t="s">
        <v>48</v>
      </c>
      <c r="H384" s="19" t="s">
        <v>49</v>
      </c>
      <c r="I384" s="20">
        <v>45858.380555555559</v>
      </c>
      <c r="K384" s="19"/>
      <c r="L384" s="20">
        <v>45858.40625</v>
      </c>
      <c r="M384" s="19"/>
      <c r="N384" s="22">
        <f t="shared" si="12"/>
        <v>2.569444444088731E-2</v>
      </c>
      <c r="O384" s="19" t="s">
        <v>50</v>
      </c>
      <c r="P384" s="19" t="s">
        <v>3047</v>
      </c>
      <c r="Q384" s="19" t="s">
        <v>3048</v>
      </c>
      <c r="R384" s="19"/>
      <c r="S384" s="19"/>
      <c r="U384" s="19"/>
      <c r="W384" s="19"/>
      <c r="X384" s="19" t="s">
        <v>3049</v>
      </c>
      <c r="Y384" s="27" t="s">
        <v>54</v>
      </c>
      <c r="Z384" s="27" t="s">
        <v>259</v>
      </c>
      <c r="AA384" s="27" t="s">
        <v>3050</v>
      </c>
      <c r="AB384" s="27" t="s">
        <v>3051</v>
      </c>
      <c r="AC384" s="37" t="s">
        <v>3052</v>
      </c>
      <c r="AD384" s="38" t="s">
        <v>3053</v>
      </c>
      <c r="AE384" s="36">
        <v>45839</v>
      </c>
      <c r="AF384" s="19" t="s">
        <v>89</v>
      </c>
      <c r="AG384" s="19" t="s">
        <v>90</v>
      </c>
      <c r="AH384" s="19" t="s">
        <v>62</v>
      </c>
      <c r="AI384" s="19" t="s">
        <v>63</v>
      </c>
      <c r="AJ384" s="19" t="s">
        <v>3054</v>
      </c>
      <c r="AK384" s="19"/>
      <c r="AL384" s="19"/>
      <c r="AM384" s="19"/>
      <c r="AN384" s="19" t="s">
        <v>65</v>
      </c>
      <c r="AO384" s="23">
        <v>45858.380555555559</v>
      </c>
      <c r="AP384" s="26">
        <f t="shared" si="13"/>
        <v>37</v>
      </c>
    </row>
    <row r="385" spans="1:42" ht="25.5" hidden="1" customHeight="1">
      <c r="A385" s="19" t="s">
        <v>42</v>
      </c>
      <c r="C385" s="19" t="s">
        <v>1903</v>
      </c>
      <c r="D385" s="19" t="s">
        <v>45</v>
      </c>
      <c r="E385" s="19" t="s">
        <v>46</v>
      </c>
      <c r="F385" s="19" t="s">
        <v>3055</v>
      </c>
      <c r="G385" s="19" t="s">
        <v>48</v>
      </c>
      <c r="H385" s="19" t="s">
        <v>49</v>
      </c>
      <c r="I385" s="20">
        <v>45858.409722222219</v>
      </c>
      <c r="K385" s="19"/>
      <c r="L385" s="20">
        <v>45858.489583333343</v>
      </c>
      <c r="M385" s="19"/>
      <c r="N385" s="22">
        <f t="shared" si="12"/>
        <v>7.9861111124046147E-2</v>
      </c>
      <c r="O385" s="19" t="s">
        <v>63</v>
      </c>
      <c r="P385" s="19" t="s">
        <v>3056</v>
      </c>
      <c r="Q385" s="19" t="s">
        <v>3057</v>
      </c>
      <c r="R385" s="19"/>
      <c r="S385" s="19"/>
      <c r="U385" s="19"/>
      <c r="W385" s="19"/>
      <c r="X385" s="19" t="s">
        <v>98</v>
      </c>
      <c r="Y385" s="27" t="s">
        <v>147</v>
      </c>
      <c r="Z385" s="27" t="s">
        <v>78</v>
      </c>
      <c r="AA385" s="27" t="s">
        <v>78</v>
      </c>
      <c r="AB385" s="27" t="s">
        <v>78</v>
      </c>
      <c r="AC385" s="37" t="s">
        <v>78</v>
      </c>
      <c r="AD385" s="38" t="s">
        <v>78</v>
      </c>
      <c r="AE385" s="36">
        <v>45839</v>
      </c>
      <c r="AF385" s="19" t="s">
        <v>89</v>
      </c>
      <c r="AG385" s="19" t="s">
        <v>90</v>
      </c>
      <c r="AH385" s="19" t="s">
        <v>62</v>
      </c>
      <c r="AI385" s="19" t="s">
        <v>63</v>
      </c>
      <c r="AJ385" s="19" t="s">
        <v>3058</v>
      </c>
      <c r="AK385" s="19"/>
      <c r="AL385" s="19"/>
      <c r="AM385" s="19"/>
      <c r="AN385" s="19" t="s">
        <v>65</v>
      </c>
      <c r="AO385" s="23">
        <v>45858.409722222219</v>
      </c>
      <c r="AP385" s="26">
        <f t="shared" si="13"/>
        <v>115</v>
      </c>
    </row>
    <row r="386" spans="1:42" ht="25.5" hidden="1" customHeight="1">
      <c r="A386" s="19" t="s">
        <v>42</v>
      </c>
      <c r="B386" s="19" t="s">
        <v>854</v>
      </c>
      <c r="C386" s="19" t="s">
        <v>3059</v>
      </c>
      <c r="D386" s="19" t="s">
        <v>45</v>
      </c>
      <c r="E386" s="19" t="s">
        <v>405</v>
      </c>
      <c r="F386" s="19" t="s">
        <v>3060</v>
      </c>
      <c r="G386" s="19" t="s">
        <v>48</v>
      </c>
      <c r="H386" s="19" t="s">
        <v>49</v>
      </c>
      <c r="I386" s="20">
        <v>45858.56527777778</v>
      </c>
      <c r="K386" s="19"/>
      <c r="L386" s="20">
        <v>45858.643750000003</v>
      </c>
      <c r="M386" s="19"/>
      <c r="N386" s="22">
        <f t="shared" si="12"/>
        <v>7.8472222223354038E-2</v>
      </c>
      <c r="O386" s="19" t="s">
        <v>50</v>
      </c>
      <c r="P386" s="19" t="s">
        <v>3061</v>
      </c>
      <c r="Q386" s="19" t="s">
        <v>3062</v>
      </c>
      <c r="R386" s="19"/>
      <c r="S386" s="19"/>
      <c r="U386" s="19"/>
      <c r="W386" s="19"/>
      <c r="X386" s="19" t="s">
        <v>475</v>
      </c>
      <c r="Y386" s="27" t="s">
        <v>54</v>
      </c>
      <c r="Z386" s="27" t="s">
        <v>123</v>
      </c>
      <c r="AA386" s="27" t="s">
        <v>3063</v>
      </c>
      <c r="AB386" s="27" t="s">
        <v>3064</v>
      </c>
      <c r="AC386" s="37" t="s">
        <v>3065</v>
      </c>
      <c r="AD386" s="38" t="s">
        <v>3066</v>
      </c>
      <c r="AE386" s="36">
        <v>45839</v>
      </c>
      <c r="AF386" s="19" t="s">
        <v>89</v>
      </c>
      <c r="AG386" s="19" t="s">
        <v>90</v>
      </c>
      <c r="AH386" s="19" t="s">
        <v>62</v>
      </c>
      <c r="AI386" s="19" t="s">
        <v>63</v>
      </c>
      <c r="AJ386" s="19" t="s">
        <v>3067</v>
      </c>
      <c r="AK386" s="19"/>
      <c r="AL386" s="19"/>
      <c r="AM386" s="19"/>
      <c r="AN386" s="19" t="s">
        <v>103</v>
      </c>
      <c r="AO386" s="23">
        <v>45858.56527777778</v>
      </c>
      <c r="AP386" s="26">
        <f t="shared" si="13"/>
        <v>113</v>
      </c>
    </row>
    <row r="387" spans="1:42" ht="25.5" hidden="1" customHeight="1">
      <c r="A387" s="19" t="s">
        <v>42</v>
      </c>
      <c r="B387" s="19" t="s">
        <v>470</v>
      </c>
      <c r="C387" s="19" t="s">
        <v>105</v>
      </c>
      <c r="D387" s="19" t="s">
        <v>45</v>
      </c>
      <c r="E387" s="19" t="s">
        <v>46</v>
      </c>
      <c r="F387" s="19" t="s">
        <v>3068</v>
      </c>
      <c r="G387" s="19" t="s">
        <v>48</v>
      </c>
      <c r="H387" s="19" t="s">
        <v>49</v>
      </c>
      <c r="I387" s="20">
        <v>45859.263888888891</v>
      </c>
      <c r="K387" s="19"/>
      <c r="L387" s="20">
        <v>45859.368055555547</v>
      </c>
      <c r="M387" s="19"/>
      <c r="N387" s="22">
        <f t="shared" si="12"/>
        <v>0.10416666665696539</v>
      </c>
      <c r="O387" s="19" t="s">
        <v>50</v>
      </c>
      <c r="P387" s="19" t="s">
        <v>533</v>
      </c>
      <c r="Q387" s="19" t="s">
        <v>3069</v>
      </c>
      <c r="R387" s="19"/>
      <c r="S387" s="19"/>
      <c r="U387" s="19"/>
      <c r="W387" s="19"/>
      <c r="X387" s="19" t="s">
        <v>109</v>
      </c>
      <c r="Y387" s="27" t="s">
        <v>133</v>
      </c>
      <c r="Z387" s="27" t="s">
        <v>209</v>
      </c>
      <c r="AA387" s="27" t="s">
        <v>3070</v>
      </c>
      <c r="AB387" s="27" t="s">
        <v>3071</v>
      </c>
      <c r="AC387" s="37">
        <v>45859.344444444447</v>
      </c>
      <c r="AD387" s="38">
        <v>45859.375694444447</v>
      </c>
      <c r="AE387" s="36">
        <v>45839</v>
      </c>
      <c r="AF387" s="19" t="s">
        <v>89</v>
      </c>
      <c r="AG387" s="19" t="s">
        <v>90</v>
      </c>
      <c r="AH387" s="19" t="s">
        <v>62</v>
      </c>
      <c r="AI387" s="19" t="s">
        <v>63</v>
      </c>
      <c r="AJ387" s="19" t="s">
        <v>3072</v>
      </c>
      <c r="AK387" s="19"/>
      <c r="AL387" s="19"/>
      <c r="AM387" s="19"/>
      <c r="AN387" s="19" t="s">
        <v>103</v>
      </c>
      <c r="AO387" s="23">
        <v>45859.371527777781</v>
      </c>
      <c r="AP387" s="26">
        <f t="shared" si="13"/>
        <v>150</v>
      </c>
    </row>
    <row r="388" spans="1:42" ht="25.5" hidden="1" customHeight="1">
      <c r="A388" s="19" t="s">
        <v>42</v>
      </c>
      <c r="B388" s="19" t="s">
        <v>117</v>
      </c>
      <c r="C388" s="19" t="s">
        <v>336</v>
      </c>
      <c r="D388" s="19" t="s">
        <v>45</v>
      </c>
      <c r="E388" s="19" t="s">
        <v>46</v>
      </c>
      <c r="F388" s="19" t="s">
        <v>3073</v>
      </c>
      <c r="G388" s="19" t="s">
        <v>48</v>
      </c>
      <c r="H388" s="19" t="s">
        <v>49</v>
      </c>
      <c r="I388" s="20">
        <v>45859.469444444447</v>
      </c>
      <c r="K388" s="19"/>
      <c r="L388" s="20">
        <v>45859.488888888889</v>
      </c>
      <c r="M388" s="19"/>
      <c r="N388" s="22">
        <f t="shared" si="12"/>
        <v>1.9444444442342501E-2</v>
      </c>
      <c r="O388" s="19" t="s">
        <v>63</v>
      </c>
      <c r="P388" s="19" t="s">
        <v>3074</v>
      </c>
      <c r="Q388" s="19" t="s">
        <v>3075</v>
      </c>
      <c r="R388" s="19"/>
      <c r="S388" s="19"/>
      <c r="U388" s="19"/>
      <c r="W388" s="19"/>
      <c r="X388" s="19" t="s">
        <v>314</v>
      </c>
      <c r="Y388" s="27" t="s">
        <v>54</v>
      </c>
      <c r="Z388" s="27" t="s">
        <v>110</v>
      </c>
      <c r="AA388" s="27" t="s">
        <v>3076</v>
      </c>
      <c r="AB388" s="27" t="s">
        <v>3077</v>
      </c>
      <c r="AC388" s="37" t="s">
        <v>3078</v>
      </c>
      <c r="AD388" s="38" t="s">
        <v>3079</v>
      </c>
      <c r="AE388" s="36">
        <v>45839</v>
      </c>
      <c r="AF388" s="19" t="s">
        <v>89</v>
      </c>
      <c r="AG388" s="19" t="s">
        <v>90</v>
      </c>
      <c r="AH388" s="19" t="s">
        <v>62</v>
      </c>
      <c r="AI388" s="19" t="s">
        <v>63</v>
      </c>
      <c r="AJ388" s="19" t="s">
        <v>3080</v>
      </c>
      <c r="AK388" s="19"/>
      <c r="AL388" s="19"/>
      <c r="AM388" s="19"/>
      <c r="AN388" s="19" t="s">
        <v>103</v>
      </c>
      <c r="AO388" s="23">
        <v>45859.469444444447</v>
      </c>
      <c r="AP388" s="26">
        <f t="shared" si="13"/>
        <v>28</v>
      </c>
    </row>
    <row r="389" spans="1:42" ht="25.5" hidden="1" customHeight="1">
      <c r="A389" s="19" t="s">
        <v>42</v>
      </c>
      <c r="B389" s="19" t="s">
        <v>43</v>
      </c>
      <c r="C389" s="19" t="s">
        <v>1456</v>
      </c>
      <c r="D389" s="19" t="s">
        <v>45</v>
      </c>
      <c r="E389" s="19" t="s">
        <v>46</v>
      </c>
      <c r="F389" s="19" t="s">
        <v>3081</v>
      </c>
      <c r="G389" s="19" t="s">
        <v>48</v>
      </c>
      <c r="H389" s="19" t="s">
        <v>49</v>
      </c>
      <c r="I389" s="20">
        <v>45859.550694444442</v>
      </c>
      <c r="K389" s="19"/>
      <c r="L389" s="20">
        <v>45859.55972222222</v>
      </c>
      <c r="M389" s="19"/>
      <c r="N389" s="22">
        <f t="shared" si="12"/>
        <v>9.0277777781011537E-3</v>
      </c>
      <c r="O389" s="19" t="s">
        <v>50</v>
      </c>
      <c r="P389" s="19" t="s">
        <v>3082</v>
      </c>
      <c r="Q389" s="19" t="s">
        <v>3083</v>
      </c>
      <c r="R389" s="19"/>
      <c r="S389" s="19"/>
      <c r="U389" s="19"/>
      <c r="W389" s="19"/>
      <c r="X389" s="19" t="s">
        <v>53</v>
      </c>
      <c r="Y389" s="27" t="s">
        <v>54</v>
      </c>
      <c r="Z389" s="27" t="s">
        <v>1852</v>
      </c>
      <c r="AA389" s="27" t="s">
        <v>3084</v>
      </c>
      <c r="AB389" s="27" t="s">
        <v>3085</v>
      </c>
      <c r="AC389" s="37" t="s">
        <v>3086</v>
      </c>
      <c r="AD389" s="38" t="s">
        <v>3087</v>
      </c>
      <c r="AE389" s="36">
        <v>45839</v>
      </c>
      <c r="AF389" s="19" t="s">
        <v>89</v>
      </c>
      <c r="AG389" s="19" t="s">
        <v>90</v>
      </c>
      <c r="AH389" s="19" t="s">
        <v>62</v>
      </c>
      <c r="AI389" s="19" t="s">
        <v>63</v>
      </c>
      <c r="AJ389" s="19" t="s">
        <v>3088</v>
      </c>
      <c r="AK389" s="19"/>
      <c r="AL389" s="19"/>
      <c r="AM389" s="19"/>
      <c r="AN389" s="19" t="s">
        <v>128</v>
      </c>
      <c r="AO389" s="23">
        <v>45859.550694444442</v>
      </c>
      <c r="AP389" s="26">
        <f t="shared" si="13"/>
        <v>13</v>
      </c>
    </row>
    <row r="390" spans="1:42" ht="25.5" hidden="1" customHeight="1">
      <c r="A390" s="19" t="s">
        <v>285</v>
      </c>
      <c r="B390" s="19" t="s">
        <v>470</v>
      </c>
      <c r="C390" s="19" t="s">
        <v>471</v>
      </c>
      <c r="D390" s="19" t="s">
        <v>45</v>
      </c>
      <c r="E390" s="19" t="s">
        <v>405</v>
      </c>
      <c r="F390" s="19" t="s">
        <v>3068</v>
      </c>
      <c r="G390" s="19" t="s">
        <v>48</v>
      </c>
      <c r="H390" s="19" t="s">
        <v>49</v>
      </c>
      <c r="I390" s="20">
        <v>45859.618055555547</v>
      </c>
      <c r="K390" s="19"/>
      <c r="L390" s="20">
        <v>45859.638888888891</v>
      </c>
      <c r="M390" s="19"/>
      <c r="N390" s="22">
        <f t="shared" si="12"/>
        <v>2.083333334303461E-2</v>
      </c>
      <c r="O390" s="19" t="s">
        <v>50</v>
      </c>
      <c r="P390" s="19" t="s">
        <v>3089</v>
      </c>
      <c r="Q390" s="19" t="s">
        <v>3090</v>
      </c>
      <c r="R390" s="19"/>
      <c r="S390" s="19"/>
      <c r="U390" s="19"/>
      <c r="W390" s="19"/>
      <c r="X390" s="19" t="s">
        <v>475</v>
      </c>
      <c r="Y390" s="27" t="s">
        <v>54</v>
      </c>
      <c r="Z390" s="27" t="s">
        <v>2763</v>
      </c>
      <c r="AA390" s="27" t="s">
        <v>3091</v>
      </c>
      <c r="AB390" s="27" t="s">
        <v>3092</v>
      </c>
      <c r="AC390" s="37" t="s">
        <v>3093</v>
      </c>
      <c r="AD390" s="38" t="s">
        <v>3094</v>
      </c>
      <c r="AE390" s="36">
        <v>45839</v>
      </c>
      <c r="AF390" s="19" t="s">
        <v>293</v>
      </c>
      <c r="AG390" s="19" t="s">
        <v>294</v>
      </c>
      <c r="AH390" s="19" t="s">
        <v>62</v>
      </c>
      <c r="AI390" s="19" t="s">
        <v>63</v>
      </c>
      <c r="AJ390" s="19" t="s">
        <v>3095</v>
      </c>
      <c r="AK390" s="19"/>
      <c r="AL390" s="19"/>
      <c r="AM390" s="19"/>
      <c r="AN390" s="19" t="s">
        <v>128</v>
      </c>
      <c r="AO390" s="23">
        <v>45859.642361111109</v>
      </c>
      <c r="AP390" s="26">
        <f t="shared" si="13"/>
        <v>30</v>
      </c>
    </row>
    <row r="391" spans="1:42" ht="25.5" hidden="1" customHeight="1">
      <c r="A391" s="19" t="s">
        <v>92</v>
      </c>
      <c r="B391" s="19" t="s">
        <v>891</v>
      </c>
      <c r="C391" s="19" t="s">
        <v>3096</v>
      </c>
      <c r="D391" s="19" t="s">
        <v>45</v>
      </c>
      <c r="E391" s="19" t="s">
        <v>46</v>
      </c>
      <c r="F391" s="19" t="s">
        <v>3097</v>
      </c>
      <c r="G391" s="19" t="s">
        <v>48</v>
      </c>
      <c r="H391" s="19" t="s">
        <v>49</v>
      </c>
      <c r="I391" s="20">
        <v>45860.433333333327</v>
      </c>
      <c r="K391" s="19"/>
      <c r="L391" s="20">
        <v>45860.480555555558</v>
      </c>
      <c r="M391" s="19"/>
      <c r="N391" s="22">
        <f t="shared" si="12"/>
        <v>4.7222222230629995E-2</v>
      </c>
      <c r="O391" s="19" t="s">
        <v>50</v>
      </c>
      <c r="P391" s="19" t="s">
        <v>3098</v>
      </c>
      <c r="Q391" s="19" t="s">
        <v>3099</v>
      </c>
      <c r="R391" s="19"/>
      <c r="S391" s="19"/>
      <c r="U391" s="19"/>
      <c r="W391" s="19"/>
      <c r="X391" s="19" t="s">
        <v>122</v>
      </c>
      <c r="Y391" s="27" t="s">
        <v>54</v>
      </c>
      <c r="Z391" s="27" t="s">
        <v>811</v>
      </c>
      <c r="AA391" s="27" t="s">
        <v>3100</v>
      </c>
      <c r="AB391" s="27" t="s">
        <v>3101</v>
      </c>
      <c r="AC391" s="37" t="s">
        <v>3102</v>
      </c>
      <c r="AD391" s="38" t="s">
        <v>3103</v>
      </c>
      <c r="AE391" s="36">
        <v>45839</v>
      </c>
      <c r="AF391" s="19" t="s">
        <v>89</v>
      </c>
      <c r="AG391" s="19" t="s">
        <v>90</v>
      </c>
      <c r="AH391" s="19" t="s">
        <v>62</v>
      </c>
      <c r="AI391" s="19" t="s">
        <v>63</v>
      </c>
      <c r="AJ391" s="19" t="s">
        <v>3104</v>
      </c>
      <c r="AK391" s="19"/>
      <c r="AL391" s="19"/>
      <c r="AM391" s="19"/>
      <c r="AN391" s="19" t="s">
        <v>65</v>
      </c>
      <c r="AO391" s="23">
        <v>45860.4375</v>
      </c>
      <c r="AP391" s="26">
        <f t="shared" si="13"/>
        <v>68</v>
      </c>
    </row>
    <row r="392" spans="1:42" ht="25.5" hidden="1" customHeight="1">
      <c r="A392" s="19" t="s">
        <v>116</v>
      </c>
      <c r="B392" s="19" t="s">
        <v>1273</v>
      </c>
      <c r="C392" s="19" t="s">
        <v>1206</v>
      </c>
      <c r="D392" s="19" t="s">
        <v>45</v>
      </c>
      <c r="E392" s="19" t="s">
        <v>46</v>
      </c>
      <c r="F392" s="19" t="s">
        <v>3105</v>
      </c>
      <c r="G392" s="19" t="s">
        <v>48</v>
      </c>
      <c r="H392" s="19" t="s">
        <v>49</v>
      </c>
      <c r="I392" s="20">
        <v>45860.451388888891</v>
      </c>
      <c r="K392" s="19"/>
      <c r="L392" s="20">
        <v>45860.478472222218</v>
      </c>
      <c r="M392" s="19"/>
      <c r="N392" s="22">
        <f t="shared" si="12"/>
        <v>2.7083333327027503E-2</v>
      </c>
      <c r="O392" s="19" t="s">
        <v>50</v>
      </c>
      <c r="P392" s="19" t="s">
        <v>3106</v>
      </c>
      <c r="Q392" s="19" t="s">
        <v>3107</v>
      </c>
      <c r="R392" s="19"/>
      <c r="S392" s="19"/>
      <c r="U392" s="19"/>
      <c r="W392" s="19"/>
      <c r="X392" s="19" t="s">
        <v>122</v>
      </c>
      <c r="Y392" s="27" t="s">
        <v>54</v>
      </c>
      <c r="Z392" s="27" t="s">
        <v>811</v>
      </c>
      <c r="AA392" s="27" t="s">
        <v>3108</v>
      </c>
      <c r="AB392" s="27" t="s">
        <v>3109</v>
      </c>
      <c r="AC392" s="37" t="s">
        <v>3110</v>
      </c>
      <c r="AD392" s="38" t="s">
        <v>3111</v>
      </c>
      <c r="AE392" s="36">
        <v>45839</v>
      </c>
      <c r="AF392" s="19" t="s">
        <v>89</v>
      </c>
      <c r="AG392" s="19" t="s">
        <v>90</v>
      </c>
      <c r="AH392" s="19" t="s">
        <v>62</v>
      </c>
      <c r="AI392" s="19" t="s">
        <v>63</v>
      </c>
      <c r="AJ392" s="19" t="s">
        <v>3112</v>
      </c>
      <c r="AK392" s="19"/>
      <c r="AL392" s="19"/>
      <c r="AM392" s="19"/>
      <c r="AN392" s="19" t="s">
        <v>65</v>
      </c>
      <c r="AO392" s="23">
        <v>45860.451388888891</v>
      </c>
      <c r="AP392" s="26">
        <f t="shared" si="13"/>
        <v>39</v>
      </c>
    </row>
    <row r="393" spans="1:42" ht="25.5" hidden="1" customHeight="1">
      <c r="A393" s="19" t="s">
        <v>42</v>
      </c>
      <c r="B393" s="19" t="s">
        <v>202</v>
      </c>
      <c r="C393" s="19" t="s">
        <v>2196</v>
      </c>
      <c r="D393" s="19" t="s">
        <v>45</v>
      </c>
      <c r="E393" s="19" t="s">
        <v>46</v>
      </c>
      <c r="F393" s="19" t="s">
        <v>3113</v>
      </c>
      <c r="G393" s="19" t="s">
        <v>48</v>
      </c>
      <c r="H393" s="19" t="s">
        <v>49</v>
      </c>
      <c r="I393" s="20">
        <v>45860.511805555558</v>
      </c>
      <c r="K393" s="19"/>
      <c r="L393" s="20">
        <v>45860.533333333333</v>
      </c>
      <c r="M393" s="19"/>
      <c r="N393" s="22">
        <f t="shared" si="12"/>
        <v>2.1527777775190771E-2</v>
      </c>
      <c r="O393" s="19" t="s">
        <v>63</v>
      </c>
      <c r="P393" s="19" t="s">
        <v>3114</v>
      </c>
      <c r="Q393" s="19" t="s">
        <v>3115</v>
      </c>
      <c r="R393" s="19"/>
      <c r="S393" s="19"/>
      <c r="U393" s="19"/>
      <c r="W393" s="19"/>
      <c r="X393" s="19" t="s">
        <v>1589</v>
      </c>
      <c r="Y393" s="27" t="s">
        <v>54</v>
      </c>
      <c r="Z393" s="27" t="s">
        <v>3116</v>
      </c>
      <c r="AA393" s="27" t="s">
        <v>3117</v>
      </c>
      <c r="AB393" s="27" t="s">
        <v>3118</v>
      </c>
      <c r="AC393" s="37" t="s">
        <v>3119</v>
      </c>
      <c r="AD393" s="38" t="s">
        <v>3120</v>
      </c>
      <c r="AE393" s="36">
        <v>45839</v>
      </c>
      <c r="AF393" s="19" t="s">
        <v>78</v>
      </c>
      <c r="AG393" s="19" t="s">
        <v>78</v>
      </c>
      <c r="AH393" s="19" t="s">
        <v>78</v>
      </c>
      <c r="AI393" s="19" t="s">
        <v>63</v>
      </c>
      <c r="AJ393" s="19" t="s">
        <v>3121</v>
      </c>
      <c r="AK393" s="19"/>
      <c r="AL393" s="19"/>
      <c r="AM393" s="19"/>
      <c r="AN393" s="19" t="s">
        <v>65</v>
      </c>
      <c r="AO393" s="23">
        <v>45860.511805555558</v>
      </c>
      <c r="AP393" s="26">
        <f t="shared" si="13"/>
        <v>31</v>
      </c>
    </row>
    <row r="394" spans="1:42" ht="25.5" customHeight="1">
      <c r="A394" s="19" t="s">
        <v>42</v>
      </c>
      <c r="B394" s="19" t="s">
        <v>3122</v>
      </c>
      <c r="C394" s="19" t="s">
        <v>3123</v>
      </c>
      <c r="D394" s="19" t="s">
        <v>45</v>
      </c>
      <c r="E394" s="19" t="s">
        <v>46</v>
      </c>
      <c r="F394" s="19" t="s">
        <v>3124</v>
      </c>
      <c r="G394" s="19" t="s">
        <v>48</v>
      </c>
      <c r="H394" s="19" t="s">
        <v>152</v>
      </c>
      <c r="I394" s="20">
        <v>45860.635416666657</v>
      </c>
      <c r="K394" s="19"/>
      <c r="L394" s="20">
        <v>45860.65625</v>
      </c>
      <c r="M394" s="19"/>
      <c r="N394" s="22">
        <f t="shared" si="12"/>
        <v>2.083333334303461E-2</v>
      </c>
      <c r="O394" s="19" t="s">
        <v>50</v>
      </c>
      <c r="P394" s="19" t="s">
        <v>3125</v>
      </c>
      <c r="Q394" s="19" t="s">
        <v>3126</v>
      </c>
      <c r="R394" s="19" t="s">
        <v>3127</v>
      </c>
      <c r="S394" s="19" t="s">
        <v>3128</v>
      </c>
      <c r="T394" s="20">
        <v>45860.677083333343</v>
      </c>
      <c r="U394" s="19">
        <v>45863.684027777781</v>
      </c>
      <c r="V394" s="19" t="s">
        <v>157</v>
      </c>
      <c r="W394" s="19"/>
      <c r="X394" s="19" t="s">
        <v>3129</v>
      </c>
      <c r="Y394" s="27" t="s">
        <v>54</v>
      </c>
      <c r="Z394" s="27" t="s">
        <v>3130</v>
      </c>
      <c r="AA394" s="27" t="s">
        <v>3131</v>
      </c>
      <c r="AB394" s="27" t="s">
        <v>3132</v>
      </c>
      <c r="AC394" s="37" t="s">
        <v>3133</v>
      </c>
      <c r="AD394" s="38" t="s">
        <v>3134</v>
      </c>
      <c r="AE394" s="36">
        <v>45839</v>
      </c>
      <c r="AF394" s="19" t="s">
        <v>89</v>
      </c>
      <c r="AG394" s="19" t="s">
        <v>90</v>
      </c>
      <c r="AH394" s="19" t="s">
        <v>62</v>
      </c>
      <c r="AI394" s="19" t="s">
        <v>63</v>
      </c>
      <c r="AJ394" s="19" t="s">
        <v>3135</v>
      </c>
      <c r="AK394" s="19"/>
      <c r="AL394" s="19"/>
      <c r="AM394" s="19"/>
      <c r="AN394" s="19" t="s">
        <v>128</v>
      </c>
      <c r="AO394" s="23">
        <v>45860.635416666657</v>
      </c>
      <c r="AP394" s="26">
        <f t="shared" si="13"/>
        <v>30</v>
      </c>
    </row>
    <row r="395" spans="1:42" ht="25.5" hidden="1" customHeight="1">
      <c r="A395" s="19" t="s">
        <v>42</v>
      </c>
      <c r="B395" s="19" t="s">
        <v>670</v>
      </c>
      <c r="C395" s="19" t="s">
        <v>671</v>
      </c>
      <c r="D395" s="19" t="s">
        <v>45</v>
      </c>
      <c r="E395" s="19" t="s">
        <v>46</v>
      </c>
      <c r="F395" s="19" t="s">
        <v>3136</v>
      </c>
      <c r="G395" s="19" t="s">
        <v>48</v>
      </c>
      <c r="H395" s="19" t="s">
        <v>49</v>
      </c>
      <c r="I395" s="20">
        <v>45860.695138888892</v>
      </c>
      <c r="K395" s="19"/>
      <c r="L395" s="20">
        <v>45861.802777777782</v>
      </c>
      <c r="M395" s="19"/>
      <c r="N395" s="22">
        <f t="shared" si="12"/>
        <v>1.1076388888905058</v>
      </c>
      <c r="O395" s="19" t="s">
        <v>63</v>
      </c>
      <c r="P395" s="19" t="s">
        <v>3137</v>
      </c>
      <c r="Q395" s="19" t="s">
        <v>3138</v>
      </c>
      <c r="R395" s="19"/>
      <c r="S395" s="19"/>
      <c r="U395" s="19"/>
      <c r="W395" s="19"/>
      <c r="X395" s="19" t="s">
        <v>675</v>
      </c>
      <c r="Y395" s="27" t="s">
        <v>147</v>
      </c>
      <c r="Z395" s="27" t="s">
        <v>78</v>
      </c>
      <c r="AA395" s="27" t="s">
        <v>78</v>
      </c>
      <c r="AB395" s="27" t="s">
        <v>78</v>
      </c>
      <c r="AC395" s="37" t="s">
        <v>78</v>
      </c>
      <c r="AD395" s="38" t="s">
        <v>78</v>
      </c>
      <c r="AE395" s="36">
        <v>45839</v>
      </c>
      <c r="AF395" s="19" t="s">
        <v>89</v>
      </c>
      <c r="AG395" s="19" t="s">
        <v>126</v>
      </c>
      <c r="AH395" s="19" t="s">
        <v>62</v>
      </c>
      <c r="AI395" s="19" t="s">
        <v>63</v>
      </c>
      <c r="AJ395" s="19" t="s">
        <v>3139</v>
      </c>
      <c r="AK395" s="19"/>
      <c r="AL395" s="19"/>
      <c r="AM395" s="19"/>
      <c r="AN395" s="19" t="s">
        <v>65</v>
      </c>
      <c r="AO395" s="23">
        <v>45860.695138888892</v>
      </c>
      <c r="AP395" s="26">
        <f t="shared" si="13"/>
        <v>155</v>
      </c>
    </row>
    <row r="396" spans="1:42" ht="25.5" hidden="1" customHeight="1">
      <c r="A396" s="19" t="s">
        <v>42</v>
      </c>
      <c r="C396" s="19" t="s">
        <v>3140</v>
      </c>
      <c r="D396" s="19" t="s">
        <v>45</v>
      </c>
      <c r="E396" s="19" t="s">
        <v>46</v>
      </c>
      <c r="F396" s="19" t="s">
        <v>3141</v>
      </c>
      <c r="G396" s="19" t="s">
        <v>48</v>
      </c>
      <c r="H396" s="19" t="s">
        <v>49</v>
      </c>
      <c r="I396" s="20">
        <v>45860.779861111107</v>
      </c>
      <c r="K396" s="19"/>
      <c r="L396" s="20">
        <v>45860.821527777778</v>
      </c>
      <c r="M396" s="19"/>
      <c r="N396" s="22">
        <f t="shared" si="12"/>
        <v>4.1666666671517305E-2</v>
      </c>
      <c r="O396" s="19" t="s">
        <v>63</v>
      </c>
      <c r="P396" s="19" t="s">
        <v>3142</v>
      </c>
      <c r="Q396" s="19" t="s">
        <v>3143</v>
      </c>
      <c r="R396" s="19"/>
      <c r="S396" s="19"/>
      <c r="U396" s="19"/>
      <c r="W396" s="19"/>
      <c r="X396" s="19" t="s">
        <v>72</v>
      </c>
      <c r="Y396" s="27" t="s">
        <v>147</v>
      </c>
      <c r="Z396" s="27" t="s">
        <v>78</v>
      </c>
      <c r="AA396" s="27" t="s">
        <v>78</v>
      </c>
      <c r="AB396" s="27" t="s">
        <v>78</v>
      </c>
      <c r="AC396" s="37" t="s">
        <v>78</v>
      </c>
      <c r="AD396" s="38" t="s">
        <v>78</v>
      </c>
      <c r="AE396" s="36">
        <v>45839</v>
      </c>
      <c r="AF396" s="19" t="s">
        <v>99</v>
      </c>
      <c r="AG396" s="19" t="s">
        <v>100</v>
      </c>
      <c r="AH396" s="19" t="s">
        <v>62</v>
      </c>
      <c r="AI396" s="19" t="s">
        <v>63</v>
      </c>
      <c r="AJ396" s="19" t="s">
        <v>3144</v>
      </c>
      <c r="AK396" s="19" t="s">
        <v>3145</v>
      </c>
      <c r="AL396" s="19"/>
      <c r="AM396" s="19"/>
      <c r="AN396" s="19" t="s">
        <v>65</v>
      </c>
      <c r="AO396" s="23">
        <v>45860.81527777778</v>
      </c>
      <c r="AP396" s="26">
        <f t="shared" si="13"/>
        <v>60</v>
      </c>
    </row>
    <row r="397" spans="1:42" ht="25.5" hidden="1" customHeight="1">
      <c r="A397" s="19" t="s">
        <v>285</v>
      </c>
      <c r="C397" s="19" t="s">
        <v>3146</v>
      </c>
      <c r="D397" s="19" t="s">
        <v>45</v>
      </c>
      <c r="E397" s="19" t="s">
        <v>46</v>
      </c>
      <c r="F397" s="19" t="s">
        <v>3147</v>
      </c>
      <c r="G397" s="19" t="s">
        <v>48</v>
      </c>
      <c r="H397" s="19" t="s">
        <v>49</v>
      </c>
      <c r="I397" s="20">
        <v>45861.351388888892</v>
      </c>
      <c r="K397" s="19"/>
      <c r="L397" s="20">
        <v>45861.472222222219</v>
      </c>
      <c r="M397" s="19"/>
      <c r="N397" s="22">
        <f t="shared" si="12"/>
        <v>0.1208333333270275</v>
      </c>
      <c r="O397" s="19" t="s">
        <v>63</v>
      </c>
      <c r="P397" s="19" t="s">
        <v>3148</v>
      </c>
      <c r="Q397" s="19" t="s">
        <v>3149</v>
      </c>
      <c r="R397" s="19" t="s">
        <v>3150</v>
      </c>
      <c r="S397" s="19" t="s">
        <v>3151</v>
      </c>
      <c r="T397" s="20">
        <v>45861.552303240736</v>
      </c>
      <c r="U397" s="19">
        <v>45870.677777777782</v>
      </c>
      <c r="V397" s="19" t="s">
        <v>157</v>
      </c>
      <c r="W397" s="19"/>
      <c r="X397" s="19" t="s">
        <v>662</v>
      </c>
      <c r="Y397" s="27" t="s">
        <v>133</v>
      </c>
      <c r="Z397" s="27" t="s">
        <v>1691</v>
      </c>
      <c r="AA397" s="27" t="s">
        <v>3152</v>
      </c>
      <c r="AB397" s="27" t="s">
        <v>3153</v>
      </c>
      <c r="AC397" s="37" t="s">
        <v>3154</v>
      </c>
      <c r="AD397" s="38" t="s">
        <v>3155</v>
      </c>
      <c r="AE397" s="36">
        <v>45839</v>
      </c>
      <c r="AF397" s="19" t="s">
        <v>89</v>
      </c>
      <c r="AG397" s="19" t="s">
        <v>90</v>
      </c>
      <c r="AH397" s="19" t="s">
        <v>62</v>
      </c>
      <c r="AI397" s="19" t="s">
        <v>63</v>
      </c>
      <c r="AJ397" s="19" t="s">
        <v>3156</v>
      </c>
      <c r="AK397" s="19"/>
      <c r="AL397" s="19"/>
      <c r="AM397" s="19"/>
      <c r="AN397" s="19" t="s">
        <v>65</v>
      </c>
      <c r="AO397" s="23">
        <v>45861.351388888892</v>
      </c>
      <c r="AP397" s="26">
        <f t="shared" si="13"/>
        <v>174</v>
      </c>
    </row>
    <row r="398" spans="1:42" ht="25.5" hidden="1" customHeight="1">
      <c r="A398" s="19" t="s">
        <v>42</v>
      </c>
      <c r="C398" s="19" t="s">
        <v>105</v>
      </c>
      <c r="D398" s="19" t="s">
        <v>45</v>
      </c>
      <c r="E398" s="19" t="s">
        <v>46</v>
      </c>
      <c r="F398" s="19" t="s">
        <v>3157</v>
      </c>
      <c r="G398" s="19" t="s">
        <v>48</v>
      </c>
      <c r="H398" s="19" t="s">
        <v>49</v>
      </c>
      <c r="I398" s="20">
        <v>45861.489583333343</v>
      </c>
      <c r="K398" s="19"/>
      <c r="L398" s="20">
        <v>45861.5</v>
      </c>
      <c r="M398" s="19"/>
      <c r="N398" s="22">
        <f t="shared" si="12"/>
        <v>1.041666665696539E-2</v>
      </c>
      <c r="O398" s="19" t="s">
        <v>63</v>
      </c>
      <c r="P398" s="19" t="s">
        <v>3158</v>
      </c>
      <c r="Q398" s="19" t="s">
        <v>3159</v>
      </c>
      <c r="R398" s="19"/>
      <c r="S398" s="19"/>
      <c r="U398" s="19"/>
      <c r="W398" s="19"/>
      <c r="X398" s="19" t="s">
        <v>109</v>
      </c>
      <c r="Y398" s="27" t="s">
        <v>147</v>
      </c>
      <c r="Z398" s="27" t="s">
        <v>78</v>
      </c>
      <c r="AA398" s="27" t="s">
        <v>78</v>
      </c>
      <c r="AB398" s="27" t="s">
        <v>78</v>
      </c>
      <c r="AC398" s="37" t="s">
        <v>78</v>
      </c>
      <c r="AD398" s="38" t="s">
        <v>78</v>
      </c>
      <c r="AE398" s="36">
        <v>45839</v>
      </c>
      <c r="AF398" s="19" t="s">
        <v>89</v>
      </c>
      <c r="AG398" s="19" t="s">
        <v>90</v>
      </c>
      <c r="AH398" s="19" t="s">
        <v>62</v>
      </c>
      <c r="AI398" s="19" t="s">
        <v>63</v>
      </c>
      <c r="AJ398" s="19" t="s">
        <v>3160</v>
      </c>
      <c r="AK398" s="19"/>
      <c r="AL398" s="19"/>
      <c r="AM398" s="19"/>
      <c r="AN398" s="19" t="s">
        <v>65</v>
      </c>
      <c r="AO398" s="23">
        <v>45861.489583333343</v>
      </c>
      <c r="AP398" s="26">
        <f t="shared" si="13"/>
        <v>15</v>
      </c>
    </row>
    <row r="399" spans="1:42" ht="25.5" hidden="1" customHeight="1">
      <c r="A399" s="19" t="s">
        <v>116</v>
      </c>
      <c r="B399" s="19" t="s">
        <v>1273</v>
      </c>
      <c r="C399" s="19" t="s">
        <v>1274</v>
      </c>
      <c r="D399" s="19" t="s">
        <v>45</v>
      </c>
      <c r="E399" s="19" t="s">
        <v>46</v>
      </c>
      <c r="F399" s="19" t="s">
        <v>3161</v>
      </c>
      <c r="G399" s="19" t="s">
        <v>48</v>
      </c>
      <c r="H399" s="19" t="s">
        <v>49</v>
      </c>
      <c r="I399" s="20">
        <v>45861.808333333327</v>
      </c>
      <c r="K399" s="19"/>
      <c r="L399" s="20">
        <v>45861.822916666657</v>
      </c>
      <c r="M399" s="19"/>
      <c r="N399" s="22">
        <f t="shared" si="12"/>
        <v>1.4583333329937886E-2</v>
      </c>
      <c r="O399" s="19" t="s">
        <v>50</v>
      </c>
      <c r="P399" s="19" t="s">
        <v>3162</v>
      </c>
      <c r="Q399" s="19" t="s">
        <v>3163</v>
      </c>
      <c r="R399" s="19"/>
      <c r="S399" s="19"/>
      <c r="U399" s="19"/>
      <c r="W399" s="19"/>
      <c r="X399" s="19" t="s">
        <v>109</v>
      </c>
      <c r="Y399" s="27" t="s">
        <v>133</v>
      </c>
      <c r="Z399" s="27" t="s">
        <v>2362</v>
      </c>
      <c r="AA399" s="27" t="s">
        <v>3164</v>
      </c>
      <c r="AB399" s="27" t="s">
        <v>3165</v>
      </c>
      <c r="AC399" s="37" t="s">
        <v>3166</v>
      </c>
      <c r="AD399" s="38" t="s">
        <v>3167</v>
      </c>
      <c r="AE399" s="36">
        <v>45839</v>
      </c>
      <c r="AF399" s="19" t="s">
        <v>89</v>
      </c>
      <c r="AG399" s="19" t="s">
        <v>90</v>
      </c>
      <c r="AH399" s="19" t="s">
        <v>62</v>
      </c>
      <c r="AI399" s="19" t="s">
        <v>63</v>
      </c>
      <c r="AJ399" s="19" t="s">
        <v>3168</v>
      </c>
      <c r="AK399" s="19"/>
      <c r="AL399" s="19"/>
      <c r="AM399" s="19"/>
      <c r="AN399" s="19" t="s">
        <v>128</v>
      </c>
      <c r="AO399" s="23">
        <v>45861.819444444453</v>
      </c>
      <c r="AP399" s="26">
        <f t="shared" si="13"/>
        <v>21</v>
      </c>
    </row>
    <row r="400" spans="1:42" ht="25.5" hidden="1" customHeight="1">
      <c r="A400" s="19" t="s">
        <v>42</v>
      </c>
      <c r="B400" s="19" t="s">
        <v>202</v>
      </c>
      <c r="C400" s="19" t="s">
        <v>3169</v>
      </c>
      <c r="D400" s="19" t="s">
        <v>45</v>
      </c>
      <c r="E400" s="19" t="s">
        <v>46</v>
      </c>
      <c r="F400" s="19" t="s">
        <v>3170</v>
      </c>
      <c r="G400" s="19" t="s">
        <v>48</v>
      </c>
      <c r="H400" s="19" t="s">
        <v>49</v>
      </c>
      <c r="I400" s="20">
        <v>45861.829861111109</v>
      </c>
      <c r="K400" s="19"/>
      <c r="L400" s="20">
        <v>45861.871527777781</v>
      </c>
      <c r="M400" s="19"/>
      <c r="N400" s="22">
        <f t="shared" ref="N400:N463" si="14">L400-I400</f>
        <v>4.1666666671517305E-2</v>
      </c>
      <c r="O400" s="19" t="s">
        <v>63</v>
      </c>
      <c r="P400" s="19" t="s">
        <v>3171</v>
      </c>
      <c r="Q400" s="19" t="s">
        <v>3172</v>
      </c>
      <c r="R400" s="19"/>
      <c r="S400" s="19"/>
      <c r="U400" s="19"/>
      <c r="W400" s="19"/>
      <c r="X400" s="19" t="s">
        <v>1589</v>
      </c>
      <c r="Y400" s="27" t="s">
        <v>54</v>
      </c>
      <c r="Z400" s="27" t="s">
        <v>2843</v>
      </c>
      <c r="AA400" s="27" t="s">
        <v>3173</v>
      </c>
      <c r="AB400" s="27" t="s">
        <v>3174</v>
      </c>
      <c r="AC400" s="37">
        <v>45861.837777777779</v>
      </c>
      <c r="AD400" s="38" t="s">
        <v>3175</v>
      </c>
      <c r="AE400" s="36">
        <v>45839</v>
      </c>
      <c r="AF400" s="19" t="s">
        <v>89</v>
      </c>
      <c r="AG400" s="19" t="s">
        <v>90</v>
      </c>
      <c r="AH400" s="19" t="s">
        <v>62</v>
      </c>
      <c r="AI400" s="19" t="s">
        <v>63</v>
      </c>
      <c r="AJ400" s="19" t="s">
        <v>3176</v>
      </c>
      <c r="AK400" s="19"/>
      <c r="AL400" s="19"/>
      <c r="AM400" s="19"/>
      <c r="AN400" s="19" t="s">
        <v>65</v>
      </c>
      <c r="AO400" s="23">
        <v>45861.829861111109</v>
      </c>
      <c r="AP400" s="26">
        <f t="shared" ref="AP400:AP463" si="15">((HOUR(N400)*60)+MINUTE(N400)+(SECOND(N400)/60))</f>
        <v>60</v>
      </c>
    </row>
    <row r="401" spans="1:42" ht="25.5" hidden="1" customHeight="1">
      <c r="A401" s="19" t="s">
        <v>42</v>
      </c>
      <c r="B401" s="19" t="s">
        <v>242</v>
      </c>
      <c r="C401" s="19" t="s">
        <v>3177</v>
      </c>
      <c r="D401" s="19" t="s">
        <v>45</v>
      </c>
      <c r="E401" s="19" t="s">
        <v>46</v>
      </c>
      <c r="F401" s="19" t="s">
        <v>3178</v>
      </c>
      <c r="G401" s="19" t="s">
        <v>48</v>
      </c>
      <c r="H401" s="19" t="s">
        <v>49</v>
      </c>
      <c r="I401" s="20">
        <v>45861.888194444437</v>
      </c>
      <c r="K401" s="19"/>
      <c r="L401" s="20">
        <v>45861.94027777778</v>
      </c>
      <c r="M401" s="19"/>
      <c r="N401" s="22">
        <f t="shared" si="14"/>
        <v>5.208333334303461E-2</v>
      </c>
      <c r="O401" s="19" t="s">
        <v>63</v>
      </c>
      <c r="P401" s="19" t="s">
        <v>3179</v>
      </c>
      <c r="Q401" s="19" t="s">
        <v>3180</v>
      </c>
      <c r="R401" s="19"/>
      <c r="S401" s="19"/>
      <c r="U401" s="19"/>
      <c r="W401" s="19"/>
      <c r="X401" s="19" t="s">
        <v>3181</v>
      </c>
      <c r="Y401" s="27" t="s">
        <v>54</v>
      </c>
      <c r="Z401" s="27" t="s">
        <v>338</v>
      </c>
      <c r="AA401" s="27" t="s">
        <v>3182</v>
      </c>
      <c r="AB401" s="27" t="s">
        <v>3183</v>
      </c>
      <c r="AC401" s="37" t="s">
        <v>3184</v>
      </c>
      <c r="AD401" s="38" t="s">
        <v>3185</v>
      </c>
      <c r="AE401" s="36">
        <v>45839</v>
      </c>
      <c r="AF401" s="19" t="s">
        <v>89</v>
      </c>
      <c r="AG401" s="19" t="s">
        <v>90</v>
      </c>
      <c r="AH401" s="19" t="s">
        <v>62</v>
      </c>
      <c r="AI401" s="19" t="s">
        <v>63</v>
      </c>
      <c r="AJ401" s="19" t="s">
        <v>3186</v>
      </c>
      <c r="AK401" s="19"/>
      <c r="AL401" s="19"/>
      <c r="AM401" s="19"/>
      <c r="AN401" s="19" t="s">
        <v>103</v>
      </c>
      <c r="AO401" s="23">
        <v>45861.888194444437</v>
      </c>
      <c r="AP401" s="26">
        <f t="shared" si="15"/>
        <v>75</v>
      </c>
    </row>
    <row r="402" spans="1:42" ht="25.5" hidden="1" customHeight="1">
      <c r="A402" s="19" t="s">
        <v>42</v>
      </c>
      <c r="B402" s="19" t="s">
        <v>186</v>
      </c>
      <c r="C402" s="19" t="s">
        <v>577</v>
      </c>
      <c r="D402" s="19" t="s">
        <v>45</v>
      </c>
      <c r="E402" s="19" t="s">
        <v>46</v>
      </c>
      <c r="F402" s="19" t="s">
        <v>3187</v>
      </c>
      <c r="G402" s="19" t="s">
        <v>48</v>
      </c>
      <c r="H402" s="19" t="s">
        <v>49</v>
      </c>
      <c r="I402" s="20">
        <v>45862.380555555559</v>
      </c>
      <c r="K402" s="19"/>
      <c r="L402" s="20">
        <v>45862.666666666657</v>
      </c>
      <c r="M402" s="19"/>
      <c r="N402" s="22">
        <f t="shared" si="14"/>
        <v>0.2861111110978527</v>
      </c>
      <c r="O402" s="19" t="s">
        <v>63</v>
      </c>
      <c r="P402" s="19" t="s">
        <v>3188</v>
      </c>
      <c r="Q402" s="19" t="s">
        <v>3189</v>
      </c>
      <c r="R402" s="19"/>
      <c r="S402" s="19"/>
      <c r="U402" s="19"/>
      <c r="W402" s="19"/>
      <c r="X402" s="19" t="s">
        <v>191</v>
      </c>
      <c r="Y402" s="27" t="s">
        <v>3190</v>
      </c>
      <c r="Z402" s="27" t="s">
        <v>123</v>
      </c>
      <c r="AA402" s="27" t="s">
        <v>3191</v>
      </c>
      <c r="AB402" s="27" t="s">
        <v>3192</v>
      </c>
      <c r="AC402" s="37">
        <v>45859.646527777782</v>
      </c>
      <c r="AD402" s="38">
        <v>45859.646527777782</v>
      </c>
      <c r="AE402" s="36">
        <v>45839</v>
      </c>
      <c r="AF402" s="19" t="s">
        <v>89</v>
      </c>
      <c r="AG402" s="19" t="s">
        <v>90</v>
      </c>
      <c r="AH402" s="19" t="s">
        <v>62</v>
      </c>
      <c r="AI402" s="19" t="s">
        <v>63</v>
      </c>
      <c r="AJ402" s="19" t="s">
        <v>3193</v>
      </c>
      <c r="AK402" s="19"/>
      <c r="AL402" s="19"/>
      <c r="AM402" s="19"/>
      <c r="AN402" s="19" t="s">
        <v>65</v>
      </c>
      <c r="AO402" s="23">
        <v>45862.380555555559</v>
      </c>
      <c r="AP402" s="26">
        <f t="shared" si="15"/>
        <v>412</v>
      </c>
    </row>
    <row r="403" spans="1:42" ht="25.5" hidden="1" customHeight="1">
      <c r="A403" s="19" t="s">
        <v>285</v>
      </c>
      <c r="C403" s="19" t="s">
        <v>3194</v>
      </c>
      <c r="D403" s="19" t="s">
        <v>45</v>
      </c>
      <c r="E403" s="19" t="s">
        <v>46</v>
      </c>
      <c r="F403" s="19" t="s">
        <v>3195</v>
      </c>
      <c r="G403" s="19" t="s">
        <v>48</v>
      </c>
      <c r="H403" s="19" t="s">
        <v>49</v>
      </c>
      <c r="I403" s="20">
        <v>45862.668055555558</v>
      </c>
      <c r="K403" s="19"/>
      <c r="L403" s="20">
        <v>45862.826388888891</v>
      </c>
      <c r="M403" s="19"/>
      <c r="N403" s="22">
        <f t="shared" si="14"/>
        <v>0.15833333333284827</v>
      </c>
      <c r="O403" s="19" t="s">
        <v>63</v>
      </c>
      <c r="P403" s="19" t="s">
        <v>3196</v>
      </c>
      <c r="Q403" s="19" t="s">
        <v>3197</v>
      </c>
      <c r="R403" s="19"/>
      <c r="S403" s="19"/>
      <c r="U403" s="19"/>
      <c r="W403" s="19"/>
      <c r="X403" s="19" t="s">
        <v>509</v>
      </c>
      <c r="Y403" s="27" t="s">
        <v>147</v>
      </c>
      <c r="Z403" s="27" t="s">
        <v>78</v>
      </c>
      <c r="AA403" s="27" t="s">
        <v>78</v>
      </c>
      <c r="AB403" s="27" t="s">
        <v>78</v>
      </c>
      <c r="AC403" s="37" t="s">
        <v>78</v>
      </c>
      <c r="AD403" s="38" t="s">
        <v>78</v>
      </c>
      <c r="AE403" s="36">
        <v>45839</v>
      </c>
      <c r="AF403" s="19" t="s">
        <v>89</v>
      </c>
      <c r="AG403" s="19" t="s">
        <v>90</v>
      </c>
      <c r="AH403" s="19" t="s">
        <v>62</v>
      </c>
      <c r="AI403" s="19" t="s">
        <v>63</v>
      </c>
      <c r="AJ403" s="19" t="s">
        <v>3198</v>
      </c>
      <c r="AK403" s="19"/>
      <c r="AL403" s="19"/>
      <c r="AM403" s="19"/>
      <c r="AN403" s="19" t="s">
        <v>65</v>
      </c>
      <c r="AO403" s="23">
        <v>45862.668055555558</v>
      </c>
      <c r="AP403" s="26">
        <f t="shared" si="15"/>
        <v>228</v>
      </c>
    </row>
    <row r="404" spans="1:42" ht="25.5" hidden="1" customHeight="1">
      <c r="A404" s="19" t="s">
        <v>42</v>
      </c>
      <c r="B404" s="19" t="s">
        <v>470</v>
      </c>
      <c r="C404" s="19" t="s">
        <v>2162</v>
      </c>
      <c r="D404" s="19" t="s">
        <v>45</v>
      </c>
      <c r="E404" s="19" t="s">
        <v>967</v>
      </c>
      <c r="F404" s="19" t="s">
        <v>3199</v>
      </c>
      <c r="G404" s="19" t="s">
        <v>48</v>
      </c>
      <c r="H404" s="19" t="s">
        <v>49</v>
      </c>
      <c r="I404" s="20">
        <v>45863.051388888889</v>
      </c>
      <c r="K404" s="19"/>
      <c r="L404" s="20">
        <v>45863.117361111108</v>
      </c>
      <c r="M404" s="19"/>
      <c r="N404" s="22">
        <f t="shared" si="14"/>
        <v>6.5972222218988463E-2</v>
      </c>
      <c r="O404" s="19" t="s">
        <v>63</v>
      </c>
      <c r="P404" s="19" t="s">
        <v>3200</v>
      </c>
      <c r="Q404" s="19" t="s">
        <v>3201</v>
      </c>
      <c r="R404" s="19"/>
      <c r="S404" s="19"/>
      <c r="U404" s="19"/>
      <c r="W404" s="19"/>
      <c r="X404" s="19" t="s">
        <v>1589</v>
      </c>
      <c r="Y404" s="27" t="s">
        <v>3190</v>
      </c>
      <c r="Z404" s="27" t="s">
        <v>811</v>
      </c>
      <c r="AA404" s="27" t="s">
        <v>3202</v>
      </c>
      <c r="AB404" s="27" t="s">
        <v>3203</v>
      </c>
      <c r="AC404" s="37" t="s">
        <v>3204</v>
      </c>
      <c r="AD404" s="38" t="s">
        <v>3205</v>
      </c>
      <c r="AE404" s="36">
        <v>45839</v>
      </c>
      <c r="AF404" s="19" t="s">
        <v>89</v>
      </c>
      <c r="AG404" s="19" t="s">
        <v>90</v>
      </c>
      <c r="AH404" s="19" t="s">
        <v>62</v>
      </c>
      <c r="AI404" s="19" t="s">
        <v>63</v>
      </c>
      <c r="AJ404" s="19" t="s">
        <v>3206</v>
      </c>
      <c r="AK404" s="19"/>
      <c r="AL404" s="19"/>
      <c r="AM404" s="19"/>
      <c r="AN404" s="19" t="s">
        <v>65</v>
      </c>
      <c r="AO404" s="23">
        <v>45863.051388888889</v>
      </c>
      <c r="AP404" s="26">
        <f t="shared" si="15"/>
        <v>95</v>
      </c>
    </row>
    <row r="405" spans="1:42" ht="25.5" hidden="1" customHeight="1">
      <c r="A405" s="19" t="s">
        <v>42</v>
      </c>
      <c r="B405" s="19" t="s">
        <v>93</v>
      </c>
      <c r="C405" s="19" t="s">
        <v>336</v>
      </c>
      <c r="D405" s="19" t="s">
        <v>45</v>
      </c>
      <c r="E405" s="19" t="s">
        <v>46</v>
      </c>
      <c r="F405" s="19" t="s">
        <v>3207</v>
      </c>
      <c r="G405" s="19" t="s">
        <v>48</v>
      </c>
      <c r="H405" s="19" t="s">
        <v>49</v>
      </c>
      <c r="I405" s="20">
        <v>45863.489583333343</v>
      </c>
      <c r="K405" s="19"/>
      <c r="L405" s="20">
        <v>45863.583333333343</v>
      </c>
      <c r="M405" s="19"/>
      <c r="N405" s="22">
        <f t="shared" si="14"/>
        <v>9.375E-2</v>
      </c>
      <c r="O405" s="19" t="s">
        <v>50</v>
      </c>
      <c r="P405" s="19" t="s">
        <v>3208</v>
      </c>
      <c r="Q405" s="19" t="s">
        <v>3209</v>
      </c>
      <c r="R405" s="19"/>
      <c r="S405" s="19"/>
      <c r="U405" s="19"/>
      <c r="W405" s="19"/>
      <c r="X405" s="19" t="s">
        <v>314</v>
      </c>
      <c r="Y405" s="27" t="s">
        <v>54</v>
      </c>
      <c r="Z405" s="27" t="s">
        <v>811</v>
      </c>
      <c r="AA405" s="27" t="s">
        <v>3210</v>
      </c>
      <c r="AB405" s="27" t="s">
        <v>3211</v>
      </c>
      <c r="AC405" s="37" t="s">
        <v>3212</v>
      </c>
      <c r="AD405" s="38" t="s">
        <v>3213</v>
      </c>
      <c r="AE405" s="36">
        <v>45839</v>
      </c>
      <c r="AF405" s="19" t="s">
        <v>89</v>
      </c>
      <c r="AG405" s="19" t="s">
        <v>90</v>
      </c>
      <c r="AH405" s="19" t="s">
        <v>62</v>
      </c>
      <c r="AI405" s="19" t="s">
        <v>63</v>
      </c>
      <c r="AJ405" s="19" t="s">
        <v>3214</v>
      </c>
      <c r="AK405" s="19"/>
      <c r="AL405" s="19"/>
      <c r="AM405" s="19"/>
      <c r="AN405" s="19" t="s">
        <v>103</v>
      </c>
      <c r="AO405" s="23">
        <v>45863.489583333343</v>
      </c>
      <c r="AP405" s="26">
        <f t="shared" si="15"/>
        <v>135</v>
      </c>
    </row>
    <row r="406" spans="1:42" ht="25.5" hidden="1" customHeight="1">
      <c r="A406" s="19" t="s">
        <v>42</v>
      </c>
      <c r="B406" s="19" t="s">
        <v>186</v>
      </c>
      <c r="C406" s="19" t="s">
        <v>577</v>
      </c>
      <c r="D406" s="19" t="s">
        <v>45</v>
      </c>
      <c r="E406" s="19" t="s">
        <v>46</v>
      </c>
      <c r="F406" s="19" t="s">
        <v>3215</v>
      </c>
      <c r="G406" s="19" t="s">
        <v>48</v>
      </c>
      <c r="H406" s="19" t="s">
        <v>49</v>
      </c>
      <c r="I406" s="20">
        <v>45864.180555555547</v>
      </c>
      <c r="K406" s="19"/>
      <c r="L406" s="20">
        <v>45864.5</v>
      </c>
      <c r="M406" s="19"/>
      <c r="N406" s="22">
        <f t="shared" si="14"/>
        <v>0.31944444445252884</v>
      </c>
      <c r="O406" s="19" t="s">
        <v>50</v>
      </c>
      <c r="P406" s="19" t="s">
        <v>3216</v>
      </c>
      <c r="Q406" s="19" t="s">
        <v>3217</v>
      </c>
      <c r="R406" s="19"/>
      <c r="S406" s="19"/>
      <c r="U406" s="19"/>
      <c r="W406" s="19"/>
      <c r="X406" s="19" t="s">
        <v>191</v>
      </c>
      <c r="Y406" s="27" t="s">
        <v>3190</v>
      </c>
      <c r="Z406" s="27" t="s">
        <v>123</v>
      </c>
      <c r="AA406" s="27" t="s">
        <v>3218</v>
      </c>
      <c r="AB406" s="27" t="s">
        <v>3219</v>
      </c>
      <c r="AC406" s="37">
        <v>45864.006249999999</v>
      </c>
      <c r="AD406" s="38">
        <v>45864.225694444453</v>
      </c>
      <c r="AE406" s="36">
        <v>45839</v>
      </c>
      <c r="AF406" s="19" t="s">
        <v>89</v>
      </c>
      <c r="AG406" s="19" t="s">
        <v>90</v>
      </c>
      <c r="AH406" s="19" t="s">
        <v>62</v>
      </c>
      <c r="AI406" s="19" t="s">
        <v>63</v>
      </c>
      <c r="AJ406" s="19" t="s">
        <v>3220</v>
      </c>
      <c r="AK406" s="19"/>
      <c r="AL406" s="19"/>
      <c r="AM406" s="19"/>
      <c r="AN406" s="19" t="s">
        <v>65</v>
      </c>
      <c r="AO406" s="23">
        <v>45864.180555555547</v>
      </c>
      <c r="AP406" s="26">
        <f t="shared" si="15"/>
        <v>460</v>
      </c>
    </row>
    <row r="407" spans="1:42" ht="25.5" hidden="1" customHeight="1">
      <c r="A407" s="19" t="s">
        <v>285</v>
      </c>
      <c r="B407" s="19" t="s">
        <v>1145</v>
      </c>
      <c r="C407" s="19" t="s">
        <v>1146</v>
      </c>
      <c r="D407" s="19" t="s">
        <v>45</v>
      </c>
      <c r="E407" s="19" t="s">
        <v>46</v>
      </c>
      <c r="F407" s="19" t="s">
        <v>3221</v>
      </c>
      <c r="G407" s="19" t="s">
        <v>48</v>
      </c>
      <c r="H407" s="19" t="s">
        <v>49</v>
      </c>
      <c r="I407" s="20">
        <v>45864.329861111109</v>
      </c>
      <c r="K407" s="19"/>
      <c r="L407" s="20">
        <v>45864.390277777777</v>
      </c>
      <c r="M407" s="19"/>
      <c r="N407" s="22">
        <f t="shared" si="14"/>
        <v>6.0416666667151731E-2</v>
      </c>
      <c r="O407" s="19" t="s">
        <v>50</v>
      </c>
      <c r="P407" s="19" t="s">
        <v>3222</v>
      </c>
      <c r="Q407" s="19" t="s">
        <v>3223</v>
      </c>
      <c r="R407" s="19"/>
      <c r="S407" s="19"/>
      <c r="U407" s="19"/>
      <c r="W407" s="19"/>
      <c r="X407" s="19" t="s">
        <v>122</v>
      </c>
      <c r="Y407" s="27" t="s">
        <v>54</v>
      </c>
      <c r="Z407" s="27" t="s">
        <v>414</v>
      </c>
      <c r="AA407" s="27" t="s">
        <v>3224</v>
      </c>
      <c r="AB407" s="27" t="s">
        <v>3225</v>
      </c>
      <c r="AC407" s="37">
        <v>45864.018055555563</v>
      </c>
      <c r="AD407" s="38">
        <v>45864.025000000001</v>
      </c>
      <c r="AE407" s="36">
        <v>45839</v>
      </c>
      <c r="AF407" s="19" t="s">
        <v>293</v>
      </c>
      <c r="AG407" s="19" t="s">
        <v>294</v>
      </c>
      <c r="AH407" s="19" t="s">
        <v>62</v>
      </c>
      <c r="AI407" s="19" t="s">
        <v>63</v>
      </c>
      <c r="AJ407" s="19" t="s">
        <v>3226</v>
      </c>
      <c r="AK407" s="19"/>
      <c r="AL407" s="19"/>
      <c r="AM407" s="19"/>
      <c r="AN407" s="19" t="s">
        <v>65</v>
      </c>
      <c r="AO407" s="23">
        <v>45864.32916666667</v>
      </c>
      <c r="AP407" s="26">
        <f t="shared" si="15"/>
        <v>87</v>
      </c>
    </row>
    <row r="408" spans="1:42" ht="25.5" hidden="1" customHeight="1">
      <c r="A408" s="19" t="s">
        <v>116</v>
      </c>
      <c r="B408" s="19" t="s">
        <v>93</v>
      </c>
      <c r="C408" s="19" t="s">
        <v>834</v>
      </c>
      <c r="D408" s="19" t="s">
        <v>45</v>
      </c>
      <c r="E408" s="19" t="s">
        <v>46</v>
      </c>
      <c r="F408" s="19" t="s">
        <v>3227</v>
      </c>
      <c r="G408" s="19" t="s">
        <v>48</v>
      </c>
      <c r="H408" s="19" t="s">
        <v>49</v>
      </c>
      <c r="I408" s="20">
        <v>45864.783333333333</v>
      </c>
      <c r="K408" s="19"/>
      <c r="L408" s="20">
        <v>45864.805555555547</v>
      </c>
      <c r="M408" s="19"/>
      <c r="N408" s="22">
        <f t="shared" si="14"/>
        <v>2.2222222214622889E-2</v>
      </c>
      <c r="O408" s="19" t="s">
        <v>50</v>
      </c>
      <c r="P408" s="19" t="s">
        <v>3228</v>
      </c>
      <c r="Q408" s="19" t="s">
        <v>3229</v>
      </c>
      <c r="R408" s="19"/>
      <c r="S408" s="19"/>
      <c r="U408" s="19"/>
      <c r="W408" s="19"/>
      <c r="X408" s="19" t="s">
        <v>98</v>
      </c>
      <c r="Y408" s="27" t="s">
        <v>3190</v>
      </c>
      <c r="Z408" s="27" t="s">
        <v>2362</v>
      </c>
      <c r="AA408" s="27" t="s">
        <v>3230</v>
      </c>
      <c r="AB408" s="27" t="s">
        <v>3231</v>
      </c>
      <c r="AC408" s="37" t="s">
        <v>3232</v>
      </c>
      <c r="AD408" s="38" t="s">
        <v>3233</v>
      </c>
      <c r="AE408" s="36">
        <v>45839</v>
      </c>
      <c r="AF408" s="19" t="s">
        <v>89</v>
      </c>
      <c r="AG408" s="19" t="s">
        <v>90</v>
      </c>
      <c r="AH408" s="19" t="s">
        <v>62</v>
      </c>
      <c r="AI408" s="19" t="s">
        <v>63</v>
      </c>
      <c r="AJ408" s="19" t="s">
        <v>3234</v>
      </c>
      <c r="AK408" s="19"/>
      <c r="AL408" s="19"/>
      <c r="AM408" s="19"/>
      <c r="AN408" s="19" t="s">
        <v>65</v>
      </c>
      <c r="AO408" s="23">
        <v>45864.783333333333</v>
      </c>
      <c r="AP408" s="26">
        <f t="shared" si="15"/>
        <v>32</v>
      </c>
    </row>
    <row r="409" spans="1:42" ht="25.5" hidden="1" customHeight="1">
      <c r="A409" s="19" t="s">
        <v>42</v>
      </c>
      <c r="C409" s="19" t="s">
        <v>3235</v>
      </c>
      <c r="D409" s="19" t="s">
        <v>45</v>
      </c>
      <c r="E409" s="19" t="s">
        <v>46</v>
      </c>
      <c r="F409" s="19" t="s">
        <v>3236</v>
      </c>
      <c r="G409" s="19" t="s">
        <v>48</v>
      </c>
      <c r="H409" s="19" t="s">
        <v>49</v>
      </c>
      <c r="I409" s="20">
        <v>45864.804166666669</v>
      </c>
      <c r="K409" s="19"/>
      <c r="L409" s="20">
        <v>45865.098611111112</v>
      </c>
      <c r="M409" s="19"/>
      <c r="N409" s="22">
        <f t="shared" si="14"/>
        <v>0.29444444444379769</v>
      </c>
      <c r="O409" s="19" t="s">
        <v>63</v>
      </c>
      <c r="P409" s="19" t="s">
        <v>3237</v>
      </c>
      <c r="Q409" s="19" t="s">
        <v>3238</v>
      </c>
      <c r="R409" s="19"/>
      <c r="S409" s="19"/>
      <c r="U409" s="19"/>
      <c r="W409" s="19"/>
      <c r="X409" s="19" t="s">
        <v>72</v>
      </c>
      <c r="Y409" s="27" t="s">
        <v>3190</v>
      </c>
      <c r="Z409" s="27" t="s">
        <v>348</v>
      </c>
      <c r="AA409" s="27" t="s">
        <v>3239</v>
      </c>
      <c r="AB409" s="27" t="s">
        <v>3240</v>
      </c>
      <c r="AC409" s="37" t="s">
        <v>3241</v>
      </c>
      <c r="AD409" s="38" t="s">
        <v>3242</v>
      </c>
      <c r="AE409" s="36">
        <v>45839</v>
      </c>
      <c r="AF409" s="19" t="s">
        <v>89</v>
      </c>
      <c r="AG409" s="19" t="s">
        <v>90</v>
      </c>
      <c r="AH409" s="19" t="s">
        <v>62</v>
      </c>
      <c r="AI409" s="19" t="s">
        <v>63</v>
      </c>
      <c r="AJ409" s="19" t="s">
        <v>3243</v>
      </c>
      <c r="AK409" s="19"/>
      <c r="AL409" s="19"/>
      <c r="AM409" s="19"/>
      <c r="AN409" s="19" t="s">
        <v>65</v>
      </c>
      <c r="AO409" s="23">
        <v>45864.804166666669</v>
      </c>
      <c r="AP409" s="26">
        <f t="shared" si="15"/>
        <v>424</v>
      </c>
    </row>
    <row r="410" spans="1:42" ht="25.5" hidden="1" customHeight="1">
      <c r="A410" s="19" t="s">
        <v>42</v>
      </c>
      <c r="B410" s="19" t="s">
        <v>186</v>
      </c>
      <c r="C410" s="19" t="s">
        <v>577</v>
      </c>
      <c r="D410" s="19" t="s">
        <v>45</v>
      </c>
      <c r="E410" s="19" t="s">
        <v>46</v>
      </c>
      <c r="F410" s="19" t="s">
        <v>3244</v>
      </c>
      <c r="G410" s="19" t="s">
        <v>48</v>
      </c>
      <c r="H410" s="19" t="s">
        <v>49</v>
      </c>
      <c r="I410" s="20">
        <v>45865.364583333343</v>
      </c>
      <c r="K410" s="19"/>
      <c r="L410" s="20">
        <v>45865.458333333343</v>
      </c>
      <c r="M410" s="19"/>
      <c r="N410" s="22">
        <f t="shared" si="14"/>
        <v>9.375E-2</v>
      </c>
      <c r="O410" s="19" t="s">
        <v>63</v>
      </c>
      <c r="P410" s="19" t="s">
        <v>3245</v>
      </c>
      <c r="Q410" s="19" t="s">
        <v>3246</v>
      </c>
      <c r="R410" s="19"/>
      <c r="S410" s="19"/>
      <c r="U410" s="19"/>
      <c r="W410" s="19"/>
      <c r="X410" s="19" t="s">
        <v>191</v>
      </c>
      <c r="Y410" s="27" t="s">
        <v>147</v>
      </c>
      <c r="Z410" s="27" t="s">
        <v>78</v>
      </c>
      <c r="AA410" s="27" t="s">
        <v>78</v>
      </c>
      <c r="AB410" s="27" t="s">
        <v>78</v>
      </c>
      <c r="AC410" s="37" t="s">
        <v>78</v>
      </c>
      <c r="AD410" s="38" t="s">
        <v>78</v>
      </c>
      <c r="AE410" s="36">
        <v>45839</v>
      </c>
      <c r="AF410" s="19" t="s">
        <v>89</v>
      </c>
      <c r="AG410" s="19" t="s">
        <v>90</v>
      </c>
      <c r="AH410" s="19" t="s">
        <v>62</v>
      </c>
      <c r="AI410" s="19" t="s">
        <v>63</v>
      </c>
      <c r="AJ410" s="19" t="s">
        <v>3247</v>
      </c>
      <c r="AK410" s="19"/>
      <c r="AL410" s="19"/>
      <c r="AM410" s="19"/>
      <c r="AN410" s="19" t="s">
        <v>103</v>
      </c>
      <c r="AO410" s="23">
        <v>45865.364583333343</v>
      </c>
      <c r="AP410" s="26">
        <f t="shared" si="15"/>
        <v>135</v>
      </c>
    </row>
    <row r="411" spans="1:42" ht="25.5" hidden="1" customHeight="1">
      <c r="A411" s="19" t="s">
        <v>42</v>
      </c>
      <c r="B411" s="19" t="s">
        <v>1558</v>
      </c>
      <c r="C411" s="19" t="s">
        <v>2196</v>
      </c>
      <c r="D411" s="19" t="s">
        <v>45</v>
      </c>
      <c r="E411" s="19" t="s">
        <v>46</v>
      </c>
      <c r="F411" s="19" t="s">
        <v>3248</v>
      </c>
      <c r="G411" s="19" t="s">
        <v>48</v>
      </c>
      <c r="H411" s="19" t="s">
        <v>49</v>
      </c>
      <c r="I411" s="20">
        <v>45865.597222222219</v>
      </c>
      <c r="K411" s="19"/>
      <c r="L411" s="20">
        <v>45865.718055555553</v>
      </c>
      <c r="M411" s="19"/>
      <c r="N411" s="22">
        <f t="shared" si="14"/>
        <v>0.12083333333430346</v>
      </c>
      <c r="O411" s="19" t="s">
        <v>63</v>
      </c>
      <c r="P411" s="19" t="s">
        <v>3249</v>
      </c>
      <c r="Q411" s="19" t="s">
        <v>3250</v>
      </c>
      <c r="R411" s="19"/>
      <c r="S411" s="19"/>
      <c r="U411" s="19"/>
      <c r="W411" s="19"/>
      <c r="X411" s="19" t="s">
        <v>1589</v>
      </c>
      <c r="Y411" s="27" t="s">
        <v>3190</v>
      </c>
      <c r="Z411" s="27" t="s">
        <v>3251</v>
      </c>
      <c r="AA411" s="27" t="s">
        <v>3252</v>
      </c>
      <c r="AB411" s="27" t="s">
        <v>3253</v>
      </c>
      <c r="AC411" s="37" t="s">
        <v>3254</v>
      </c>
      <c r="AD411" s="38" t="s">
        <v>3255</v>
      </c>
      <c r="AE411" s="36">
        <v>45839</v>
      </c>
      <c r="AF411" s="19" t="s">
        <v>60</v>
      </c>
      <c r="AG411" s="19" t="s">
        <v>61</v>
      </c>
      <c r="AH411" s="19" t="s">
        <v>62</v>
      </c>
      <c r="AI411" s="19" t="s">
        <v>63</v>
      </c>
      <c r="AJ411" s="19" t="s">
        <v>3256</v>
      </c>
      <c r="AK411" s="19"/>
      <c r="AL411" s="19"/>
      <c r="AM411" s="19"/>
      <c r="AN411" s="19" t="s">
        <v>65</v>
      </c>
      <c r="AO411" s="23">
        <v>45865.597222222219</v>
      </c>
      <c r="AP411" s="26">
        <f t="shared" si="15"/>
        <v>174</v>
      </c>
    </row>
    <row r="412" spans="1:42" ht="25.5" hidden="1" customHeight="1">
      <c r="A412" s="19" t="s">
        <v>42</v>
      </c>
      <c r="C412" s="19" t="s">
        <v>3257</v>
      </c>
      <c r="D412" s="19" t="s">
        <v>45</v>
      </c>
      <c r="E412" s="19" t="s">
        <v>46</v>
      </c>
      <c r="F412" s="19" t="s">
        <v>3258</v>
      </c>
      <c r="G412" s="19" t="s">
        <v>48</v>
      </c>
      <c r="H412" s="19" t="s">
        <v>49</v>
      </c>
      <c r="I412" s="20">
        <v>45866.251388888893</v>
      </c>
      <c r="K412" s="19"/>
      <c r="L412" s="20">
        <v>45866.269444444442</v>
      </c>
      <c r="M412" s="19"/>
      <c r="N412" s="22">
        <f t="shared" si="14"/>
        <v>1.805555554892635E-2</v>
      </c>
      <c r="O412" s="19" t="s">
        <v>50</v>
      </c>
      <c r="P412" s="19" t="s">
        <v>3259</v>
      </c>
      <c r="Q412" s="19" t="s">
        <v>3260</v>
      </c>
      <c r="R412" s="19"/>
      <c r="S412" s="19"/>
      <c r="U412" s="19"/>
      <c r="W412" s="19"/>
      <c r="X412" s="19" t="s">
        <v>3261</v>
      </c>
      <c r="Y412" s="27" t="s">
        <v>147</v>
      </c>
      <c r="Z412" s="27" t="s">
        <v>78</v>
      </c>
      <c r="AA412" s="27" t="s">
        <v>78</v>
      </c>
      <c r="AB412" s="27" t="s">
        <v>78</v>
      </c>
      <c r="AC412" s="37" t="s">
        <v>78</v>
      </c>
      <c r="AD412" s="38" t="s">
        <v>78</v>
      </c>
      <c r="AE412" s="36">
        <v>45839</v>
      </c>
      <c r="AF412" s="19" t="s">
        <v>89</v>
      </c>
      <c r="AG412" s="19" t="s">
        <v>90</v>
      </c>
      <c r="AH412" s="19" t="s">
        <v>62</v>
      </c>
      <c r="AI412" s="19" t="s">
        <v>63</v>
      </c>
      <c r="AJ412" s="19" t="s">
        <v>3262</v>
      </c>
      <c r="AK412" s="19"/>
      <c r="AL412" s="19"/>
      <c r="AM412" s="19"/>
      <c r="AN412" s="19" t="s">
        <v>103</v>
      </c>
      <c r="AO412" s="23">
        <v>45866.251388888893</v>
      </c>
      <c r="AP412" s="26">
        <f t="shared" si="15"/>
        <v>26</v>
      </c>
    </row>
    <row r="413" spans="1:42" ht="25.5" hidden="1" customHeight="1">
      <c r="A413" s="19" t="s">
        <v>42</v>
      </c>
      <c r="B413" s="19" t="s">
        <v>1558</v>
      </c>
      <c r="C413" s="19" t="s">
        <v>2093</v>
      </c>
      <c r="D413" s="19" t="s">
        <v>45</v>
      </c>
      <c r="E413" s="19" t="s">
        <v>967</v>
      </c>
      <c r="F413" s="19" t="s">
        <v>3263</v>
      </c>
      <c r="G413" s="19" t="s">
        <v>48</v>
      </c>
      <c r="H413" s="19" t="s">
        <v>49</v>
      </c>
      <c r="I413" s="20">
        <v>45866.368055555547</v>
      </c>
      <c r="K413" s="19"/>
      <c r="L413" s="20">
        <v>45866.493055555547</v>
      </c>
      <c r="M413" s="19"/>
      <c r="N413" s="22">
        <f t="shared" si="14"/>
        <v>0.125</v>
      </c>
      <c r="O413" s="19" t="s">
        <v>50</v>
      </c>
      <c r="P413" s="19" t="s">
        <v>3264</v>
      </c>
      <c r="Q413" s="19" t="s">
        <v>3265</v>
      </c>
      <c r="R413" s="19"/>
      <c r="S413" s="19"/>
      <c r="U413" s="19"/>
      <c r="W413" s="19"/>
      <c r="X413" s="19" t="s">
        <v>109</v>
      </c>
      <c r="Y413" s="27" t="s">
        <v>54</v>
      </c>
      <c r="Z413" s="27" t="s">
        <v>414</v>
      </c>
      <c r="AA413" s="27" t="s">
        <v>3266</v>
      </c>
      <c r="AB413" s="27" t="s">
        <v>3267</v>
      </c>
      <c r="AC413" s="37">
        <v>45866.265509259261</v>
      </c>
      <c r="AD413" s="38">
        <v>45866.605798611112</v>
      </c>
      <c r="AE413" s="36">
        <v>45839</v>
      </c>
      <c r="AF413" s="19" t="s">
        <v>99</v>
      </c>
      <c r="AG413" s="19" t="s">
        <v>100</v>
      </c>
      <c r="AH413" s="19" t="s">
        <v>62</v>
      </c>
      <c r="AI413" s="19" t="s">
        <v>63</v>
      </c>
      <c r="AJ413" s="19" t="s">
        <v>3268</v>
      </c>
      <c r="AK413" s="19" t="s">
        <v>3269</v>
      </c>
      <c r="AL413" s="19"/>
      <c r="AM413" s="19"/>
      <c r="AN413" s="19" t="s">
        <v>103</v>
      </c>
      <c r="AO413" s="23">
        <v>45866.368055555547</v>
      </c>
      <c r="AP413" s="26">
        <f t="shared" si="15"/>
        <v>180</v>
      </c>
    </row>
    <row r="414" spans="1:42" ht="25.5" hidden="1" customHeight="1">
      <c r="A414" s="19" t="s">
        <v>42</v>
      </c>
      <c r="B414" s="19" t="s">
        <v>3270</v>
      </c>
      <c r="C414" s="19" t="s">
        <v>1637</v>
      </c>
      <c r="D414" s="19" t="s">
        <v>45</v>
      </c>
      <c r="E414" s="19" t="s">
        <v>46</v>
      </c>
      <c r="F414" s="19" t="s">
        <v>3271</v>
      </c>
      <c r="G414" s="19" t="s">
        <v>48</v>
      </c>
      <c r="H414" s="19" t="s">
        <v>49</v>
      </c>
      <c r="I414" s="20">
        <v>45866.78125</v>
      </c>
      <c r="K414" s="19"/>
      <c r="L414" s="20">
        <v>45866.819444444453</v>
      </c>
      <c r="M414" s="19"/>
      <c r="N414" s="22">
        <f t="shared" si="14"/>
        <v>3.8194444452528842E-2</v>
      </c>
      <c r="O414" s="19" t="s">
        <v>50</v>
      </c>
      <c r="P414" s="19" t="s">
        <v>3272</v>
      </c>
      <c r="Q414" s="19" t="s">
        <v>3273</v>
      </c>
      <c r="R414" s="19"/>
      <c r="S414" s="19"/>
      <c r="U414" s="19"/>
      <c r="W414" s="19"/>
      <c r="X414" s="19" t="s">
        <v>314</v>
      </c>
      <c r="Y414" s="27" t="s">
        <v>54</v>
      </c>
      <c r="Z414" s="27" t="s">
        <v>3274</v>
      </c>
      <c r="AA414" s="27" t="s">
        <v>3275</v>
      </c>
      <c r="AB414" s="27" t="s">
        <v>3276</v>
      </c>
      <c r="AC414" s="37" t="s">
        <v>3277</v>
      </c>
      <c r="AD414" s="38" t="s">
        <v>3278</v>
      </c>
      <c r="AE414" s="36">
        <v>45839</v>
      </c>
      <c r="AF414" s="19" t="s">
        <v>78</v>
      </c>
      <c r="AG414" s="19" t="s">
        <v>78</v>
      </c>
      <c r="AH414" s="19" t="s">
        <v>62</v>
      </c>
      <c r="AI414" s="19" t="s">
        <v>63</v>
      </c>
      <c r="AJ414" s="19" t="s">
        <v>3279</v>
      </c>
      <c r="AK414" s="19"/>
      <c r="AL414" s="19"/>
      <c r="AM414" s="19"/>
      <c r="AN414" s="19" t="s">
        <v>128</v>
      </c>
      <c r="AO414" s="23">
        <v>45866.78125</v>
      </c>
      <c r="AP414" s="26">
        <f t="shared" si="15"/>
        <v>55</v>
      </c>
    </row>
    <row r="415" spans="1:42" ht="25.5" hidden="1" customHeight="1">
      <c r="A415" s="19" t="s">
        <v>42</v>
      </c>
      <c r="C415" s="19" t="s">
        <v>2655</v>
      </c>
      <c r="D415" s="19" t="s">
        <v>45</v>
      </c>
      <c r="E415" s="19" t="s">
        <v>46</v>
      </c>
      <c r="F415" s="19" t="s">
        <v>3280</v>
      </c>
      <c r="G415" s="19" t="s">
        <v>48</v>
      </c>
      <c r="H415" s="19" t="s">
        <v>49</v>
      </c>
      <c r="I415" s="20">
        <v>45867.177083333343</v>
      </c>
      <c r="K415" s="19"/>
      <c r="L415" s="20">
        <v>45867.359027777777</v>
      </c>
      <c r="M415" s="19"/>
      <c r="N415" s="22">
        <f t="shared" si="14"/>
        <v>0.18194444443361135</v>
      </c>
      <c r="O415" s="19" t="s">
        <v>63</v>
      </c>
      <c r="P415" s="19" t="s">
        <v>3281</v>
      </c>
      <c r="Q415" s="19" t="s">
        <v>3282</v>
      </c>
      <c r="R415" s="19"/>
      <c r="S415" s="19"/>
      <c r="U415" s="19"/>
      <c r="W415" s="19"/>
      <c r="X415" s="19" t="s">
        <v>2659</v>
      </c>
      <c r="Y415" s="27" t="s">
        <v>147</v>
      </c>
      <c r="Z415" s="27" t="s">
        <v>78</v>
      </c>
      <c r="AA415" s="27" t="s">
        <v>78</v>
      </c>
      <c r="AB415" s="27" t="s">
        <v>78</v>
      </c>
      <c r="AC415" s="37" t="s">
        <v>78</v>
      </c>
      <c r="AD415" s="38" t="s">
        <v>78</v>
      </c>
      <c r="AE415" s="36">
        <v>45839</v>
      </c>
      <c r="AF415" s="19" t="s">
        <v>89</v>
      </c>
      <c r="AG415" s="19" t="s">
        <v>90</v>
      </c>
      <c r="AH415" s="19" t="s">
        <v>62</v>
      </c>
      <c r="AI415" s="19" t="s">
        <v>63</v>
      </c>
      <c r="AJ415" s="19" t="s">
        <v>3283</v>
      </c>
      <c r="AK415" s="19"/>
      <c r="AL415" s="19"/>
      <c r="AM415" s="19"/>
      <c r="AN415" s="19" t="s">
        <v>65</v>
      </c>
      <c r="AO415" s="23">
        <v>45865.197916666657</v>
      </c>
      <c r="AP415" s="26">
        <f t="shared" si="15"/>
        <v>262</v>
      </c>
    </row>
    <row r="416" spans="1:42" ht="25.5" hidden="1" customHeight="1">
      <c r="A416" s="19" t="s">
        <v>42</v>
      </c>
      <c r="B416" s="19" t="s">
        <v>66</v>
      </c>
      <c r="C416" s="19" t="s">
        <v>682</v>
      </c>
      <c r="D416" s="19" t="s">
        <v>45</v>
      </c>
      <c r="E416" s="19" t="s">
        <v>46</v>
      </c>
      <c r="F416" s="19" t="s">
        <v>3284</v>
      </c>
      <c r="G416" s="19" t="s">
        <v>48</v>
      </c>
      <c r="H416" s="19" t="s">
        <v>49</v>
      </c>
      <c r="I416" s="20">
        <v>45867.430555555547</v>
      </c>
      <c r="K416" s="19"/>
      <c r="L416" s="20">
        <v>45867.491666666669</v>
      </c>
      <c r="M416" s="19"/>
      <c r="N416" s="22">
        <f t="shared" si="14"/>
        <v>6.1111111121135764E-2</v>
      </c>
      <c r="O416" s="19" t="s">
        <v>50</v>
      </c>
      <c r="P416" s="19" t="s">
        <v>3285</v>
      </c>
      <c r="Q416" s="19" t="s">
        <v>3286</v>
      </c>
      <c r="R416" s="19"/>
      <c r="S416" s="19"/>
      <c r="U416" s="19"/>
      <c r="W416" s="19"/>
      <c r="X416" s="19" t="s">
        <v>72</v>
      </c>
      <c r="Y416" s="27" t="s">
        <v>147</v>
      </c>
      <c r="Z416" s="27" t="s">
        <v>78</v>
      </c>
      <c r="AA416" s="27" t="s">
        <v>78</v>
      </c>
      <c r="AB416" s="27" t="s">
        <v>78</v>
      </c>
      <c r="AC416" s="37" t="s">
        <v>78</v>
      </c>
      <c r="AD416" s="38" t="s">
        <v>78</v>
      </c>
      <c r="AE416" s="36">
        <v>45839</v>
      </c>
      <c r="AF416" s="19" t="s">
        <v>89</v>
      </c>
      <c r="AG416" s="19" t="s">
        <v>90</v>
      </c>
      <c r="AH416" s="19" t="s">
        <v>62</v>
      </c>
      <c r="AI416" s="19" t="s">
        <v>63</v>
      </c>
      <c r="AJ416" s="19" t="s">
        <v>3287</v>
      </c>
      <c r="AK416" s="19"/>
      <c r="AL416" s="19"/>
      <c r="AM416" s="19"/>
      <c r="AN416" s="19" t="s">
        <v>65</v>
      </c>
      <c r="AO416" s="23">
        <v>45867.518055555563</v>
      </c>
      <c r="AP416" s="26">
        <f t="shared" si="15"/>
        <v>88</v>
      </c>
    </row>
    <row r="417" spans="1:42" ht="25.5" hidden="1" customHeight="1">
      <c r="A417" s="19" t="s">
        <v>42</v>
      </c>
      <c r="B417" s="19" t="s">
        <v>2048</v>
      </c>
      <c r="C417" s="19" t="s">
        <v>2049</v>
      </c>
      <c r="D417" s="19" t="s">
        <v>45</v>
      </c>
      <c r="E417" s="19" t="s">
        <v>46</v>
      </c>
      <c r="F417" s="19" t="s">
        <v>3288</v>
      </c>
      <c r="G417" s="19" t="s">
        <v>48</v>
      </c>
      <c r="H417" s="19" t="s">
        <v>49</v>
      </c>
      <c r="I417" s="20">
        <v>45868.427777777782</v>
      </c>
      <c r="K417" s="19"/>
      <c r="L417" s="20">
        <v>45868.458333333343</v>
      </c>
      <c r="M417" s="19"/>
      <c r="N417" s="22">
        <f t="shared" si="14"/>
        <v>3.0555555560567882E-2</v>
      </c>
      <c r="O417" s="19" t="s">
        <v>63</v>
      </c>
      <c r="P417" s="19" t="s">
        <v>3289</v>
      </c>
      <c r="Q417" s="19" t="s">
        <v>3290</v>
      </c>
      <c r="R417" s="19"/>
      <c r="S417" s="19"/>
      <c r="U417" s="19"/>
      <c r="W417" s="19"/>
      <c r="X417" s="19" t="s">
        <v>2053</v>
      </c>
      <c r="Y417" s="27" t="s">
        <v>54</v>
      </c>
      <c r="Z417" s="27" t="s">
        <v>3291</v>
      </c>
      <c r="AA417" s="27" t="s">
        <v>3292</v>
      </c>
      <c r="AB417" s="27" t="s">
        <v>3293</v>
      </c>
      <c r="AC417" s="37" t="s">
        <v>3294</v>
      </c>
      <c r="AD417" s="38" t="s">
        <v>3295</v>
      </c>
      <c r="AE417" s="36">
        <v>45839</v>
      </c>
      <c r="AF417" s="19" t="s">
        <v>99</v>
      </c>
      <c r="AG417" s="19" t="s">
        <v>1159</v>
      </c>
      <c r="AH417" s="19" t="s">
        <v>62</v>
      </c>
      <c r="AI417" s="19" t="s">
        <v>63</v>
      </c>
      <c r="AJ417" s="19" t="s">
        <v>3296</v>
      </c>
      <c r="AK417" s="19"/>
      <c r="AL417" s="19"/>
      <c r="AM417" s="19"/>
      <c r="AN417" s="19" t="s">
        <v>65</v>
      </c>
      <c r="AO417" s="23">
        <v>45868.427777777782</v>
      </c>
      <c r="AP417" s="26">
        <f t="shared" si="15"/>
        <v>44</v>
      </c>
    </row>
    <row r="418" spans="1:42" ht="25.5" hidden="1" customHeight="1">
      <c r="A418" s="19" t="s">
        <v>42</v>
      </c>
      <c r="B418" s="19" t="s">
        <v>117</v>
      </c>
      <c r="C418" s="19" t="s">
        <v>336</v>
      </c>
      <c r="D418" s="19" t="s">
        <v>45</v>
      </c>
      <c r="E418" s="19" t="s">
        <v>46</v>
      </c>
      <c r="F418" s="19" t="s">
        <v>3297</v>
      </c>
      <c r="G418" s="19" t="s">
        <v>48</v>
      </c>
      <c r="H418" s="19" t="s">
        <v>49</v>
      </c>
      <c r="I418" s="20">
        <v>45868.640972222223</v>
      </c>
      <c r="K418" s="19"/>
      <c r="L418" s="20">
        <v>45868.670138888891</v>
      </c>
      <c r="M418" s="19"/>
      <c r="N418" s="22">
        <f t="shared" si="14"/>
        <v>2.9166666667151731E-2</v>
      </c>
      <c r="O418" s="19" t="s">
        <v>63</v>
      </c>
      <c r="P418" s="19" t="s">
        <v>3074</v>
      </c>
      <c r="Q418" s="19" t="s">
        <v>3298</v>
      </c>
      <c r="R418" s="19"/>
      <c r="S418" s="19"/>
      <c r="U418" s="19"/>
      <c r="W418" s="19"/>
      <c r="X418" s="19" t="s">
        <v>314</v>
      </c>
      <c r="Y418" s="27" t="s">
        <v>147</v>
      </c>
      <c r="Z418" s="27" t="s">
        <v>78</v>
      </c>
      <c r="AA418" s="27" t="s">
        <v>78</v>
      </c>
      <c r="AB418" s="27" t="s">
        <v>78</v>
      </c>
      <c r="AC418" s="37" t="s">
        <v>78</v>
      </c>
      <c r="AD418" s="38" t="s">
        <v>78</v>
      </c>
      <c r="AE418" s="36">
        <v>45839</v>
      </c>
      <c r="AF418" s="19" t="s">
        <v>89</v>
      </c>
      <c r="AG418" s="19" t="s">
        <v>656</v>
      </c>
      <c r="AH418" s="19" t="s">
        <v>62</v>
      </c>
      <c r="AI418" s="19" t="s">
        <v>63</v>
      </c>
      <c r="AJ418" s="19" t="s">
        <v>3299</v>
      </c>
      <c r="AK418" s="19"/>
      <c r="AL418" s="19"/>
      <c r="AM418" s="19"/>
      <c r="AN418" s="19" t="s">
        <v>103</v>
      </c>
      <c r="AO418" s="23">
        <v>45868.640972222223</v>
      </c>
      <c r="AP418" s="26">
        <f t="shared" si="15"/>
        <v>42</v>
      </c>
    </row>
    <row r="419" spans="1:42" ht="25.5" hidden="1" customHeight="1">
      <c r="A419" s="19" t="s">
        <v>42</v>
      </c>
      <c r="C419" s="19" t="s">
        <v>3300</v>
      </c>
      <c r="D419" s="19" t="s">
        <v>45</v>
      </c>
      <c r="E419" s="19" t="s">
        <v>46</v>
      </c>
      <c r="F419" s="19" t="s">
        <v>3301</v>
      </c>
      <c r="G419" s="19" t="s">
        <v>48</v>
      </c>
      <c r="H419" s="19" t="s">
        <v>49</v>
      </c>
      <c r="I419" s="20">
        <v>45868.786805555559</v>
      </c>
      <c r="K419" s="19"/>
      <c r="L419" s="20">
        <v>45868.979166666657</v>
      </c>
      <c r="M419" s="19"/>
      <c r="N419" s="22">
        <f t="shared" si="14"/>
        <v>0.1923611110978527</v>
      </c>
      <c r="O419" s="19" t="s">
        <v>50</v>
      </c>
      <c r="P419" s="19" t="s">
        <v>3302</v>
      </c>
      <c r="Q419" s="19" t="s">
        <v>3303</v>
      </c>
      <c r="R419" s="19"/>
      <c r="S419" s="19"/>
      <c r="U419" s="19"/>
      <c r="W419" s="19"/>
      <c r="X419" s="19" t="s">
        <v>72</v>
      </c>
      <c r="Y419" s="27" t="s">
        <v>147</v>
      </c>
      <c r="Z419" s="27" t="s">
        <v>78</v>
      </c>
      <c r="AA419" s="27" t="s">
        <v>78</v>
      </c>
      <c r="AB419" s="27" t="s">
        <v>78</v>
      </c>
      <c r="AC419" s="37" t="s">
        <v>78</v>
      </c>
      <c r="AD419" s="38" t="s">
        <v>78</v>
      </c>
      <c r="AE419" s="36">
        <v>45839</v>
      </c>
      <c r="AF419" s="19" t="s">
        <v>89</v>
      </c>
      <c r="AG419" s="19" t="s">
        <v>90</v>
      </c>
      <c r="AH419" s="19" t="s">
        <v>62</v>
      </c>
      <c r="AI419" s="19" t="s">
        <v>63</v>
      </c>
      <c r="AJ419" s="19" t="s">
        <v>3304</v>
      </c>
      <c r="AK419" s="19" t="s">
        <v>3305</v>
      </c>
      <c r="AL419" s="19"/>
      <c r="AM419" s="19"/>
      <c r="AN419" s="19" t="s">
        <v>65</v>
      </c>
      <c r="AO419" s="23">
        <v>45868.87777777778</v>
      </c>
      <c r="AP419" s="26">
        <f t="shared" si="15"/>
        <v>277</v>
      </c>
    </row>
    <row r="420" spans="1:42" ht="25.5" hidden="1" customHeight="1">
      <c r="A420" s="19" t="s">
        <v>42</v>
      </c>
      <c r="B420" s="19" t="s">
        <v>1558</v>
      </c>
      <c r="C420" s="19" t="s">
        <v>2196</v>
      </c>
      <c r="D420" s="19" t="s">
        <v>45</v>
      </c>
      <c r="E420" s="19" t="s">
        <v>405</v>
      </c>
      <c r="F420" s="19" t="s">
        <v>3306</v>
      </c>
      <c r="G420" s="19" t="s">
        <v>48</v>
      </c>
      <c r="H420" s="19" t="s">
        <v>49</v>
      </c>
      <c r="I420" s="20">
        <v>45868.977083333331</v>
      </c>
      <c r="K420" s="19"/>
      <c r="L420" s="20">
        <v>45869.003472222219</v>
      </c>
      <c r="M420" s="19"/>
      <c r="N420" s="22">
        <f t="shared" si="14"/>
        <v>2.6388888887595385E-2</v>
      </c>
      <c r="O420" s="19" t="s">
        <v>63</v>
      </c>
      <c r="P420" s="19" t="s">
        <v>3307</v>
      </c>
      <c r="Q420" s="19" t="s">
        <v>3308</v>
      </c>
      <c r="R420" s="19"/>
      <c r="S420" s="19"/>
      <c r="U420" s="19"/>
      <c r="W420" s="19"/>
      <c r="X420" s="19" t="s">
        <v>1589</v>
      </c>
      <c r="Y420" s="27" t="s">
        <v>147</v>
      </c>
      <c r="Z420" s="27" t="s">
        <v>78</v>
      </c>
      <c r="AA420" s="27" t="s">
        <v>78</v>
      </c>
      <c r="AB420" s="27" t="s">
        <v>78</v>
      </c>
      <c r="AC420" s="37" t="s">
        <v>78</v>
      </c>
      <c r="AD420" s="38" t="s">
        <v>78</v>
      </c>
      <c r="AE420" s="36">
        <v>45839</v>
      </c>
      <c r="AF420" s="19" t="s">
        <v>89</v>
      </c>
      <c r="AG420" s="19" t="s">
        <v>294</v>
      </c>
      <c r="AH420" s="19" t="s">
        <v>62</v>
      </c>
      <c r="AI420" s="19" t="s">
        <v>63</v>
      </c>
      <c r="AJ420" s="19" t="s">
        <v>3309</v>
      </c>
      <c r="AK420" s="19" t="s">
        <v>3310</v>
      </c>
      <c r="AL420" s="19"/>
      <c r="AM420" s="19"/>
      <c r="AN420" s="19" t="s">
        <v>65</v>
      </c>
      <c r="AO420" s="23">
        <v>45868.977083333331</v>
      </c>
      <c r="AP420" s="26">
        <f t="shared" si="15"/>
        <v>38</v>
      </c>
    </row>
    <row r="421" spans="1:42" ht="25.5" hidden="1" customHeight="1">
      <c r="A421" s="19" t="s">
        <v>92</v>
      </c>
      <c r="B421" s="19" t="s">
        <v>3311</v>
      </c>
      <c r="C421" s="19" t="s">
        <v>2480</v>
      </c>
      <c r="D421" s="19" t="s">
        <v>45</v>
      </c>
      <c r="E421" s="19" t="s">
        <v>46</v>
      </c>
      <c r="F421" s="19" t="s">
        <v>3312</v>
      </c>
      <c r="G421" s="19" t="s">
        <v>48</v>
      </c>
      <c r="H421" s="19" t="s">
        <v>49</v>
      </c>
      <c r="I421" s="20">
        <v>45869.392361111109</v>
      </c>
      <c r="K421" s="19"/>
      <c r="L421" s="20">
        <v>45869.428472222222</v>
      </c>
      <c r="M421" s="19"/>
      <c r="N421" s="22">
        <f t="shared" si="14"/>
        <v>3.6111111112404615E-2</v>
      </c>
      <c r="O421" s="19" t="s">
        <v>50</v>
      </c>
      <c r="P421" s="19" t="s">
        <v>3313</v>
      </c>
      <c r="Q421" s="19" t="s">
        <v>3314</v>
      </c>
      <c r="R421" s="19"/>
      <c r="S421" s="19"/>
      <c r="U421" s="19"/>
      <c r="W421" s="19"/>
      <c r="X421" s="19" t="s">
        <v>109</v>
      </c>
      <c r="Y421" s="27" t="s">
        <v>54</v>
      </c>
      <c r="Z421" s="27" t="s">
        <v>3315</v>
      </c>
      <c r="AA421" s="27" t="s">
        <v>3315</v>
      </c>
      <c r="AB421" s="27" t="s">
        <v>3316</v>
      </c>
      <c r="AC421" s="37" t="s">
        <v>3315</v>
      </c>
      <c r="AD421" s="38" t="s">
        <v>3317</v>
      </c>
      <c r="AE421" s="36">
        <v>45839</v>
      </c>
      <c r="AF421" s="19" t="s">
        <v>78</v>
      </c>
      <c r="AG421" s="19" t="s">
        <v>78</v>
      </c>
      <c r="AH421" s="19" t="s">
        <v>78</v>
      </c>
      <c r="AI421" s="19" t="s">
        <v>63</v>
      </c>
      <c r="AJ421" s="19" t="s">
        <v>3318</v>
      </c>
      <c r="AK421" s="19"/>
      <c r="AL421" s="19"/>
      <c r="AM421" s="19"/>
      <c r="AN421" s="19" t="s">
        <v>103</v>
      </c>
      <c r="AO421" s="23">
        <v>45869.392361111109</v>
      </c>
      <c r="AP421" s="26">
        <f t="shared" si="15"/>
        <v>52</v>
      </c>
    </row>
    <row r="422" spans="1:42" ht="25.5" hidden="1" customHeight="1">
      <c r="A422" s="19" t="s">
        <v>42</v>
      </c>
      <c r="B422" s="19" t="s">
        <v>43</v>
      </c>
      <c r="C422" s="19" t="s">
        <v>1456</v>
      </c>
      <c r="D422" s="19" t="s">
        <v>45</v>
      </c>
      <c r="E422" s="19" t="s">
        <v>356</v>
      </c>
      <c r="F422" s="19" t="s">
        <v>3319</v>
      </c>
      <c r="G422" s="19" t="s">
        <v>48</v>
      </c>
      <c r="H422" s="19" t="s">
        <v>49</v>
      </c>
      <c r="I422" s="20">
        <v>45869.908333333333</v>
      </c>
      <c r="K422" s="19"/>
      <c r="L422" s="20">
        <v>45869.916666666657</v>
      </c>
      <c r="M422" s="19"/>
      <c r="N422" s="22">
        <f t="shared" si="14"/>
        <v>8.3333333241171204E-3</v>
      </c>
      <c r="O422" s="19" t="s">
        <v>50</v>
      </c>
      <c r="P422" s="19" t="s">
        <v>3320</v>
      </c>
      <c r="Q422" s="19" t="s">
        <v>3321</v>
      </c>
      <c r="R422" s="19"/>
      <c r="S422" s="19"/>
      <c r="U422" s="19"/>
      <c r="W422" s="19"/>
      <c r="X422" s="19" t="s">
        <v>620</v>
      </c>
      <c r="AC422" s="37"/>
      <c r="AD422" s="38"/>
      <c r="AE422" s="36">
        <v>45839</v>
      </c>
      <c r="AF422" s="19" t="s">
        <v>89</v>
      </c>
      <c r="AG422" s="19" t="s">
        <v>90</v>
      </c>
      <c r="AH422" s="19" t="s">
        <v>62</v>
      </c>
      <c r="AI422" s="19" t="s">
        <v>63</v>
      </c>
      <c r="AJ422" s="19" t="s">
        <v>3322</v>
      </c>
      <c r="AK422" s="19"/>
      <c r="AL422" s="19"/>
      <c r="AM422" s="19"/>
      <c r="AN422" s="19" t="s">
        <v>103</v>
      </c>
      <c r="AO422" s="23">
        <v>45869.908333333333</v>
      </c>
      <c r="AP422" s="26">
        <f t="shared" si="15"/>
        <v>12</v>
      </c>
    </row>
    <row r="423" spans="1:42" ht="25.5" hidden="1" customHeight="1">
      <c r="A423" s="19" t="s">
        <v>42</v>
      </c>
      <c r="C423" s="19" t="s">
        <v>105</v>
      </c>
      <c r="D423" s="19" t="s">
        <v>45</v>
      </c>
      <c r="E423" s="19" t="s">
        <v>46</v>
      </c>
      <c r="F423" s="19" t="s">
        <v>3323</v>
      </c>
      <c r="G423" s="19" t="s">
        <v>48</v>
      </c>
      <c r="H423" s="19" t="s">
        <v>49</v>
      </c>
      <c r="I423" s="20">
        <v>45871.40625</v>
      </c>
      <c r="K423" s="19"/>
      <c r="L423" s="20">
        <v>45871.440972222219</v>
      </c>
      <c r="M423" s="19"/>
      <c r="N423" s="22">
        <f t="shared" si="14"/>
        <v>3.4722222218988463E-2</v>
      </c>
      <c r="O423" s="19" t="s">
        <v>63</v>
      </c>
      <c r="P423" s="19" t="s">
        <v>3324</v>
      </c>
      <c r="Q423" s="19" t="s">
        <v>3325</v>
      </c>
      <c r="R423" s="19"/>
      <c r="S423" s="19"/>
      <c r="U423" s="19"/>
      <c r="W423" s="19"/>
      <c r="X423" s="19" t="s">
        <v>109</v>
      </c>
      <c r="Y423" s="27" t="s">
        <v>147</v>
      </c>
      <c r="Z423" s="27" t="s">
        <v>78</v>
      </c>
      <c r="AA423" s="27" t="s">
        <v>78</v>
      </c>
      <c r="AB423" s="27" t="s">
        <v>78</v>
      </c>
      <c r="AC423" s="37" t="s">
        <v>78</v>
      </c>
      <c r="AD423" s="38" t="s">
        <v>78</v>
      </c>
      <c r="AE423" s="36">
        <v>45871</v>
      </c>
      <c r="AF423" s="19" t="s">
        <v>89</v>
      </c>
      <c r="AG423" s="19" t="s">
        <v>90</v>
      </c>
      <c r="AH423" s="19" t="s">
        <v>62</v>
      </c>
      <c r="AI423" s="19" t="s">
        <v>63</v>
      </c>
      <c r="AJ423" s="19" t="s">
        <v>3326</v>
      </c>
      <c r="AK423" s="19"/>
      <c r="AL423" s="19"/>
      <c r="AM423" s="19"/>
      <c r="AN423" s="19" t="s">
        <v>103</v>
      </c>
      <c r="AO423" s="23">
        <v>45871.40625</v>
      </c>
      <c r="AP423" s="26">
        <f t="shared" si="15"/>
        <v>50</v>
      </c>
    </row>
    <row r="424" spans="1:42" ht="25.5" customHeight="1">
      <c r="A424" s="19" t="s">
        <v>42</v>
      </c>
      <c r="B424" s="19" t="s">
        <v>3327</v>
      </c>
      <c r="C424" s="19" t="s">
        <v>129</v>
      </c>
      <c r="D424" s="19" t="s">
        <v>45</v>
      </c>
      <c r="E424" s="19" t="s">
        <v>46</v>
      </c>
      <c r="F424" s="19" t="s">
        <v>3328</v>
      </c>
      <c r="G424" s="19" t="s">
        <v>48</v>
      </c>
      <c r="H424" s="19" t="s">
        <v>152</v>
      </c>
      <c r="I424" s="20">
        <v>45871.678472222222</v>
      </c>
      <c r="J424" s="20">
        <v>45871.75</v>
      </c>
      <c r="K424" s="19"/>
      <c r="L424" s="20">
        <v>45871.771527777782</v>
      </c>
      <c r="M424" s="19"/>
      <c r="N424" s="22">
        <f t="shared" si="14"/>
        <v>9.3055555560567882E-2</v>
      </c>
      <c r="O424" s="19" t="s">
        <v>63</v>
      </c>
      <c r="P424" s="19" t="s">
        <v>3329</v>
      </c>
      <c r="Q424" s="19" t="s">
        <v>3330</v>
      </c>
      <c r="R424" s="19" t="s">
        <v>3331</v>
      </c>
      <c r="S424" s="19" t="s">
        <v>3332</v>
      </c>
      <c r="T424" s="20">
        <v>45871.903946759259</v>
      </c>
      <c r="U424" s="19">
        <v>45895.716666666667</v>
      </c>
      <c r="V424" s="19" t="s">
        <v>157</v>
      </c>
      <c r="W424" s="19"/>
      <c r="X424" s="19" t="s">
        <v>109</v>
      </c>
      <c r="Y424" s="27" t="s">
        <v>54</v>
      </c>
      <c r="Z424" s="27" t="s">
        <v>209</v>
      </c>
      <c r="AA424" s="27" t="s">
        <v>3333</v>
      </c>
      <c r="AB424" s="27" t="s">
        <v>3334</v>
      </c>
      <c r="AC424" s="37">
        <v>45696.678472222222</v>
      </c>
      <c r="AD424" s="38">
        <v>45871.738888888889</v>
      </c>
      <c r="AE424" s="36">
        <v>45871</v>
      </c>
      <c r="AF424" s="19" t="s">
        <v>60</v>
      </c>
      <c r="AG424" s="19" t="s">
        <v>556</v>
      </c>
      <c r="AH424" s="19" t="s">
        <v>62</v>
      </c>
      <c r="AI424" s="19" t="s">
        <v>63</v>
      </c>
      <c r="AJ424" s="19" t="s">
        <v>3335</v>
      </c>
      <c r="AK424" s="19"/>
      <c r="AL424" s="19"/>
      <c r="AM424" s="19"/>
      <c r="AN424" s="19" t="s">
        <v>128</v>
      </c>
      <c r="AO424" s="23">
        <v>45871.679861111108</v>
      </c>
      <c r="AP424" s="26">
        <f t="shared" si="15"/>
        <v>134</v>
      </c>
    </row>
    <row r="425" spans="1:42" ht="25.5" hidden="1" customHeight="1">
      <c r="A425" s="19" t="s">
        <v>42</v>
      </c>
      <c r="B425" s="19" t="s">
        <v>630</v>
      </c>
      <c r="C425" s="19" t="s">
        <v>336</v>
      </c>
      <c r="D425" s="19" t="s">
        <v>45</v>
      </c>
      <c r="E425" s="19" t="s">
        <v>46</v>
      </c>
      <c r="F425" s="19" t="s">
        <v>3336</v>
      </c>
      <c r="G425" s="19" t="s">
        <v>48</v>
      </c>
      <c r="H425" s="19" t="s">
        <v>49</v>
      </c>
      <c r="I425" s="20">
        <v>45872.719444444447</v>
      </c>
      <c r="K425" s="19"/>
      <c r="L425" s="20">
        <v>45872.962500000001</v>
      </c>
      <c r="M425" s="19"/>
      <c r="N425" s="22">
        <f t="shared" si="14"/>
        <v>0.24305555555474712</v>
      </c>
      <c r="O425" s="19" t="s">
        <v>63</v>
      </c>
      <c r="P425" s="19" t="s">
        <v>3337</v>
      </c>
      <c r="Q425" s="19" t="s">
        <v>3338</v>
      </c>
      <c r="R425" s="19"/>
      <c r="S425" s="19"/>
      <c r="U425" s="19"/>
      <c r="W425" s="19"/>
      <c r="X425" s="19" t="s">
        <v>314</v>
      </c>
      <c r="Y425" s="27" t="s">
        <v>147</v>
      </c>
      <c r="Z425" s="27" t="s">
        <v>78</v>
      </c>
      <c r="AA425" s="27" t="s">
        <v>78</v>
      </c>
      <c r="AB425" s="27" t="s">
        <v>78</v>
      </c>
      <c r="AC425" s="37" t="s">
        <v>78</v>
      </c>
      <c r="AD425" s="38" t="s">
        <v>78</v>
      </c>
      <c r="AE425" s="36">
        <v>45871</v>
      </c>
      <c r="AF425" s="19" t="s">
        <v>89</v>
      </c>
      <c r="AG425" s="19" t="s">
        <v>90</v>
      </c>
      <c r="AH425" s="19" t="s">
        <v>62</v>
      </c>
      <c r="AI425" s="19" t="s">
        <v>63</v>
      </c>
      <c r="AJ425" s="19" t="s">
        <v>3339</v>
      </c>
      <c r="AK425" s="19"/>
      <c r="AL425" s="19"/>
      <c r="AM425" s="19"/>
      <c r="AN425" s="19" t="s">
        <v>103</v>
      </c>
      <c r="AO425" s="23">
        <v>45872.719444444447</v>
      </c>
      <c r="AP425" s="26">
        <f t="shared" si="15"/>
        <v>350</v>
      </c>
    </row>
    <row r="426" spans="1:42" ht="25.5" hidden="1" customHeight="1">
      <c r="A426" s="19" t="s">
        <v>42</v>
      </c>
      <c r="B426" s="19" t="s">
        <v>3340</v>
      </c>
      <c r="C426" s="19" t="s">
        <v>2101</v>
      </c>
      <c r="D426" s="19" t="s">
        <v>45</v>
      </c>
      <c r="E426" s="19" t="s">
        <v>46</v>
      </c>
      <c r="F426" s="19" t="s">
        <v>3341</v>
      </c>
      <c r="G426" s="19" t="s">
        <v>48</v>
      </c>
      <c r="H426" s="19" t="s">
        <v>49</v>
      </c>
      <c r="I426" s="20">
        <v>45873.486111111109</v>
      </c>
      <c r="K426" s="19"/>
      <c r="L426" s="20">
        <v>45873.583333333343</v>
      </c>
      <c r="M426" s="19"/>
      <c r="N426" s="22">
        <f t="shared" si="14"/>
        <v>9.7222222233540379E-2</v>
      </c>
      <c r="O426" s="19" t="s">
        <v>63</v>
      </c>
      <c r="P426" s="19" t="s">
        <v>3342</v>
      </c>
      <c r="Q426" s="19" t="s">
        <v>3343</v>
      </c>
      <c r="R426" s="19"/>
      <c r="S426" s="19"/>
      <c r="U426" s="19"/>
      <c r="W426" s="19"/>
      <c r="X426" s="19" t="s">
        <v>314</v>
      </c>
      <c r="Y426" s="27" t="s">
        <v>54</v>
      </c>
      <c r="Z426" s="27" t="s">
        <v>123</v>
      </c>
      <c r="AA426" s="27" t="s">
        <v>3344</v>
      </c>
      <c r="AB426" s="27" t="s">
        <v>3345</v>
      </c>
      <c r="AC426" s="37">
        <v>45873.484027777777</v>
      </c>
      <c r="AD426" s="38">
        <v>45873.5</v>
      </c>
      <c r="AE426" s="36">
        <v>45871</v>
      </c>
      <c r="AF426" s="19" t="s">
        <v>89</v>
      </c>
      <c r="AG426" s="19" t="s">
        <v>90</v>
      </c>
      <c r="AH426" s="19" t="s">
        <v>62</v>
      </c>
      <c r="AI426" s="19" t="s">
        <v>63</v>
      </c>
      <c r="AJ426" s="19" t="s">
        <v>3346</v>
      </c>
      <c r="AK426" s="19"/>
      <c r="AL426" s="19"/>
      <c r="AM426" s="19"/>
      <c r="AN426" s="19" t="s">
        <v>65</v>
      </c>
      <c r="AO426" s="23">
        <v>45873.517361111109</v>
      </c>
      <c r="AP426" s="26">
        <f t="shared" si="15"/>
        <v>140</v>
      </c>
    </row>
    <row r="427" spans="1:42" ht="25.5" customHeight="1">
      <c r="A427" s="19" t="s">
        <v>42</v>
      </c>
      <c r="B427" s="19" t="s">
        <v>66</v>
      </c>
      <c r="C427" s="19" t="s">
        <v>3347</v>
      </c>
      <c r="D427" s="19" t="s">
        <v>45</v>
      </c>
      <c r="E427" s="19" t="s">
        <v>46</v>
      </c>
      <c r="F427" s="19" t="s">
        <v>3348</v>
      </c>
      <c r="G427" s="19" t="s">
        <v>48</v>
      </c>
      <c r="H427" s="19" t="s">
        <v>69</v>
      </c>
      <c r="I427" s="20">
        <v>45874.311805555553</v>
      </c>
      <c r="K427" s="19"/>
      <c r="L427" s="20">
        <v>45874.351388888892</v>
      </c>
      <c r="M427" s="19"/>
      <c r="N427" s="22">
        <f t="shared" si="14"/>
        <v>3.9583333338669036E-2</v>
      </c>
      <c r="O427" s="19" t="s">
        <v>50</v>
      </c>
      <c r="P427" s="19" t="s">
        <v>3349</v>
      </c>
      <c r="Q427" s="19" t="s">
        <v>3350</v>
      </c>
      <c r="R427" s="19"/>
      <c r="S427" s="19"/>
      <c r="U427" s="19"/>
      <c r="W427" s="19"/>
      <c r="X427" s="19" t="s">
        <v>72</v>
      </c>
      <c r="Y427" s="27" t="s">
        <v>54</v>
      </c>
      <c r="Z427" s="27" t="s">
        <v>3351</v>
      </c>
      <c r="AA427" s="27" t="s">
        <v>3352</v>
      </c>
      <c r="AB427" s="27" t="s">
        <v>3353</v>
      </c>
      <c r="AC427" s="37" t="s">
        <v>3354</v>
      </c>
      <c r="AD427" s="38" t="s">
        <v>3355</v>
      </c>
      <c r="AE427" s="36">
        <v>45871</v>
      </c>
      <c r="AF427" s="19" t="s">
        <v>89</v>
      </c>
      <c r="AG427" s="19" t="s">
        <v>90</v>
      </c>
      <c r="AH427" s="19" t="s">
        <v>62</v>
      </c>
      <c r="AI427" s="19" t="s">
        <v>63</v>
      </c>
      <c r="AJ427" s="19" t="s">
        <v>3356</v>
      </c>
      <c r="AK427" s="19"/>
      <c r="AL427" s="19"/>
      <c r="AM427" s="19"/>
      <c r="AN427" s="19" t="s">
        <v>65</v>
      </c>
      <c r="AO427" s="23">
        <v>45874.354861111111</v>
      </c>
      <c r="AP427" s="26">
        <f t="shared" si="15"/>
        <v>57</v>
      </c>
    </row>
    <row r="428" spans="1:42" ht="25.5" hidden="1" customHeight="1">
      <c r="A428" s="19" t="s">
        <v>42</v>
      </c>
      <c r="C428" s="19" t="s">
        <v>984</v>
      </c>
      <c r="D428" s="19" t="s">
        <v>45</v>
      </c>
      <c r="E428" s="19" t="s">
        <v>46</v>
      </c>
      <c r="F428" s="19" t="s">
        <v>3357</v>
      </c>
      <c r="G428" s="19" t="s">
        <v>48</v>
      </c>
      <c r="H428" s="19" t="s">
        <v>49</v>
      </c>
      <c r="I428" s="20">
        <v>45874.454861111109</v>
      </c>
      <c r="K428" s="19"/>
      <c r="L428" s="20">
        <v>45874.479166666657</v>
      </c>
      <c r="M428" s="19"/>
      <c r="N428" s="22">
        <f t="shared" si="14"/>
        <v>2.4305555547471158E-2</v>
      </c>
      <c r="O428" s="19" t="s">
        <v>63</v>
      </c>
      <c r="P428" s="19" t="s">
        <v>3358</v>
      </c>
      <c r="Q428" s="19" t="s">
        <v>3359</v>
      </c>
      <c r="R428" s="19"/>
      <c r="S428" s="19"/>
      <c r="U428" s="19"/>
      <c r="W428" s="19"/>
      <c r="X428" s="19" t="s">
        <v>662</v>
      </c>
      <c r="Y428" s="27" t="s">
        <v>147</v>
      </c>
      <c r="Z428" s="27" t="s">
        <v>78</v>
      </c>
      <c r="AA428" s="27" t="s">
        <v>78</v>
      </c>
      <c r="AB428" s="27" t="s">
        <v>78</v>
      </c>
      <c r="AC428" s="37" t="s">
        <v>78</v>
      </c>
      <c r="AD428" s="38" t="s">
        <v>78</v>
      </c>
      <c r="AE428" s="36">
        <v>45871</v>
      </c>
      <c r="AF428" s="19" t="s">
        <v>99</v>
      </c>
      <c r="AG428" s="19" t="s">
        <v>100</v>
      </c>
      <c r="AH428" s="19" t="s">
        <v>62</v>
      </c>
      <c r="AI428" s="19" t="s">
        <v>63</v>
      </c>
      <c r="AJ428" s="19" t="s">
        <v>3360</v>
      </c>
      <c r="AK428" s="19" t="s">
        <v>3361</v>
      </c>
      <c r="AL428" s="19"/>
      <c r="AM428" s="19"/>
      <c r="AN428" s="19" t="s">
        <v>65</v>
      </c>
      <c r="AO428" s="23">
        <v>45874.454861111109</v>
      </c>
      <c r="AP428" s="26">
        <f t="shared" si="15"/>
        <v>35</v>
      </c>
    </row>
    <row r="429" spans="1:42" ht="25.5" hidden="1" customHeight="1">
      <c r="A429" s="19" t="s">
        <v>285</v>
      </c>
      <c r="B429" s="19" t="s">
        <v>309</v>
      </c>
      <c r="C429" s="19" t="s">
        <v>3362</v>
      </c>
      <c r="D429" s="19" t="s">
        <v>45</v>
      </c>
      <c r="E429" s="19" t="s">
        <v>46</v>
      </c>
      <c r="F429" s="19" t="s">
        <v>3363</v>
      </c>
      <c r="G429" s="19" t="s">
        <v>48</v>
      </c>
      <c r="H429" s="19" t="s">
        <v>49</v>
      </c>
      <c r="I429" s="20">
        <v>45874.790277777778</v>
      </c>
      <c r="K429" s="19"/>
      <c r="L429" s="20">
        <v>45875.583333333343</v>
      </c>
      <c r="M429" s="19"/>
      <c r="N429" s="22">
        <f t="shared" si="14"/>
        <v>0.79305555556493346</v>
      </c>
      <c r="O429" s="19" t="s">
        <v>63</v>
      </c>
      <c r="P429" s="19" t="s">
        <v>3364</v>
      </c>
      <c r="Q429" s="19" t="s">
        <v>3365</v>
      </c>
      <c r="R429" s="19"/>
      <c r="S429" s="19"/>
      <c r="U429" s="19"/>
      <c r="W429" s="19"/>
      <c r="X429" s="19" t="s">
        <v>314</v>
      </c>
      <c r="Y429" s="27" t="s">
        <v>54</v>
      </c>
      <c r="Z429" s="27" t="s">
        <v>2957</v>
      </c>
      <c r="AA429" s="27" t="s">
        <v>3366</v>
      </c>
      <c r="AB429" s="27" t="s">
        <v>3367</v>
      </c>
      <c r="AC429" s="37" t="s">
        <v>3368</v>
      </c>
      <c r="AD429" s="38" t="s">
        <v>3369</v>
      </c>
      <c r="AE429" s="36">
        <v>45871</v>
      </c>
      <c r="AF429" s="19" t="s">
        <v>89</v>
      </c>
      <c r="AG429" s="19" t="s">
        <v>90</v>
      </c>
      <c r="AH429" s="19" t="s">
        <v>62</v>
      </c>
      <c r="AI429" s="19" t="s">
        <v>63</v>
      </c>
      <c r="AJ429" s="19" t="s">
        <v>3370</v>
      </c>
      <c r="AK429" s="19"/>
      <c r="AL429" s="19"/>
      <c r="AM429" s="19"/>
      <c r="AN429" s="19" t="s">
        <v>65</v>
      </c>
      <c r="AO429" s="23">
        <v>45874.790277777778</v>
      </c>
      <c r="AP429" s="26">
        <f t="shared" si="15"/>
        <v>1142</v>
      </c>
    </row>
    <row r="430" spans="1:42" ht="25.5" hidden="1" customHeight="1">
      <c r="A430" s="19" t="s">
        <v>116</v>
      </c>
      <c r="B430" s="19" t="s">
        <v>1273</v>
      </c>
      <c r="C430" s="19" t="s">
        <v>3371</v>
      </c>
      <c r="D430" s="19" t="s">
        <v>45</v>
      </c>
      <c r="E430" s="19" t="s">
        <v>46</v>
      </c>
      <c r="F430" s="19" t="s">
        <v>3372</v>
      </c>
      <c r="G430" s="19" t="s">
        <v>48</v>
      </c>
      <c r="H430" s="19" t="s">
        <v>49</v>
      </c>
      <c r="I430" s="20">
        <v>45875.462500000001</v>
      </c>
      <c r="K430" s="19"/>
      <c r="L430" s="20">
        <v>45875.599305555559</v>
      </c>
      <c r="M430" s="19"/>
      <c r="N430" s="22">
        <f t="shared" si="14"/>
        <v>0.1368055555576575</v>
      </c>
      <c r="O430" s="19" t="s">
        <v>50</v>
      </c>
      <c r="P430" s="19" t="s">
        <v>3162</v>
      </c>
      <c r="Q430" s="19" t="s">
        <v>3373</v>
      </c>
      <c r="R430" s="19"/>
      <c r="S430" s="19"/>
      <c r="U430" s="19"/>
      <c r="W430" s="19"/>
      <c r="X430" s="19" t="s">
        <v>109</v>
      </c>
      <c r="Y430" s="27" t="s">
        <v>54</v>
      </c>
      <c r="Z430" s="27" t="s">
        <v>3374</v>
      </c>
      <c r="AA430" s="27" t="s">
        <v>3375</v>
      </c>
      <c r="AB430" s="27" t="s">
        <v>3376</v>
      </c>
      <c r="AC430" s="37">
        <v>45875.382638888892</v>
      </c>
      <c r="AD430" s="38">
        <v>45875.386111111111</v>
      </c>
      <c r="AE430" s="36">
        <v>45871</v>
      </c>
      <c r="AF430" s="19" t="s">
        <v>89</v>
      </c>
      <c r="AG430" s="19" t="s">
        <v>90</v>
      </c>
      <c r="AH430" s="19" t="s">
        <v>62</v>
      </c>
      <c r="AI430" s="19" t="s">
        <v>63</v>
      </c>
      <c r="AJ430" s="19" t="s">
        <v>3377</v>
      </c>
      <c r="AK430" s="19"/>
      <c r="AL430" s="19"/>
      <c r="AM430" s="19"/>
      <c r="AN430" s="19" t="s">
        <v>103</v>
      </c>
      <c r="AO430" s="23">
        <v>45875.458333333343</v>
      </c>
      <c r="AP430" s="26">
        <f t="shared" si="15"/>
        <v>197</v>
      </c>
    </row>
    <row r="431" spans="1:42" ht="25.5" hidden="1" customHeight="1">
      <c r="A431" s="19" t="s">
        <v>42</v>
      </c>
      <c r="B431" s="19" t="s">
        <v>93</v>
      </c>
      <c r="C431" s="19" t="s">
        <v>336</v>
      </c>
      <c r="D431" s="19" t="s">
        <v>45</v>
      </c>
      <c r="E431" s="19" t="s">
        <v>46</v>
      </c>
      <c r="F431" s="19" t="s">
        <v>3378</v>
      </c>
      <c r="G431" s="19" t="s">
        <v>48</v>
      </c>
      <c r="H431" s="19" t="s">
        <v>49</v>
      </c>
      <c r="I431" s="20">
        <v>45875.504166666673</v>
      </c>
      <c r="K431" s="19"/>
      <c r="L431" s="20">
        <v>45875.572222222218</v>
      </c>
      <c r="M431" s="19"/>
      <c r="N431" s="22">
        <f t="shared" si="14"/>
        <v>6.8055555544560775E-2</v>
      </c>
      <c r="O431" s="19" t="s">
        <v>50</v>
      </c>
      <c r="P431" s="19" t="s">
        <v>3379</v>
      </c>
      <c r="Q431" s="19" t="s">
        <v>3380</v>
      </c>
      <c r="R431" s="19"/>
      <c r="S431" s="19"/>
      <c r="U431" s="19"/>
      <c r="W431" s="19"/>
      <c r="X431" s="19" t="s">
        <v>314</v>
      </c>
      <c r="Y431" s="27" t="s">
        <v>147</v>
      </c>
      <c r="Z431" s="27" t="s">
        <v>78</v>
      </c>
      <c r="AA431" s="27" t="s">
        <v>78</v>
      </c>
      <c r="AB431" s="27" t="s">
        <v>78</v>
      </c>
      <c r="AC431" s="37" t="s">
        <v>78</v>
      </c>
      <c r="AD431" s="38" t="s">
        <v>78</v>
      </c>
      <c r="AE431" s="36">
        <v>45871</v>
      </c>
      <c r="AF431" s="19" t="s">
        <v>99</v>
      </c>
      <c r="AG431" s="19" t="s">
        <v>139</v>
      </c>
      <c r="AH431" s="19" t="s">
        <v>62</v>
      </c>
      <c r="AI431" s="19" t="s">
        <v>63</v>
      </c>
      <c r="AJ431" s="19" t="s">
        <v>3381</v>
      </c>
      <c r="AK431" s="19"/>
      <c r="AL431" s="19"/>
      <c r="AM431" s="19"/>
      <c r="AN431" s="19" t="s">
        <v>103</v>
      </c>
      <c r="AO431" s="23">
        <v>45875.504166666673</v>
      </c>
      <c r="AP431" s="26">
        <f t="shared" si="15"/>
        <v>98</v>
      </c>
    </row>
    <row r="432" spans="1:42" ht="25.5" hidden="1" customHeight="1">
      <c r="A432" s="19" t="s">
        <v>92</v>
      </c>
      <c r="B432" s="19" t="s">
        <v>403</v>
      </c>
      <c r="C432" s="19" t="s">
        <v>1021</v>
      </c>
      <c r="D432" s="19" t="s">
        <v>45</v>
      </c>
      <c r="E432" s="19" t="s">
        <v>46</v>
      </c>
      <c r="F432" s="19" t="s">
        <v>3382</v>
      </c>
      <c r="G432" s="19" t="s">
        <v>48</v>
      </c>
      <c r="H432" s="19" t="s">
        <v>49</v>
      </c>
      <c r="I432" s="20">
        <v>45876.290277777778</v>
      </c>
      <c r="K432" s="19"/>
      <c r="L432" s="20">
        <v>45876.340277777781</v>
      </c>
      <c r="M432" s="19"/>
      <c r="N432" s="22">
        <f t="shared" si="14"/>
        <v>5.0000000002910383E-2</v>
      </c>
      <c r="O432" s="19" t="s">
        <v>50</v>
      </c>
      <c r="P432" s="19" t="s">
        <v>3383</v>
      </c>
      <c r="Q432" s="19" t="s">
        <v>3384</v>
      </c>
      <c r="R432" s="19"/>
      <c r="S432" s="19"/>
      <c r="U432" s="19"/>
      <c r="W432" s="19"/>
      <c r="X432" s="19" t="s">
        <v>109</v>
      </c>
      <c r="Y432" s="27" t="s">
        <v>147</v>
      </c>
      <c r="Z432" s="27" t="s">
        <v>78</v>
      </c>
      <c r="AA432" s="27" t="s">
        <v>78</v>
      </c>
      <c r="AB432" s="27" t="s">
        <v>78</v>
      </c>
      <c r="AC432" s="37" t="s">
        <v>78</v>
      </c>
      <c r="AD432" s="38" t="s">
        <v>78</v>
      </c>
      <c r="AE432" s="36">
        <v>45871</v>
      </c>
      <c r="AF432" s="19" t="s">
        <v>60</v>
      </c>
      <c r="AG432" s="19" t="s">
        <v>78</v>
      </c>
      <c r="AH432" s="19" t="s">
        <v>78</v>
      </c>
      <c r="AI432" s="19" t="s">
        <v>63</v>
      </c>
      <c r="AJ432" s="19" t="s">
        <v>3385</v>
      </c>
      <c r="AK432" s="19"/>
      <c r="AL432" s="19"/>
      <c r="AM432" s="19"/>
      <c r="AN432" s="19" t="s">
        <v>103</v>
      </c>
      <c r="AO432" s="23">
        <v>45876.321527777778</v>
      </c>
      <c r="AP432" s="26">
        <f t="shared" si="15"/>
        <v>72</v>
      </c>
    </row>
    <row r="433" spans="1:42" ht="25.5" hidden="1" customHeight="1">
      <c r="A433" s="19" t="s">
        <v>92</v>
      </c>
      <c r="B433" s="19" t="s">
        <v>403</v>
      </c>
      <c r="C433" s="19" t="s">
        <v>1021</v>
      </c>
      <c r="D433" s="19" t="s">
        <v>45</v>
      </c>
      <c r="E433" s="19" t="s">
        <v>46</v>
      </c>
      <c r="F433" s="19" t="s">
        <v>3382</v>
      </c>
      <c r="G433" s="19" t="s">
        <v>226</v>
      </c>
      <c r="H433" s="19" t="s">
        <v>49</v>
      </c>
      <c r="I433" s="20">
        <v>45876.344444444447</v>
      </c>
      <c r="K433" s="19"/>
      <c r="L433" s="20">
        <v>45876.43472222222</v>
      </c>
      <c r="M433" s="19"/>
      <c r="N433" s="22">
        <f t="shared" si="14"/>
        <v>9.0277777773735579E-2</v>
      </c>
      <c r="O433" s="19" t="s">
        <v>50</v>
      </c>
      <c r="P433" s="19" t="s">
        <v>3383</v>
      </c>
      <c r="Q433" s="19" t="s">
        <v>3386</v>
      </c>
      <c r="R433" s="19"/>
      <c r="S433" s="19"/>
      <c r="U433" s="19"/>
      <c r="W433" s="19"/>
      <c r="X433" s="19" t="s">
        <v>109</v>
      </c>
      <c r="Y433" s="27" t="s">
        <v>147</v>
      </c>
      <c r="Z433" s="27" t="s">
        <v>78</v>
      </c>
      <c r="AA433" s="27" t="s">
        <v>78</v>
      </c>
      <c r="AB433" s="27" t="s">
        <v>78</v>
      </c>
      <c r="AC433" s="37" t="s">
        <v>78</v>
      </c>
      <c r="AD433" s="38" t="s">
        <v>78</v>
      </c>
      <c r="AE433" s="36">
        <v>45871</v>
      </c>
      <c r="AF433" s="19" t="s">
        <v>60</v>
      </c>
      <c r="AG433" s="19" t="s">
        <v>78</v>
      </c>
      <c r="AH433" s="19" t="s">
        <v>78</v>
      </c>
      <c r="AI433" s="19" t="s">
        <v>50</v>
      </c>
      <c r="AJ433" s="19" t="s">
        <v>3387</v>
      </c>
      <c r="AK433" s="19"/>
      <c r="AL433" s="19"/>
      <c r="AM433" s="19"/>
      <c r="AN433" s="19" t="s">
        <v>103</v>
      </c>
      <c r="AO433" s="23">
        <v>45876.344444444447</v>
      </c>
      <c r="AP433" s="26">
        <f t="shared" si="15"/>
        <v>130</v>
      </c>
    </row>
    <row r="434" spans="1:42" ht="25.5" customHeight="1">
      <c r="A434" s="19" t="s">
        <v>42</v>
      </c>
      <c r="B434" s="19" t="s">
        <v>3388</v>
      </c>
      <c r="C434" s="19" t="s">
        <v>3389</v>
      </c>
      <c r="D434" s="19" t="s">
        <v>45</v>
      </c>
      <c r="E434" s="19" t="s">
        <v>46</v>
      </c>
      <c r="F434" s="19" t="s">
        <v>3390</v>
      </c>
      <c r="G434" s="19" t="s">
        <v>48</v>
      </c>
      <c r="H434" s="19" t="s">
        <v>152</v>
      </c>
      <c r="I434" s="20">
        <v>45876.368055555547</v>
      </c>
      <c r="J434" s="20">
        <v>45876.395833333343</v>
      </c>
      <c r="K434" s="19"/>
      <c r="L434" s="20">
        <v>45876.409722222219</v>
      </c>
      <c r="M434" s="19"/>
      <c r="N434" s="22">
        <f t="shared" si="14"/>
        <v>4.1666666671517305E-2</v>
      </c>
      <c r="O434" s="19" t="s">
        <v>50</v>
      </c>
      <c r="P434" s="19" t="s">
        <v>3391</v>
      </c>
      <c r="Q434" s="19" t="s">
        <v>3392</v>
      </c>
      <c r="R434" s="19" t="s">
        <v>3393</v>
      </c>
      <c r="S434" s="19" t="s">
        <v>3394</v>
      </c>
      <c r="T434" s="20">
        <v>45876.500694444447</v>
      </c>
      <c r="U434" s="19">
        <v>45878.840277777781</v>
      </c>
      <c r="V434" s="19" t="s">
        <v>157</v>
      </c>
      <c r="W434" s="19"/>
      <c r="X434" s="19" t="s">
        <v>620</v>
      </c>
      <c r="Y434" s="27" t="s">
        <v>54</v>
      </c>
      <c r="Z434" s="27" t="s">
        <v>3395</v>
      </c>
      <c r="AA434" s="27" t="s">
        <v>3396</v>
      </c>
      <c r="AB434" s="27" t="s">
        <v>3397</v>
      </c>
      <c r="AC434" s="37" t="s">
        <v>3398</v>
      </c>
      <c r="AD434" s="38" t="s">
        <v>3399</v>
      </c>
      <c r="AE434" s="36">
        <v>45871</v>
      </c>
      <c r="AF434" s="19" t="s">
        <v>89</v>
      </c>
      <c r="AG434" s="19" t="s">
        <v>90</v>
      </c>
      <c r="AH434" s="19" t="s">
        <v>62</v>
      </c>
      <c r="AI434" s="19" t="s">
        <v>63</v>
      </c>
      <c r="AJ434" s="19" t="s">
        <v>3400</v>
      </c>
      <c r="AK434" s="19" t="s">
        <v>3401</v>
      </c>
      <c r="AL434" s="19"/>
      <c r="AM434" s="19"/>
      <c r="AN434" s="19" t="s">
        <v>103</v>
      </c>
      <c r="AO434" s="23">
        <v>45876.37222222222</v>
      </c>
      <c r="AP434" s="26">
        <f t="shared" si="15"/>
        <v>60</v>
      </c>
    </row>
    <row r="435" spans="1:42" ht="25.5" hidden="1" customHeight="1">
      <c r="A435" s="19" t="s">
        <v>42</v>
      </c>
      <c r="B435" s="19" t="s">
        <v>43</v>
      </c>
      <c r="C435" s="19" t="s">
        <v>129</v>
      </c>
      <c r="D435" s="19" t="s">
        <v>45</v>
      </c>
      <c r="E435" s="19" t="s">
        <v>46</v>
      </c>
      <c r="F435" s="19" t="s">
        <v>3390</v>
      </c>
      <c r="G435" s="19" t="s">
        <v>226</v>
      </c>
      <c r="H435" s="19" t="s">
        <v>49</v>
      </c>
      <c r="I435" s="20">
        <v>45876.409722222219</v>
      </c>
      <c r="K435" s="19"/>
      <c r="L435" s="20">
        <v>45876.424305555563</v>
      </c>
      <c r="M435" s="19"/>
      <c r="N435" s="22">
        <f t="shared" si="14"/>
        <v>1.4583333344489802E-2</v>
      </c>
      <c r="O435" s="19" t="s">
        <v>50</v>
      </c>
      <c r="P435" s="19" t="s">
        <v>3391</v>
      </c>
      <c r="Q435" s="19" t="s">
        <v>3402</v>
      </c>
      <c r="R435" s="19"/>
      <c r="S435" s="19"/>
      <c r="U435" s="19"/>
      <c r="W435" s="19"/>
      <c r="X435" s="19" t="s">
        <v>109</v>
      </c>
      <c r="Y435" s="27" t="s">
        <v>54</v>
      </c>
      <c r="Z435" s="27" t="s">
        <v>3395</v>
      </c>
      <c r="AA435" s="27" t="s">
        <v>3396</v>
      </c>
      <c r="AB435" s="27" t="s">
        <v>3397</v>
      </c>
      <c r="AC435" s="37" t="s">
        <v>3398</v>
      </c>
      <c r="AD435" s="38" t="s">
        <v>3399</v>
      </c>
      <c r="AE435" s="36">
        <v>45871</v>
      </c>
      <c r="AF435" s="19" t="s">
        <v>99</v>
      </c>
      <c r="AG435" s="19" t="s">
        <v>139</v>
      </c>
      <c r="AH435" s="19" t="s">
        <v>62</v>
      </c>
      <c r="AI435" s="19" t="s">
        <v>50</v>
      </c>
      <c r="AJ435" s="19" t="s">
        <v>3400</v>
      </c>
      <c r="AK435" s="19" t="s">
        <v>3401</v>
      </c>
      <c r="AL435" s="19"/>
      <c r="AM435" s="19"/>
      <c r="AN435" s="19" t="s">
        <v>103</v>
      </c>
      <c r="AO435" s="23">
        <v>45876.37222222222</v>
      </c>
      <c r="AP435" s="26">
        <f t="shared" si="15"/>
        <v>21</v>
      </c>
    </row>
    <row r="436" spans="1:42" ht="25.5" hidden="1" customHeight="1">
      <c r="A436" s="19" t="s">
        <v>42</v>
      </c>
      <c r="B436" s="19" t="s">
        <v>3403</v>
      </c>
      <c r="C436" s="19" t="s">
        <v>3404</v>
      </c>
      <c r="D436" s="19" t="s">
        <v>45</v>
      </c>
      <c r="E436" s="19" t="s">
        <v>46</v>
      </c>
      <c r="F436" s="19" t="s">
        <v>3405</v>
      </c>
      <c r="G436" s="19" t="s">
        <v>48</v>
      </c>
      <c r="H436" s="19" t="s">
        <v>49</v>
      </c>
      <c r="I436" s="20">
        <v>45877.385416666657</v>
      </c>
      <c r="K436" s="19"/>
      <c r="L436" s="20">
        <v>45877.40625</v>
      </c>
      <c r="M436" s="19"/>
      <c r="N436" s="22">
        <f t="shared" si="14"/>
        <v>2.083333334303461E-2</v>
      </c>
      <c r="O436" s="19" t="s">
        <v>63</v>
      </c>
      <c r="P436" s="19" t="s">
        <v>3406</v>
      </c>
      <c r="Q436" s="19" t="s">
        <v>3407</v>
      </c>
      <c r="R436" s="19"/>
      <c r="S436" s="19"/>
      <c r="U436" s="19"/>
      <c r="W436" s="19"/>
      <c r="X436" s="19" t="s">
        <v>314</v>
      </c>
      <c r="Y436" s="27" t="s">
        <v>147</v>
      </c>
      <c r="Z436" s="27" t="s">
        <v>78</v>
      </c>
      <c r="AA436" s="27" t="s">
        <v>78</v>
      </c>
      <c r="AB436" s="27" t="s">
        <v>78</v>
      </c>
      <c r="AC436" s="37" t="s">
        <v>78</v>
      </c>
      <c r="AD436" s="38" t="s">
        <v>78</v>
      </c>
      <c r="AE436" s="36">
        <v>45871</v>
      </c>
      <c r="AF436" s="19" t="s">
        <v>89</v>
      </c>
      <c r="AG436" s="19" t="s">
        <v>90</v>
      </c>
      <c r="AH436" s="19" t="s">
        <v>62</v>
      </c>
      <c r="AI436" s="19" t="s">
        <v>63</v>
      </c>
      <c r="AJ436" s="19" t="s">
        <v>3408</v>
      </c>
      <c r="AK436" s="19"/>
      <c r="AL436" s="19"/>
      <c r="AM436" s="19"/>
      <c r="AN436" s="19" t="s">
        <v>103</v>
      </c>
      <c r="AO436" s="23">
        <v>45877.385416666657</v>
      </c>
      <c r="AP436" s="26">
        <f t="shared" si="15"/>
        <v>30</v>
      </c>
    </row>
    <row r="437" spans="1:42" ht="25.5" hidden="1" customHeight="1">
      <c r="A437" s="19" t="s">
        <v>42</v>
      </c>
      <c r="B437" s="19" t="s">
        <v>309</v>
      </c>
      <c r="C437" s="19" t="s">
        <v>2677</v>
      </c>
      <c r="D437" s="19" t="s">
        <v>45</v>
      </c>
      <c r="E437" s="19" t="s">
        <v>46</v>
      </c>
      <c r="F437" s="19" t="s">
        <v>3409</v>
      </c>
      <c r="G437" s="19" t="s">
        <v>48</v>
      </c>
      <c r="H437" s="19" t="s">
        <v>49</v>
      </c>
      <c r="I437" s="20">
        <v>45877.395833333343</v>
      </c>
      <c r="K437" s="19"/>
      <c r="L437" s="20">
        <v>45877.427777777782</v>
      </c>
      <c r="M437" s="19"/>
      <c r="N437" s="22">
        <f t="shared" si="14"/>
        <v>3.1944444439432118E-2</v>
      </c>
      <c r="O437" s="19" t="s">
        <v>63</v>
      </c>
      <c r="P437" s="19" t="s">
        <v>3410</v>
      </c>
      <c r="Q437" s="19" t="s">
        <v>3411</v>
      </c>
      <c r="R437" s="19"/>
      <c r="S437" s="19"/>
      <c r="U437" s="19"/>
      <c r="W437" s="19"/>
      <c r="X437" s="19" t="s">
        <v>314</v>
      </c>
      <c r="Y437" s="27" t="s">
        <v>147</v>
      </c>
      <c r="Z437" s="27" t="s">
        <v>78</v>
      </c>
      <c r="AA437" s="27" t="s">
        <v>78</v>
      </c>
      <c r="AB437" s="27" t="s">
        <v>78</v>
      </c>
      <c r="AC437" s="37" t="s">
        <v>78</v>
      </c>
      <c r="AD437" s="38" t="s">
        <v>78</v>
      </c>
      <c r="AE437" s="36">
        <v>45871</v>
      </c>
      <c r="AF437" s="19" t="s">
        <v>89</v>
      </c>
      <c r="AG437" s="19" t="s">
        <v>90</v>
      </c>
      <c r="AH437" s="19" t="s">
        <v>62</v>
      </c>
      <c r="AI437" s="19" t="s">
        <v>63</v>
      </c>
      <c r="AJ437" s="19" t="s">
        <v>3412</v>
      </c>
      <c r="AK437" s="19"/>
      <c r="AL437" s="19"/>
      <c r="AM437" s="19"/>
      <c r="AN437" s="19" t="s">
        <v>103</v>
      </c>
      <c r="AO437" s="23">
        <v>45877.395833333343</v>
      </c>
      <c r="AP437" s="26">
        <f t="shared" si="15"/>
        <v>46</v>
      </c>
    </row>
    <row r="438" spans="1:42" ht="25.5" customHeight="1">
      <c r="A438" s="19" t="s">
        <v>42</v>
      </c>
      <c r="C438" s="19" t="s">
        <v>3413</v>
      </c>
      <c r="D438" s="19" t="s">
        <v>45</v>
      </c>
      <c r="E438" s="19" t="s">
        <v>46</v>
      </c>
      <c r="F438" s="19" t="s">
        <v>3414</v>
      </c>
      <c r="G438" s="19" t="s">
        <v>48</v>
      </c>
      <c r="H438" s="19" t="s">
        <v>144</v>
      </c>
      <c r="I438" s="20">
        <v>45878.041666666657</v>
      </c>
      <c r="K438" s="19"/>
      <c r="L438" s="20">
        <v>45878.399305555547</v>
      </c>
      <c r="M438" s="19"/>
      <c r="N438" s="22">
        <f t="shared" si="14"/>
        <v>0.35763888889050577</v>
      </c>
      <c r="O438" s="19" t="s">
        <v>50</v>
      </c>
      <c r="P438" s="19" t="s">
        <v>3415</v>
      </c>
      <c r="Q438" s="19" t="s">
        <v>3416</v>
      </c>
      <c r="R438" s="19"/>
      <c r="S438" s="19"/>
      <c r="U438" s="19"/>
      <c r="W438" s="19"/>
      <c r="X438" s="19" t="s">
        <v>72</v>
      </c>
      <c r="Y438" s="27" t="s">
        <v>147</v>
      </c>
      <c r="Z438" s="27" t="s">
        <v>78</v>
      </c>
      <c r="AA438" s="27" t="s">
        <v>78</v>
      </c>
      <c r="AB438" s="27" t="s">
        <v>78</v>
      </c>
      <c r="AC438" s="37" t="s">
        <v>78</v>
      </c>
      <c r="AD438" s="38" t="s">
        <v>78</v>
      </c>
      <c r="AE438" s="36">
        <v>45871</v>
      </c>
      <c r="AF438" s="19" t="s">
        <v>89</v>
      </c>
      <c r="AG438" s="19" t="s">
        <v>90</v>
      </c>
      <c r="AH438" s="19" t="s">
        <v>62</v>
      </c>
      <c r="AI438" s="19" t="s">
        <v>63</v>
      </c>
      <c r="AJ438" s="19" t="s">
        <v>3417</v>
      </c>
      <c r="AK438" s="19"/>
      <c r="AL438" s="19"/>
      <c r="AM438" s="19"/>
      <c r="AN438" s="19" t="s">
        <v>65</v>
      </c>
      <c r="AO438" s="23">
        <v>45878.401388888888</v>
      </c>
      <c r="AP438" s="26">
        <f t="shared" si="15"/>
        <v>515</v>
      </c>
    </row>
    <row r="439" spans="1:42" ht="25.5" hidden="1" customHeight="1">
      <c r="A439" s="19" t="s">
        <v>285</v>
      </c>
      <c r="C439" s="19" t="s">
        <v>2677</v>
      </c>
      <c r="D439" s="19" t="s">
        <v>45</v>
      </c>
      <c r="E439" s="19" t="s">
        <v>46</v>
      </c>
      <c r="F439" s="19" t="s">
        <v>3418</v>
      </c>
      <c r="G439" s="19" t="s">
        <v>48</v>
      </c>
      <c r="H439" s="19" t="s">
        <v>49</v>
      </c>
      <c r="I439" s="20">
        <v>45878.701388888891</v>
      </c>
      <c r="K439" s="19"/>
      <c r="L439" s="20">
        <v>45878.715277777781</v>
      </c>
      <c r="M439" s="19"/>
      <c r="N439" s="22">
        <f t="shared" si="14"/>
        <v>1.3888888890505768E-2</v>
      </c>
      <c r="O439" s="19" t="s">
        <v>63</v>
      </c>
      <c r="P439" s="19" t="s">
        <v>3419</v>
      </c>
      <c r="Q439" s="19" t="s">
        <v>3420</v>
      </c>
      <c r="R439" s="19"/>
      <c r="S439" s="19"/>
      <c r="U439" s="19"/>
      <c r="W439" s="19"/>
      <c r="X439" s="19" t="s">
        <v>314</v>
      </c>
      <c r="Y439" s="27" t="s">
        <v>133</v>
      </c>
      <c r="Z439" s="27" t="s">
        <v>811</v>
      </c>
      <c r="AA439" s="27" t="s">
        <v>3421</v>
      </c>
      <c r="AB439" s="27" t="s">
        <v>3422</v>
      </c>
      <c r="AC439" s="37" t="s">
        <v>3423</v>
      </c>
      <c r="AD439" s="38" t="s">
        <v>3424</v>
      </c>
      <c r="AE439" s="36">
        <v>45871</v>
      </c>
      <c r="AF439" s="19" t="s">
        <v>293</v>
      </c>
      <c r="AG439" s="19" t="s">
        <v>294</v>
      </c>
      <c r="AH439" s="19" t="s">
        <v>62</v>
      </c>
      <c r="AI439" s="19" t="s">
        <v>63</v>
      </c>
      <c r="AJ439" s="19" t="s">
        <v>3425</v>
      </c>
      <c r="AK439" s="19"/>
      <c r="AL439" s="19"/>
      <c r="AM439" s="19"/>
      <c r="AN439" s="19" t="s">
        <v>65</v>
      </c>
      <c r="AO439" s="23">
        <v>45878.701388888891</v>
      </c>
      <c r="AP439" s="26">
        <f t="shared" si="15"/>
        <v>20</v>
      </c>
    </row>
    <row r="440" spans="1:42" ht="25.5" hidden="1" customHeight="1">
      <c r="A440" s="19" t="s">
        <v>92</v>
      </c>
      <c r="B440" s="19" t="s">
        <v>3311</v>
      </c>
      <c r="C440" s="19" t="s">
        <v>3426</v>
      </c>
      <c r="D440" s="19" t="s">
        <v>45</v>
      </c>
      <c r="E440" s="19" t="s">
        <v>46</v>
      </c>
      <c r="F440" s="19" t="s">
        <v>3427</v>
      </c>
      <c r="G440" s="19" t="s">
        <v>48</v>
      </c>
      <c r="H440" s="19" t="s">
        <v>49</v>
      </c>
      <c r="I440" s="20">
        <v>45879.402777777781</v>
      </c>
      <c r="K440" s="19"/>
      <c r="L440" s="20">
        <v>45879.480555555558</v>
      </c>
      <c r="M440" s="19"/>
      <c r="N440" s="22">
        <f t="shared" si="14"/>
        <v>7.7777777776645962E-2</v>
      </c>
      <c r="O440" s="19" t="s">
        <v>50</v>
      </c>
      <c r="P440" s="19" t="s">
        <v>3428</v>
      </c>
      <c r="Q440" s="19" t="s">
        <v>3429</v>
      </c>
      <c r="R440" s="19"/>
      <c r="S440" s="19"/>
      <c r="U440" s="19"/>
      <c r="W440" s="19"/>
      <c r="X440" s="19" t="s">
        <v>109</v>
      </c>
      <c r="Y440" s="27" t="s">
        <v>147</v>
      </c>
      <c r="Z440" s="27" t="s">
        <v>78</v>
      </c>
      <c r="AA440" s="27" t="s">
        <v>78</v>
      </c>
      <c r="AB440" s="27" t="s">
        <v>78</v>
      </c>
      <c r="AC440" s="37" t="s">
        <v>78</v>
      </c>
      <c r="AD440" s="38" t="s">
        <v>78</v>
      </c>
      <c r="AE440" s="36">
        <v>45871</v>
      </c>
      <c r="AF440" s="19" t="s">
        <v>60</v>
      </c>
      <c r="AG440" s="19" t="s">
        <v>78</v>
      </c>
      <c r="AH440" s="19" t="s">
        <v>78</v>
      </c>
      <c r="AI440" s="19" t="s">
        <v>63</v>
      </c>
      <c r="AJ440" s="19" t="s">
        <v>3430</v>
      </c>
      <c r="AK440" s="19"/>
      <c r="AL440" s="19"/>
      <c r="AM440" s="19"/>
      <c r="AN440" s="19" t="s">
        <v>103</v>
      </c>
      <c r="AO440" s="23">
        <v>45879.402777777781</v>
      </c>
      <c r="AP440" s="26">
        <f t="shared" si="15"/>
        <v>112</v>
      </c>
    </row>
    <row r="441" spans="1:42" ht="25.5" hidden="1" customHeight="1">
      <c r="A441" s="19" t="s">
        <v>42</v>
      </c>
      <c r="B441" s="19" t="s">
        <v>891</v>
      </c>
      <c r="C441" s="19" t="s">
        <v>3096</v>
      </c>
      <c r="D441" s="19" t="s">
        <v>45</v>
      </c>
      <c r="E441" s="19" t="s">
        <v>46</v>
      </c>
      <c r="F441" s="19" t="s">
        <v>3431</v>
      </c>
      <c r="G441" s="19" t="s">
        <v>48</v>
      </c>
      <c r="H441" s="19" t="s">
        <v>49</v>
      </c>
      <c r="I441" s="20">
        <v>45880.538194444453</v>
      </c>
      <c r="K441" s="19"/>
      <c r="L441" s="20">
        <v>45880.569444444453</v>
      </c>
      <c r="M441" s="19"/>
      <c r="N441" s="22">
        <f t="shared" si="14"/>
        <v>3.125E-2</v>
      </c>
      <c r="O441" s="19" t="s">
        <v>50</v>
      </c>
      <c r="P441" s="19" t="s">
        <v>3432</v>
      </c>
      <c r="Q441" s="19" t="s">
        <v>3433</v>
      </c>
      <c r="R441" s="19" t="s">
        <v>3434</v>
      </c>
      <c r="S441" s="19" t="s">
        <v>3435</v>
      </c>
      <c r="T441" s="20">
        <v>45882.509212962963</v>
      </c>
      <c r="U441" s="19">
        <v>45887.68472222222</v>
      </c>
      <c r="V441" s="19" t="s">
        <v>157</v>
      </c>
      <c r="W441" s="19"/>
      <c r="X441" s="19" t="s">
        <v>122</v>
      </c>
      <c r="Y441" s="27" t="s">
        <v>54</v>
      </c>
      <c r="Z441" s="27" t="s">
        <v>209</v>
      </c>
      <c r="AA441" s="27" t="s">
        <v>3436</v>
      </c>
      <c r="AB441" s="27" t="s">
        <v>3437</v>
      </c>
      <c r="AC441" s="37">
        <v>45880.53125</v>
      </c>
      <c r="AD441" s="38" t="s">
        <v>861</v>
      </c>
      <c r="AE441" s="36">
        <v>45871</v>
      </c>
      <c r="AF441" s="19" t="s">
        <v>89</v>
      </c>
      <c r="AG441" s="19" t="s">
        <v>90</v>
      </c>
      <c r="AH441" s="19" t="s">
        <v>62</v>
      </c>
      <c r="AI441" s="19" t="s">
        <v>63</v>
      </c>
      <c r="AJ441" s="19" t="s">
        <v>3438</v>
      </c>
      <c r="AK441" s="19"/>
      <c r="AL441" s="19"/>
      <c r="AM441" s="19"/>
      <c r="AN441" s="19" t="s">
        <v>65</v>
      </c>
      <c r="AO441" s="23">
        <v>45880.538194444453</v>
      </c>
      <c r="AP441" s="26">
        <f t="shared" si="15"/>
        <v>45</v>
      </c>
    </row>
    <row r="442" spans="1:42" ht="25.5" hidden="1" customHeight="1">
      <c r="A442" s="19" t="s">
        <v>116</v>
      </c>
      <c r="B442" s="19" t="s">
        <v>1273</v>
      </c>
      <c r="C442" s="19" t="s">
        <v>105</v>
      </c>
      <c r="D442" s="19" t="s">
        <v>45</v>
      </c>
      <c r="E442" s="19" t="s">
        <v>46</v>
      </c>
      <c r="F442" s="19" t="s">
        <v>3439</v>
      </c>
      <c r="G442" s="19" t="s">
        <v>48</v>
      </c>
      <c r="H442" s="19" t="s">
        <v>49</v>
      </c>
      <c r="I442" s="20">
        <v>45880.679166666669</v>
      </c>
      <c r="K442" s="19"/>
      <c r="L442" s="20">
        <v>45880.71875</v>
      </c>
      <c r="M442" s="19"/>
      <c r="N442" s="22">
        <f t="shared" si="14"/>
        <v>3.9583333331393078E-2</v>
      </c>
      <c r="O442" s="19" t="s">
        <v>50</v>
      </c>
      <c r="P442" s="19" t="s">
        <v>3440</v>
      </c>
      <c r="Q442" s="19" t="s">
        <v>3441</v>
      </c>
      <c r="R442" s="19"/>
      <c r="S442" s="19"/>
      <c r="U442" s="19"/>
      <c r="W442" s="19"/>
      <c r="X442" s="19" t="s">
        <v>109</v>
      </c>
      <c r="Y442" s="27" t="s">
        <v>54</v>
      </c>
      <c r="Z442" s="27" t="s">
        <v>123</v>
      </c>
      <c r="AA442" s="27" t="s">
        <v>3442</v>
      </c>
      <c r="AB442" s="27" t="s">
        <v>3443</v>
      </c>
      <c r="AC442" s="37" t="s">
        <v>3444</v>
      </c>
      <c r="AD442" s="38">
        <v>45969.71597222222</v>
      </c>
      <c r="AE442" s="36">
        <v>45871</v>
      </c>
      <c r="AF442" s="19" t="s">
        <v>89</v>
      </c>
      <c r="AG442" s="19" t="s">
        <v>90</v>
      </c>
      <c r="AH442" s="19" t="s">
        <v>62</v>
      </c>
      <c r="AI442" s="19" t="s">
        <v>63</v>
      </c>
      <c r="AJ442" s="19" t="s">
        <v>3445</v>
      </c>
      <c r="AK442" s="19"/>
      <c r="AL442" s="19"/>
      <c r="AM442" s="19"/>
      <c r="AN442" s="19" t="s">
        <v>103</v>
      </c>
      <c r="AO442" s="23">
        <v>45880.679166666669</v>
      </c>
      <c r="AP442" s="26">
        <f t="shared" si="15"/>
        <v>57</v>
      </c>
    </row>
    <row r="443" spans="1:42" ht="25.5" hidden="1" customHeight="1">
      <c r="A443" s="19" t="s">
        <v>42</v>
      </c>
      <c r="B443" s="19" t="s">
        <v>186</v>
      </c>
      <c r="C443" s="19" t="s">
        <v>577</v>
      </c>
      <c r="D443" s="19" t="s">
        <v>45</v>
      </c>
      <c r="E443" s="19" t="s">
        <v>46</v>
      </c>
      <c r="F443" s="19" t="s">
        <v>3446</v>
      </c>
      <c r="G443" s="19" t="s">
        <v>48</v>
      </c>
      <c r="H443" s="19" t="s">
        <v>49</v>
      </c>
      <c r="I443" s="20">
        <v>45881.125</v>
      </c>
      <c r="K443" s="19"/>
      <c r="L443" s="20">
        <v>45881.25</v>
      </c>
      <c r="M443" s="19"/>
      <c r="N443" s="22">
        <f t="shared" si="14"/>
        <v>0.125</v>
      </c>
      <c r="O443" s="19" t="s">
        <v>63</v>
      </c>
      <c r="P443" s="19" t="s">
        <v>3447</v>
      </c>
      <c r="Q443" s="19" t="s">
        <v>3448</v>
      </c>
      <c r="R443" s="19"/>
      <c r="S443" s="19"/>
      <c r="U443" s="19"/>
      <c r="W443" s="19"/>
      <c r="X443" s="19" t="s">
        <v>191</v>
      </c>
      <c r="Y443" s="27" t="s">
        <v>54</v>
      </c>
      <c r="Z443" s="27" t="s">
        <v>3449</v>
      </c>
      <c r="AA443" s="27" t="s">
        <v>3450</v>
      </c>
      <c r="AB443" s="27" t="s">
        <v>3451</v>
      </c>
      <c r="AC443" s="37" t="s">
        <v>3452</v>
      </c>
      <c r="AD443" s="38" t="s">
        <v>3453</v>
      </c>
      <c r="AE443" s="36">
        <v>45871</v>
      </c>
      <c r="AF443" s="19" t="s">
        <v>99</v>
      </c>
      <c r="AG443" s="19" t="s">
        <v>139</v>
      </c>
      <c r="AH443" s="19" t="s">
        <v>62</v>
      </c>
      <c r="AI443" s="19" t="s">
        <v>63</v>
      </c>
      <c r="AJ443" s="19" t="s">
        <v>3454</v>
      </c>
      <c r="AK443" s="19" t="s">
        <v>3455</v>
      </c>
      <c r="AL443" s="19"/>
      <c r="AM443" s="19"/>
      <c r="AN443" s="19" t="s">
        <v>65</v>
      </c>
      <c r="AO443" s="23">
        <v>45881.125</v>
      </c>
      <c r="AP443" s="26">
        <f t="shared" si="15"/>
        <v>180</v>
      </c>
    </row>
    <row r="444" spans="1:42" ht="25.5" hidden="1" customHeight="1">
      <c r="A444" s="19" t="s">
        <v>42</v>
      </c>
      <c r="B444" s="19" t="s">
        <v>891</v>
      </c>
      <c r="C444" s="19" t="s">
        <v>452</v>
      </c>
      <c r="D444" s="19" t="s">
        <v>45</v>
      </c>
      <c r="E444" s="19" t="s">
        <v>46</v>
      </c>
      <c r="F444" s="19" t="s">
        <v>3431</v>
      </c>
      <c r="G444" s="19" t="s">
        <v>226</v>
      </c>
      <c r="H444" s="19" t="s">
        <v>49</v>
      </c>
      <c r="I444" s="20">
        <v>45881.274305555547</v>
      </c>
      <c r="K444" s="19"/>
      <c r="L444" s="20">
        <v>45881.336805555547</v>
      </c>
      <c r="M444" s="19"/>
      <c r="N444" s="22">
        <f t="shared" si="14"/>
        <v>6.25E-2</v>
      </c>
      <c r="O444" s="19" t="s">
        <v>50</v>
      </c>
      <c r="P444" s="19" t="s">
        <v>3456</v>
      </c>
      <c r="Q444" s="19" t="s">
        <v>3457</v>
      </c>
      <c r="R444" s="19" t="s">
        <v>3434</v>
      </c>
      <c r="S444" s="19" t="s">
        <v>3435</v>
      </c>
      <c r="T444" s="20">
        <v>45882.509212962963</v>
      </c>
      <c r="U444" s="19">
        <v>45887.68472222222</v>
      </c>
      <c r="V444" s="19" t="s">
        <v>157</v>
      </c>
      <c r="W444" s="19"/>
      <c r="X444" s="19" t="s">
        <v>122</v>
      </c>
      <c r="Y444" s="27" t="s">
        <v>54</v>
      </c>
      <c r="Z444" s="27" t="s">
        <v>209</v>
      </c>
      <c r="AA444" s="27" t="s">
        <v>3436</v>
      </c>
      <c r="AB444" s="27" t="s">
        <v>3458</v>
      </c>
      <c r="AC444" s="37">
        <v>45880.680555555547</v>
      </c>
      <c r="AD444" s="38" t="s">
        <v>861</v>
      </c>
      <c r="AE444" s="36">
        <v>45871</v>
      </c>
      <c r="AF444" s="19" t="s">
        <v>89</v>
      </c>
      <c r="AG444" s="19" t="s">
        <v>90</v>
      </c>
      <c r="AH444" s="19" t="s">
        <v>62</v>
      </c>
      <c r="AI444" s="19" t="s">
        <v>50</v>
      </c>
      <c r="AJ444" s="19" t="s">
        <v>3459</v>
      </c>
      <c r="AK444" s="19"/>
      <c r="AL444" s="19"/>
      <c r="AM444" s="19"/>
      <c r="AN444" s="19" t="s">
        <v>65</v>
      </c>
      <c r="AO444" s="23">
        <v>45881.274305555547</v>
      </c>
      <c r="AP444" s="26">
        <f t="shared" si="15"/>
        <v>90</v>
      </c>
    </row>
    <row r="445" spans="1:42" ht="25.5" hidden="1" customHeight="1">
      <c r="A445" s="19" t="s">
        <v>42</v>
      </c>
      <c r="B445" s="19" t="s">
        <v>3460</v>
      </c>
      <c r="C445" s="19" t="s">
        <v>336</v>
      </c>
      <c r="D445" s="19" t="s">
        <v>45</v>
      </c>
      <c r="E445" s="19" t="s">
        <v>46</v>
      </c>
      <c r="F445" s="19" t="s">
        <v>3461</v>
      </c>
      <c r="G445" s="19" t="s">
        <v>48</v>
      </c>
      <c r="H445" s="19" t="s">
        <v>49</v>
      </c>
      <c r="I445" s="20">
        <v>45881.470833333333</v>
      </c>
      <c r="K445" s="19"/>
      <c r="L445" s="20">
        <v>45881.520833333343</v>
      </c>
      <c r="M445" s="19"/>
      <c r="N445" s="22">
        <f t="shared" si="14"/>
        <v>5.0000000010186341E-2</v>
      </c>
      <c r="O445" s="19" t="s">
        <v>63</v>
      </c>
      <c r="P445" s="19" t="s">
        <v>3462</v>
      </c>
      <c r="Q445" s="19" t="s">
        <v>3463</v>
      </c>
      <c r="R445" s="19"/>
      <c r="S445" s="19"/>
      <c r="U445" s="19"/>
      <c r="W445" s="19"/>
      <c r="X445" s="19" t="s">
        <v>314</v>
      </c>
      <c r="Y445" s="27" t="s">
        <v>133</v>
      </c>
      <c r="Z445" s="27" t="s">
        <v>3464</v>
      </c>
      <c r="AA445" s="27" t="s">
        <v>3465</v>
      </c>
      <c r="AB445" s="27" t="s">
        <v>3466</v>
      </c>
      <c r="AC445" s="37" t="s">
        <v>3467</v>
      </c>
      <c r="AD445" s="38" t="s">
        <v>3468</v>
      </c>
      <c r="AE445" s="36">
        <v>45871</v>
      </c>
      <c r="AF445" s="19" t="s">
        <v>89</v>
      </c>
      <c r="AG445" s="19" t="s">
        <v>90</v>
      </c>
      <c r="AH445" s="19" t="s">
        <v>62</v>
      </c>
      <c r="AI445" s="19" t="s">
        <v>63</v>
      </c>
      <c r="AJ445" s="19" t="s">
        <v>3469</v>
      </c>
      <c r="AK445" s="19"/>
      <c r="AL445" s="19"/>
      <c r="AM445" s="19"/>
      <c r="AN445" s="19" t="s">
        <v>103</v>
      </c>
      <c r="AO445" s="23">
        <v>45881.470833333333</v>
      </c>
      <c r="AP445" s="26">
        <f t="shared" si="15"/>
        <v>72</v>
      </c>
    </row>
    <row r="446" spans="1:42" ht="25.5" hidden="1" customHeight="1">
      <c r="A446" s="19" t="s">
        <v>42</v>
      </c>
      <c r="B446" s="19" t="s">
        <v>43</v>
      </c>
      <c r="C446" s="19" t="s">
        <v>129</v>
      </c>
      <c r="D446" s="19" t="s">
        <v>45</v>
      </c>
      <c r="E446" s="19" t="s">
        <v>46</v>
      </c>
      <c r="F446" s="19" t="s">
        <v>3470</v>
      </c>
      <c r="G446" s="19" t="s">
        <v>48</v>
      </c>
      <c r="H446" s="19" t="s">
        <v>49</v>
      </c>
      <c r="I446" s="20">
        <v>45881.618055555547</v>
      </c>
      <c r="K446" s="19"/>
      <c r="L446" s="20">
        <v>45881.631944444453</v>
      </c>
      <c r="M446" s="19"/>
      <c r="N446" s="22">
        <f t="shared" si="14"/>
        <v>1.3888888905057684E-2</v>
      </c>
      <c r="O446" s="19" t="s">
        <v>50</v>
      </c>
      <c r="P446" s="19" t="s">
        <v>3471</v>
      </c>
      <c r="Q446" s="19" t="s">
        <v>3472</v>
      </c>
      <c r="R446" s="19"/>
      <c r="S446" s="19"/>
      <c r="U446" s="19"/>
      <c r="W446" s="19"/>
      <c r="X446" s="19" t="s">
        <v>109</v>
      </c>
      <c r="Y446" s="27" t="s">
        <v>54</v>
      </c>
      <c r="Z446" s="27" t="s">
        <v>414</v>
      </c>
      <c r="AA446" s="27" t="s">
        <v>3473</v>
      </c>
      <c r="AB446" s="27" t="s">
        <v>3474</v>
      </c>
      <c r="AC446" s="37">
        <v>45881.620138888888</v>
      </c>
      <c r="AD446" s="38">
        <v>45881.627083333333</v>
      </c>
      <c r="AE446" s="36">
        <v>45871</v>
      </c>
      <c r="AF446" s="19" t="s">
        <v>89</v>
      </c>
      <c r="AG446" s="19" t="s">
        <v>90</v>
      </c>
      <c r="AH446" s="19" t="s">
        <v>62</v>
      </c>
      <c r="AI446" s="19" t="s">
        <v>63</v>
      </c>
      <c r="AJ446" s="19" t="s">
        <v>3475</v>
      </c>
      <c r="AK446" s="19"/>
      <c r="AL446" s="19"/>
      <c r="AM446" s="19"/>
      <c r="AN446" s="19" t="s">
        <v>103</v>
      </c>
      <c r="AO446" s="23">
        <v>45881.618055555547</v>
      </c>
      <c r="AP446" s="26">
        <f t="shared" si="15"/>
        <v>20</v>
      </c>
    </row>
    <row r="447" spans="1:42" ht="25.5" hidden="1" customHeight="1">
      <c r="A447" s="19" t="s">
        <v>42</v>
      </c>
      <c r="B447" s="19" t="s">
        <v>3476</v>
      </c>
      <c r="C447" s="19" t="s">
        <v>3477</v>
      </c>
      <c r="D447" s="19" t="s">
        <v>45</v>
      </c>
      <c r="E447" s="19" t="s">
        <v>46</v>
      </c>
      <c r="F447" s="19" t="s">
        <v>3478</v>
      </c>
      <c r="G447" s="19" t="s">
        <v>48</v>
      </c>
      <c r="H447" s="19" t="s">
        <v>49</v>
      </c>
      <c r="I447" s="20">
        <v>45881.729166666657</v>
      </c>
      <c r="K447" s="19"/>
      <c r="L447" s="20">
        <v>45881.756944444453</v>
      </c>
      <c r="M447" s="19"/>
      <c r="N447" s="22">
        <f t="shared" si="14"/>
        <v>2.7777777795563452E-2</v>
      </c>
      <c r="O447" s="19" t="s">
        <v>50</v>
      </c>
      <c r="P447" s="19" t="s">
        <v>3479</v>
      </c>
      <c r="Q447" s="19" t="s">
        <v>3480</v>
      </c>
      <c r="R447" s="19"/>
      <c r="S447" s="19"/>
      <c r="U447" s="19"/>
      <c r="W447" s="19"/>
      <c r="X447" s="19" t="s">
        <v>3481</v>
      </c>
      <c r="Y447" s="27" t="s">
        <v>147</v>
      </c>
      <c r="Z447" s="27" t="s">
        <v>78</v>
      </c>
      <c r="AA447" s="27" t="s">
        <v>78</v>
      </c>
      <c r="AB447" s="27" t="s">
        <v>78</v>
      </c>
      <c r="AC447" s="37" t="s">
        <v>78</v>
      </c>
      <c r="AD447" s="38" t="s">
        <v>78</v>
      </c>
      <c r="AE447" s="36">
        <v>45871</v>
      </c>
      <c r="AF447" s="19" t="s">
        <v>89</v>
      </c>
      <c r="AG447" s="19" t="s">
        <v>90</v>
      </c>
      <c r="AH447" s="19" t="s">
        <v>62</v>
      </c>
      <c r="AI447" s="19" t="s">
        <v>63</v>
      </c>
      <c r="AJ447" s="19" t="s">
        <v>3482</v>
      </c>
      <c r="AK447" s="19"/>
      <c r="AL447" s="19"/>
      <c r="AM447" s="19"/>
      <c r="AN447" s="19" t="s">
        <v>65</v>
      </c>
      <c r="AO447" s="23">
        <v>45881.729166666657</v>
      </c>
      <c r="AP447" s="26">
        <f t="shared" si="15"/>
        <v>40</v>
      </c>
    </row>
    <row r="448" spans="1:42" ht="25.5" hidden="1" customHeight="1">
      <c r="A448" s="19" t="s">
        <v>42</v>
      </c>
      <c r="B448" s="19" t="s">
        <v>891</v>
      </c>
      <c r="C448" s="19" t="s">
        <v>452</v>
      </c>
      <c r="D448" s="19" t="s">
        <v>45</v>
      </c>
      <c r="E448" s="19" t="s">
        <v>46</v>
      </c>
      <c r="F448" s="19" t="s">
        <v>3431</v>
      </c>
      <c r="G448" s="19" t="s">
        <v>226</v>
      </c>
      <c r="H448" s="19" t="s">
        <v>49</v>
      </c>
      <c r="I448" s="20">
        <v>45881.73541666667</v>
      </c>
      <c r="K448" s="19"/>
      <c r="L448" s="20">
        <v>45881.791666666657</v>
      </c>
      <c r="M448" s="19"/>
      <c r="N448" s="22">
        <f t="shared" si="14"/>
        <v>5.6249999986903276E-2</v>
      </c>
      <c r="O448" s="19" t="s">
        <v>50</v>
      </c>
      <c r="P448" s="19" t="s">
        <v>3456</v>
      </c>
      <c r="Q448" s="19" t="s">
        <v>3483</v>
      </c>
      <c r="R448" s="19" t="s">
        <v>3434</v>
      </c>
      <c r="S448" s="19" t="s">
        <v>3435</v>
      </c>
      <c r="T448" s="20">
        <v>45882.509212962963</v>
      </c>
      <c r="U448" s="19">
        <v>45887.68472222222</v>
      </c>
      <c r="V448" s="19" t="s">
        <v>157</v>
      </c>
      <c r="W448" s="19"/>
      <c r="X448" s="19" t="s">
        <v>122</v>
      </c>
      <c r="Y448" s="27" t="s">
        <v>54</v>
      </c>
      <c r="Z448" s="27" t="s">
        <v>209</v>
      </c>
      <c r="AA448" s="27" t="s">
        <v>3436</v>
      </c>
      <c r="AB448" s="27" t="s">
        <v>3484</v>
      </c>
      <c r="AC448" s="37">
        <v>45881.743055555547</v>
      </c>
      <c r="AD448" s="38">
        <v>45881.777777777781</v>
      </c>
      <c r="AE448" s="36">
        <v>45871</v>
      </c>
      <c r="AF448" s="19" t="s">
        <v>89</v>
      </c>
      <c r="AG448" s="19" t="s">
        <v>90</v>
      </c>
      <c r="AH448" s="19" t="s">
        <v>62</v>
      </c>
      <c r="AI448" s="19" t="s">
        <v>50</v>
      </c>
      <c r="AJ448" s="19" t="s">
        <v>3485</v>
      </c>
      <c r="AK448" s="19"/>
      <c r="AL448" s="19"/>
      <c r="AM448" s="19"/>
      <c r="AN448" s="19" t="s">
        <v>65</v>
      </c>
      <c r="AO448" s="23">
        <v>45881.73541666667</v>
      </c>
      <c r="AP448" s="26">
        <f t="shared" si="15"/>
        <v>81</v>
      </c>
    </row>
    <row r="449" spans="1:42" ht="25.5" hidden="1" customHeight="1">
      <c r="A449" s="19" t="s">
        <v>42</v>
      </c>
      <c r="B449" s="19" t="s">
        <v>93</v>
      </c>
      <c r="C449" s="19" t="s">
        <v>336</v>
      </c>
      <c r="D449" s="19" t="s">
        <v>45</v>
      </c>
      <c r="E449" s="19" t="s">
        <v>46</v>
      </c>
      <c r="F449" s="19" t="s">
        <v>3486</v>
      </c>
      <c r="G449" s="19" t="s">
        <v>48</v>
      </c>
      <c r="H449" s="19" t="s">
        <v>49</v>
      </c>
      <c r="I449" s="20">
        <v>45881.755555555559</v>
      </c>
      <c r="K449" s="19"/>
      <c r="L449" s="20">
        <v>45881.80972222222</v>
      </c>
      <c r="M449" s="19"/>
      <c r="N449" s="22">
        <f t="shared" si="14"/>
        <v>5.4166666661330964E-2</v>
      </c>
      <c r="O449" s="19" t="s">
        <v>50</v>
      </c>
      <c r="P449" s="19" t="s">
        <v>297</v>
      </c>
      <c r="Q449" s="19" t="s">
        <v>3487</v>
      </c>
      <c r="R449" s="19"/>
      <c r="S449" s="19"/>
      <c r="U449" s="19"/>
      <c r="W449" s="19"/>
      <c r="X449" s="19" t="s">
        <v>314</v>
      </c>
      <c r="Y449" s="27" t="s">
        <v>54</v>
      </c>
      <c r="Z449" s="27" t="s">
        <v>123</v>
      </c>
      <c r="AA449" s="27" t="s">
        <v>3488</v>
      </c>
      <c r="AB449" s="27" t="s">
        <v>3489</v>
      </c>
      <c r="AC449" s="37" t="s">
        <v>3490</v>
      </c>
      <c r="AD449" s="38" t="s">
        <v>3491</v>
      </c>
      <c r="AE449" s="36">
        <v>45871</v>
      </c>
      <c r="AF449" s="19" t="s">
        <v>78</v>
      </c>
      <c r="AG449" s="19" t="s">
        <v>78</v>
      </c>
      <c r="AH449" s="19" t="s">
        <v>78</v>
      </c>
      <c r="AI449" s="19" t="s">
        <v>63</v>
      </c>
      <c r="AJ449" s="19" t="s">
        <v>3492</v>
      </c>
      <c r="AK449" s="19"/>
      <c r="AL449" s="19"/>
      <c r="AM449" s="19"/>
      <c r="AN449" s="19" t="s">
        <v>103</v>
      </c>
      <c r="AO449" s="23">
        <v>45881.755555555559</v>
      </c>
      <c r="AP449" s="26">
        <f t="shared" si="15"/>
        <v>78</v>
      </c>
    </row>
    <row r="450" spans="1:42" ht="25.5" hidden="1" customHeight="1">
      <c r="A450" s="19" t="s">
        <v>42</v>
      </c>
      <c r="B450" s="19" t="s">
        <v>93</v>
      </c>
      <c r="C450" s="19" t="s">
        <v>452</v>
      </c>
      <c r="D450" s="19" t="s">
        <v>45</v>
      </c>
      <c r="E450" s="19" t="s">
        <v>46</v>
      </c>
      <c r="F450" s="19" t="s">
        <v>3431</v>
      </c>
      <c r="G450" s="19" t="s">
        <v>226</v>
      </c>
      <c r="H450" s="19" t="s">
        <v>49</v>
      </c>
      <c r="I450" s="20">
        <v>45881.964583333327</v>
      </c>
      <c r="K450" s="19"/>
      <c r="L450" s="20">
        <v>45881.995138888888</v>
      </c>
      <c r="M450" s="19"/>
      <c r="N450" s="22">
        <f t="shared" si="14"/>
        <v>3.0555555560567882E-2</v>
      </c>
      <c r="O450" s="19" t="s">
        <v>50</v>
      </c>
      <c r="P450" s="19" t="s">
        <v>3456</v>
      </c>
      <c r="Q450" s="19" t="s">
        <v>3493</v>
      </c>
      <c r="R450" s="19" t="s">
        <v>3434</v>
      </c>
      <c r="S450" s="19" t="s">
        <v>3435</v>
      </c>
      <c r="T450" s="20">
        <v>45882.509212962963</v>
      </c>
      <c r="U450" s="19">
        <v>45887.68472222222</v>
      </c>
      <c r="V450" s="19" t="s">
        <v>157</v>
      </c>
      <c r="W450" s="19"/>
      <c r="X450" s="19" t="s">
        <v>122</v>
      </c>
      <c r="Y450" s="27" t="s">
        <v>63</v>
      </c>
      <c r="Z450" s="27" t="s">
        <v>78</v>
      </c>
      <c r="AA450" s="27" t="s">
        <v>78</v>
      </c>
      <c r="AB450" s="27" t="s">
        <v>78</v>
      </c>
      <c r="AC450" s="37" t="s">
        <v>78</v>
      </c>
      <c r="AD450" s="38" t="s">
        <v>78</v>
      </c>
      <c r="AE450" s="36">
        <v>45871</v>
      </c>
      <c r="AF450" s="19" t="s">
        <v>89</v>
      </c>
      <c r="AG450" s="19" t="s">
        <v>90</v>
      </c>
      <c r="AH450" s="19" t="s">
        <v>62</v>
      </c>
      <c r="AI450" s="19" t="s">
        <v>50</v>
      </c>
      <c r="AJ450" s="19" t="s">
        <v>3494</v>
      </c>
      <c r="AK450" s="19"/>
      <c r="AL450" s="19"/>
      <c r="AM450" s="19"/>
      <c r="AN450" s="19" t="s">
        <v>65</v>
      </c>
      <c r="AO450" s="23">
        <v>45881.964583333327</v>
      </c>
      <c r="AP450" s="26">
        <f t="shared" si="15"/>
        <v>44</v>
      </c>
    </row>
    <row r="451" spans="1:42" ht="25.5" hidden="1" customHeight="1">
      <c r="A451" s="19" t="s">
        <v>285</v>
      </c>
      <c r="B451" s="19" t="s">
        <v>309</v>
      </c>
      <c r="C451" s="19" t="s">
        <v>3495</v>
      </c>
      <c r="D451" s="19" t="s">
        <v>45</v>
      </c>
      <c r="E451" s="19" t="s">
        <v>46</v>
      </c>
      <c r="F451" s="19" t="s">
        <v>3496</v>
      </c>
      <c r="G451" s="19" t="s">
        <v>48</v>
      </c>
      <c r="H451" s="19" t="s">
        <v>49</v>
      </c>
      <c r="I451" s="20">
        <v>45882.318055555559</v>
      </c>
      <c r="K451" s="19"/>
      <c r="L451" s="20">
        <v>45882.359722222223</v>
      </c>
      <c r="M451" s="19"/>
      <c r="N451" s="22">
        <f t="shared" si="14"/>
        <v>4.1666666664241347E-2</v>
      </c>
      <c r="O451" s="19" t="s">
        <v>50</v>
      </c>
      <c r="P451" s="19" t="s">
        <v>3497</v>
      </c>
      <c r="Q451" s="19" t="s">
        <v>3498</v>
      </c>
      <c r="R451" s="19"/>
      <c r="S451" s="19"/>
      <c r="U451" s="19"/>
      <c r="W451" s="19"/>
      <c r="X451" s="19" t="s">
        <v>3481</v>
      </c>
      <c r="Y451" s="27" t="s">
        <v>63</v>
      </c>
      <c r="Z451" s="27" t="s">
        <v>78</v>
      </c>
      <c r="AA451" s="27" t="s">
        <v>78</v>
      </c>
      <c r="AB451" s="27" t="s">
        <v>78</v>
      </c>
      <c r="AC451" s="37" t="s">
        <v>78</v>
      </c>
      <c r="AD451" s="38" t="s">
        <v>78</v>
      </c>
      <c r="AE451" s="36">
        <v>45871</v>
      </c>
      <c r="AF451" s="19" t="s">
        <v>293</v>
      </c>
      <c r="AG451" s="19" t="s">
        <v>294</v>
      </c>
      <c r="AH451" s="19" t="s">
        <v>62</v>
      </c>
      <c r="AI451" s="19" t="s">
        <v>63</v>
      </c>
      <c r="AJ451" s="19" t="s">
        <v>3499</v>
      </c>
      <c r="AK451" s="19"/>
      <c r="AL451" s="19"/>
      <c r="AM451" s="19"/>
      <c r="AN451" s="19" t="s">
        <v>65</v>
      </c>
      <c r="AO451" s="23">
        <v>45882.318055555559</v>
      </c>
      <c r="AP451" s="26">
        <f t="shared" si="15"/>
        <v>60</v>
      </c>
    </row>
    <row r="452" spans="1:42" ht="25.5" hidden="1" customHeight="1">
      <c r="A452" s="19" t="s">
        <v>42</v>
      </c>
      <c r="B452" s="19" t="s">
        <v>93</v>
      </c>
      <c r="C452" s="19" t="s">
        <v>336</v>
      </c>
      <c r="D452" s="19" t="s">
        <v>45</v>
      </c>
      <c r="E452" s="19" t="s">
        <v>46</v>
      </c>
      <c r="F452" s="19" t="s">
        <v>3500</v>
      </c>
      <c r="G452" s="19" t="s">
        <v>48</v>
      </c>
      <c r="H452" s="19" t="s">
        <v>49</v>
      </c>
      <c r="I452" s="20">
        <v>45882.529166666667</v>
      </c>
      <c r="K452" s="19"/>
      <c r="L452" s="20">
        <v>45882.536111111112</v>
      </c>
      <c r="M452" s="19"/>
      <c r="N452" s="22">
        <f t="shared" si="14"/>
        <v>6.9444444452528842E-3</v>
      </c>
      <c r="O452" s="19" t="s">
        <v>50</v>
      </c>
      <c r="P452" s="19" t="s">
        <v>3501</v>
      </c>
      <c r="Q452" s="19" t="s">
        <v>3502</v>
      </c>
      <c r="R452" s="19"/>
      <c r="S452" s="19"/>
      <c r="U452" s="19"/>
      <c r="W452" s="19"/>
      <c r="X452" s="19" t="s">
        <v>314</v>
      </c>
      <c r="Y452" s="27" t="s">
        <v>63</v>
      </c>
      <c r="Z452" s="27" t="s">
        <v>78</v>
      </c>
      <c r="AA452" s="27" t="s">
        <v>78</v>
      </c>
      <c r="AB452" s="27" t="s">
        <v>78</v>
      </c>
      <c r="AC452" s="37" t="s">
        <v>78</v>
      </c>
      <c r="AD452" s="38" t="s">
        <v>78</v>
      </c>
      <c r="AE452" s="36">
        <v>45871</v>
      </c>
      <c r="AF452" s="19" t="s">
        <v>89</v>
      </c>
      <c r="AG452" s="19" t="s">
        <v>294</v>
      </c>
      <c r="AH452" s="19" t="s">
        <v>62</v>
      </c>
      <c r="AI452" s="19" t="s">
        <v>63</v>
      </c>
      <c r="AJ452" s="19" t="s">
        <v>3503</v>
      </c>
      <c r="AK452" s="19"/>
      <c r="AL452" s="19"/>
      <c r="AM452" s="19"/>
      <c r="AN452" s="19" t="s">
        <v>103</v>
      </c>
      <c r="AO452" s="23">
        <v>45882.529166666667</v>
      </c>
      <c r="AP452" s="26">
        <f t="shared" si="15"/>
        <v>10</v>
      </c>
    </row>
    <row r="453" spans="1:42" ht="25.5" hidden="1" customHeight="1">
      <c r="A453" s="19" t="s">
        <v>42</v>
      </c>
      <c r="B453" s="19" t="s">
        <v>93</v>
      </c>
      <c r="C453" s="19" t="s">
        <v>3504</v>
      </c>
      <c r="D453" s="19" t="s">
        <v>45</v>
      </c>
      <c r="E453" s="19" t="s">
        <v>46</v>
      </c>
      <c r="F453" s="19" t="s">
        <v>3505</v>
      </c>
      <c r="G453" s="19" t="s">
        <v>48</v>
      </c>
      <c r="H453" s="19" t="s">
        <v>49</v>
      </c>
      <c r="I453" s="20">
        <v>45882.567361111112</v>
      </c>
      <c r="K453" s="19"/>
      <c r="L453" s="20">
        <v>45882.576388888891</v>
      </c>
      <c r="M453" s="19"/>
      <c r="N453" s="22">
        <f t="shared" si="14"/>
        <v>9.0277777781011537E-3</v>
      </c>
      <c r="O453" s="19" t="s">
        <v>63</v>
      </c>
      <c r="P453" s="19" t="s">
        <v>3506</v>
      </c>
      <c r="Q453" s="19" t="s">
        <v>3507</v>
      </c>
      <c r="R453" s="19"/>
      <c r="S453" s="19"/>
      <c r="U453" s="19"/>
      <c r="W453" s="19"/>
      <c r="X453" s="19" t="s">
        <v>314</v>
      </c>
      <c r="Y453" s="27" t="s">
        <v>63</v>
      </c>
      <c r="Z453" s="27" t="s">
        <v>78</v>
      </c>
      <c r="AA453" s="27" t="s">
        <v>78</v>
      </c>
      <c r="AB453" s="27" t="s">
        <v>78</v>
      </c>
      <c r="AC453" s="37" t="s">
        <v>78</v>
      </c>
      <c r="AD453" s="38" t="s">
        <v>78</v>
      </c>
      <c r="AE453" s="36">
        <v>45871</v>
      </c>
      <c r="AF453" s="19" t="s">
        <v>89</v>
      </c>
      <c r="AG453" s="19" t="s">
        <v>90</v>
      </c>
      <c r="AH453" s="19" t="s">
        <v>62</v>
      </c>
      <c r="AI453" s="19" t="s">
        <v>63</v>
      </c>
      <c r="AJ453" s="19" t="s">
        <v>3508</v>
      </c>
      <c r="AK453" s="19"/>
      <c r="AL453" s="19"/>
      <c r="AM453" s="19"/>
      <c r="AN453" s="19" t="s">
        <v>103</v>
      </c>
      <c r="AO453" s="23">
        <v>45882.567361111112</v>
      </c>
      <c r="AP453" s="26">
        <f t="shared" si="15"/>
        <v>13</v>
      </c>
    </row>
    <row r="454" spans="1:42" ht="25.5" hidden="1" customHeight="1">
      <c r="A454" s="19" t="s">
        <v>42</v>
      </c>
      <c r="B454" s="19" t="s">
        <v>3509</v>
      </c>
      <c r="C454" s="19" t="s">
        <v>3371</v>
      </c>
      <c r="D454" s="19" t="s">
        <v>45</v>
      </c>
      <c r="E454" s="19" t="s">
        <v>46</v>
      </c>
      <c r="F454" s="19" t="s">
        <v>3510</v>
      </c>
      <c r="G454" s="19" t="s">
        <v>48</v>
      </c>
      <c r="H454" s="19" t="s">
        <v>49</v>
      </c>
      <c r="I454" s="20">
        <v>45882.569444444453</v>
      </c>
      <c r="K454" s="19"/>
      <c r="L454" s="20">
        <v>45882.583333333343</v>
      </c>
      <c r="M454" s="19"/>
      <c r="N454" s="22">
        <f t="shared" si="14"/>
        <v>1.3888888890505768E-2</v>
      </c>
      <c r="O454" s="19" t="s">
        <v>50</v>
      </c>
      <c r="P454" s="19" t="s">
        <v>3511</v>
      </c>
      <c r="Q454" s="19" t="s">
        <v>3512</v>
      </c>
      <c r="R454" s="19"/>
      <c r="S454" s="19"/>
      <c r="U454" s="19"/>
      <c r="W454" s="19"/>
      <c r="X454" s="19" t="s">
        <v>109</v>
      </c>
      <c r="Y454" s="27" t="s">
        <v>63</v>
      </c>
      <c r="Z454" s="27" t="s">
        <v>78</v>
      </c>
      <c r="AA454" s="27" t="s">
        <v>78</v>
      </c>
      <c r="AB454" s="27" t="s">
        <v>78</v>
      </c>
      <c r="AC454" s="37" t="s">
        <v>78</v>
      </c>
      <c r="AD454" s="38" t="s">
        <v>78</v>
      </c>
      <c r="AE454" s="36">
        <v>45871</v>
      </c>
      <c r="AF454" s="19" t="s">
        <v>78</v>
      </c>
      <c r="AG454" s="19" t="s">
        <v>78</v>
      </c>
      <c r="AH454" s="19" t="s">
        <v>78</v>
      </c>
      <c r="AI454" s="19" t="s">
        <v>63</v>
      </c>
      <c r="AJ454" s="19" t="s">
        <v>3513</v>
      </c>
      <c r="AK454" s="19"/>
      <c r="AL454" s="19"/>
      <c r="AM454" s="19"/>
      <c r="AN454" s="19" t="s">
        <v>103</v>
      </c>
      <c r="AO454" s="23">
        <v>45882.569444444453</v>
      </c>
      <c r="AP454" s="26">
        <f t="shared" si="15"/>
        <v>20</v>
      </c>
    </row>
    <row r="455" spans="1:42" ht="25.5" customHeight="1">
      <c r="A455" s="19" t="s">
        <v>42</v>
      </c>
      <c r="B455" s="19" t="s">
        <v>3514</v>
      </c>
      <c r="C455" s="19" t="s">
        <v>3515</v>
      </c>
      <c r="D455" s="19" t="s">
        <v>45</v>
      </c>
      <c r="E455" s="19" t="s">
        <v>46</v>
      </c>
      <c r="F455" s="19" t="s">
        <v>3516</v>
      </c>
      <c r="G455" s="19" t="s">
        <v>48</v>
      </c>
      <c r="H455" s="19" t="s">
        <v>144</v>
      </c>
      <c r="I455" s="20">
        <v>45882.870138888888</v>
      </c>
      <c r="J455" s="20">
        <v>45882.895833333343</v>
      </c>
      <c r="K455" s="19">
        <v>45882.90625</v>
      </c>
      <c r="L455" s="20">
        <v>45882.920138888891</v>
      </c>
      <c r="M455" s="19"/>
      <c r="N455" s="22">
        <f t="shared" si="14"/>
        <v>5.0000000002910383E-2</v>
      </c>
      <c r="O455" s="19" t="s">
        <v>50</v>
      </c>
      <c r="P455" s="19" t="s">
        <v>3517</v>
      </c>
      <c r="Q455" s="19" t="s">
        <v>3518</v>
      </c>
      <c r="R455" s="19" t="s">
        <v>3519</v>
      </c>
      <c r="S455" s="19" t="s">
        <v>3520</v>
      </c>
      <c r="T455" s="20">
        <v>45883.043391203697</v>
      </c>
      <c r="U455" s="19">
        <v>45885.701412037037</v>
      </c>
      <c r="V455" s="19" t="s">
        <v>157</v>
      </c>
      <c r="W455" s="19"/>
      <c r="X455" s="19" t="s">
        <v>3521</v>
      </c>
      <c r="Y455" s="27" t="s">
        <v>133</v>
      </c>
      <c r="Z455" s="27" t="s">
        <v>1691</v>
      </c>
      <c r="AA455" s="27" t="s">
        <v>3522</v>
      </c>
      <c r="AB455" s="27" t="s">
        <v>3523</v>
      </c>
      <c r="AC455" s="37" t="s">
        <v>3524</v>
      </c>
      <c r="AD455" s="38" t="s">
        <v>3525</v>
      </c>
      <c r="AE455" s="36">
        <v>45871</v>
      </c>
      <c r="AF455" s="19" t="s">
        <v>89</v>
      </c>
      <c r="AG455" s="19" t="s">
        <v>656</v>
      </c>
      <c r="AH455" s="19" t="s">
        <v>62</v>
      </c>
      <c r="AI455" s="19" t="s">
        <v>63</v>
      </c>
      <c r="AJ455" s="19" t="s">
        <v>3526</v>
      </c>
      <c r="AK455" s="19" t="s">
        <v>3527</v>
      </c>
      <c r="AL455" s="19"/>
      <c r="AM455" s="19"/>
      <c r="AN455" s="19" t="s">
        <v>103</v>
      </c>
      <c r="AO455" s="23">
        <v>45882.870138888888</v>
      </c>
      <c r="AP455" s="26">
        <f t="shared" si="15"/>
        <v>72</v>
      </c>
    </row>
    <row r="456" spans="1:42" ht="25.5" customHeight="1">
      <c r="A456" s="19" t="s">
        <v>42</v>
      </c>
      <c r="B456" s="19" t="s">
        <v>3528</v>
      </c>
      <c r="C456" s="19" t="s">
        <v>3529</v>
      </c>
      <c r="D456" s="19" t="s">
        <v>45</v>
      </c>
      <c r="E456" s="19" t="s">
        <v>46</v>
      </c>
      <c r="F456" s="19" t="s">
        <v>3530</v>
      </c>
      <c r="G456" s="19" t="s">
        <v>48</v>
      </c>
      <c r="H456" s="19" t="s">
        <v>152</v>
      </c>
      <c r="I456" s="20">
        <v>45883.927777777782</v>
      </c>
      <c r="J456" s="20">
        <v>45883.9375</v>
      </c>
      <c r="K456" s="19"/>
      <c r="L456" s="20">
        <v>45883.951388888891</v>
      </c>
      <c r="M456" s="19"/>
      <c r="N456" s="22">
        <f t="shared" si="14"/>
        <v>2.361111110803904E-2</v>
      </c>
      <c r="O456" s="19" t="s">
        <v>50</v>
      </c>
      <c r="P456" s="19" t="s">
        <v>3531</v>
      </c>
      <c r="Q456" s="19" t="s">
        <v>3532</v>
      </c>
      <c r="R456" s="19" t="s">
        <v>3533</v>
      </c>
      <c r="S456" s="19" t="s">
        <v>3534</v>
      </c>
      <c r="T456" s="20">
        <v>45884.555092592593</v>
      </c>
      <c r="U456" s="19">
        <v>45885.709722222222</v>
      </c>
      <c r="V456" s="19" t="s">
        <v>157</v>
      </c>
      <c r="W456" s="19"/>
      <c r="X456" s="19" t="s">
        <v>3535</v>
      </c>
      <c r="Y456" s="27" t="s">
        <v>133</v>
      </c>
      <c r="Z456" s="27" t="s">
        <v>3536</v>
      </c>
      <c r="AA456" s="27" t="s">
        <v>3537</v>
      </c>
      <c r="AB456" s="27" t="s">
        <v>3538</v>
      </c>
      <c r="AC456" s="37" t="s">
        <v>3539</v>
      </c>
      <c r="AD456" s="38" t="s">
        <v>3540</v>
      </c>
      <c r="AE456" s="36">
        <v>45871</v>
      </c>
      <c r="AF456" s="19" t="s">
        <v>89</v>
      </c>
      <c r="AG456" s="19" t="s">
        <v>90</v>
      </c>
      <c r="AH456" s="19" t="s">
        <v>62</v>
      </c>
      <c r="AI456" s="19" t="s">
        <v>63</v>
      </c>
      <c r="AJ456" s="19" t="s">
        <v>3541</v>
      </c>
      <c r="AK456" s="19"/>
      <c r="AL456" s="19"/>
      <c r="AM456" s="19"/>
      <c r="AN456" s="19" t="s">
        <v>128</v>
      </c>
      <c r="AO456" s="23">
        <v>45883.927777777782</v>
      </c>
      <c r="AP456" s="26">
        <f t="shared" si="15"/>
        <v>34</v>
      </c>
    </row>
    <row r="457" spans="1:42" ht="25.5" hidden="1" customHeight="1">
      <c r="A457" s="19" t="s">
        <v>42</v>
      </c>
      <c r="B457" s="19" t="s">
        <v>186</v>
      </c>
      <c r="C457" s="19" t="s">
        <v>577</v>
      </c>
      <c r="D457" s="19" t="s">
        <v>45</v>
      </c>
      <c r="E457" s="19" t="s">
        <v>46</v>
      </c>
      <c r="F457" s="19" t="s">
        <v>3542</v>
      </c>
      <c r="G457" s="19" t="s">
        <v>48</v>
      </c>
      <c r="H457" s="19" t="s">
        <v>49</v>
      </c>
      <c r="I457" s="20">
        <v>45884.509722222218</v>
      </c>
      <c r="K457" s="19"/>
      <c r="L457" s="20">
        <v>45884.545138888891</v>
      </c>
      <c r="M457" s="19"/>
      <c r="N457" s="22">
        <f t="shared" si="14"/>
        <v>3.5416666672972497E-2</v>
      </c>
      <c r="O457" s="19" t="s">
        <v>63</v>
      </c>
      <c r="P457" s="19" t="s">
        <v>3543</v>
      </c>
      <c r="Q457" s="19" t="s">
        <v>3544</v>
      </c>
      <c r="R457" s="19"/>
      <c r="S457" s="19"/>
      <c r="U457" s="19"/>
      <c r="W457" s="19"/>
      <c r="X457" s="19" t="s">
        <v>191</v>
      </c>
      <c r="Y457" s="27" t="s">
        <v>133</v>
      </c>
      <c r="Z457" s="27" t="s">
        <v>3545</v>
      </c>
      <c r="AA457" s="27" t="s">
        <v>3546</v>
      </c>
      <c r="AB457" s="27" t="s">
        <v>3547</v>
      </c>
      <c r="AC457" s="37" t="s">
        <v>3548</v>
      </c>
      <c r="AD457" s="38" t="s">
        <v>3549</v>
      </c>
      <c r="AE457" s="36">
        <v>45871</v>
      </c>
      <c r="AF457" s="19" t="s">
        <v>89</v>
      </c>
      <c r="AG457" s="19" t="s">
        <v>90</v>
      </c>
      <c r="AH457" s="19" t="s">
        <v>62</v>
      </c>
      <c r="AI457" s="19" t="s">
        <v>63</v>
      </c>
      <c r="AJ457" s="19" t="s">
        <v>3550</v>
      </c>
      <c r="AK457" s="19"/>
      <c r="AL457" s="19"/>
      <c r="AM457" s="19"/>
      <c r="AN457" s="19" t="s">
        <v>65</v>
      </c>
      <c r="AO457" s="23">
        <v>45884.509722222218</v>
      </c>
      <c r="AP457" s="26">
        <f t="shared" si="15"/>
        <v>51</v>
      </c>
    </row>
    <row r="458" spans="1:42" ht="25.5" hidden="1" customHeight="1">
      <c r="A458" s="19" t="s">
        <v>285</v>
      </c>
      <c r="B458" s="19" t="s">
        <v>1558</v>
      </c>
      <c r="C458" s="19" t="s">
        <v>3551</v>
      </c>
      <c r="D458" s="19" t="s">
        <v>45</v>
      </c>
      <c r="E458" s="19" t="s">
        <v>967</v>
      </c>
      <c r="F458" s="19" t="s">
        <v>3552</v>
      </c>
      <c r="G458" s="19" t="s">
        <v>48</v>
      </c>
      <c r="H458" s="19" t="s">
        <v>49</v>
      </c>
      <c r="I458" s="20">
        <v>45885.298611111109</v>
      </c>
      <c r="K458" s="19"/>
      <c r="L458" s="20">
        <v>45885.379166666673</v>
      </c>
      <c r="M458" s="19"/>
      <c r="N458" s="22">
        <f t="shared" si="14"/>
        <v>8.0555555563478265E-2</v>
      </c>
      <c r="O458" s="19" t="s">
        <v>50</v>
      </c>
      <c r="P458" s="19" t="s">
        <v>3553</v>
      </c>
      <c r="Q458" s="19" t="s">
        <v>3554</v>
      </c>
      <c r="R458" s="19"/>
      <c r="S458" s="19"/>
      <c r="U458" s="19"/>
      <c r="W458" s="19"/>
      <c r="X458" s="19" t="s">
        <v>475</v>
      </c>
      <c r="Y458" s="27" t="s">
        <v>54</v>
      </c>
      <c r="Z458" s="27" t="s">
        <v>259</v>
      </c>
      <c r="AA458" s="27" t="s">
        <v>3555</v>
      </c>
      <c r="AB458" s="27" t="s">
        <v>3556</v>
      </c>
      <c r="AC458" s="37" t="s">
        <v>3557</v>
      </c>
      <c r="AD458" s="38" t="s">
        <v>3558</v>
      </c>
      <c r="AE458" s="36">
        <v>45871</v>
      </c>
      <c r="AF458" s="19" t="s">
        <v>89</v>
      </c>
      <c r="AG458" s="19" t="s">
        <v>90</v>
      </c>
      <c r="AH458" s="19" t="s">
        <v>62</v>
      </c>
      <c r="AI458" s="19" t="s">
        <v>63</v>
      </c>
      <c r="AJ458" s="19" t="s">
        <v>3559</v>
      </c>
      <c r="AK458" s="19"/>
      <c r="AL458" s="19"/>
      <c r="AM458" s="19"/>
      <c r="AN458" s="19" t="s">
        <v>103</v>
      </c>
      <c r="AO458" s="23">
        <v>45885.298611111109</v>
      </c>
      <c r="AP458" s="26">
        <f t="shared" si="15"/>
        <v>116</v>
      </c>
    </row>
    <row r="459" spans="1:42" ht="25.5" hidden="1" customHeight="1">
      <c r="A459" s="19" t="s">
        <v>42</v>
      </c>
      <c r="B459" s="19" t="s">
        <v>854</v>
      </c>
      <c r="C459" s="19" t="s">
        <v>855</v>
      </c>
      <c r="D459" s="19" t="s">
        <v>45</v>
      </c>
      <c r="E459" s="19" t="s">
        <v>46</v>
      </c>
      <c r="F459" s="19" t="s">
        <v>3560</v>
      </c>
      <c r="G459" s="19" t="s">
        <v>48</v>
      </c>
      <c r="H459" s="19" t="s">
        <v>49</v>
      </c>
      <c r="I459" s="20">
        <v>45887.462500000001</v>
      </c>
      <c r="K459" s="19"/>
      <c r="L459" s="20">
        <v>45887.46875</v>
      </c>
      <c r="M459" s="19"/>
      <c r="N459" s="22">
        <f t="shared" si="14"/>
        <v>6.2499999985448085E-3</v>
      </c>
      <c r="O459" s="19" t="s">
        <v>50</v>
      </c>
      <c r="P459" s="19" t="s">
        <v>3561</v>
      </c>
      <c r="Q459" s="19" t="s">
        <v>3562</v>
      </c>
      <c r="R459" s="19"/>
      <c r="S459" s="19"/>
      <c r="U459" s="19"/>
      <c r="W459" s="19"/>
      <c r="X459" s="19" t="s">
        <v>109</v>
      </c>
      <c r="Y459" s="27" t="s">
        <v>54</v>
      </c>
      <c r="Z459" s="27" t="s">
        <v>361</v>
      </c>
      <c r="AA459" s="27" t="s">
        <v>3563</v>
      </c>
      <c r="AB459" s="27" t="s">
        <v>3564</v>
      </c>
      <c r="AC459" s="37" t="s">
        <v>3565</v>
      </c>
      <c r="AD459" s="38" t="s">
        <v>3566</v>
      </c>
      <c r="AE459" s="36">
        <v>45871</v>
      </c>
      <c r="AF459" s="19" t="s">
        <v>60</v>
      </c>
      <c r="AG459" s="19" t="s">
        <v>78</v>
      </c>
      <c r="AH459" s="19" t="s">
        <v>78</v>
      </c>
      <c r="AI459" s="19" t="s">
        <v>63</v>
      </c>
      <c r="AJ459" s="19" t="s">
        <v>3567</v>
      </c>
      <c r="AK459" s="19"/>
      <c r="AL459" s="19"/>
      <c r="AM459" s="19"/>
      <c r="AN459" s="19" t="s">
        <v>103</v>
      </c>
      <c r="AO459" s="23">
        <v>45887.462500000001</v>
      </c>
      <c r="AP459" s="26">
        <f t="shared" si="15"/>
        <v>9</v>
      </c>
    </row>
    <row r="460" spans="1:42" ht="25.5" hidden="1" customHeight="1">
      <c r="A460" s="19" t="s">
        <v>42</v>
      </c>
      <c r="B460" s="19" t="s">
        <v>3568</v>
      </c>
      <c r="C460" s="19" t="s">
        <v>3569</v>
      </c>
      <c r="D460" s="19" t="s">
        <v>45</v>
      </c>
      <c r="E460" s="19" t="s">
        <v>46</v>
      </c>
      <c r="F460" s="19" t="s">
        <v>3560</v>
      </c>
      <c r="G460" s="19" t="s">
        <v>226</v>
      </c>
      <c r="H460" s="19" t="s">
        <v>49</v>
      </c>
      <c r="I460" s="20">
        <v>45887.544444444437</v>
      </c>
      <c r="K460" s="19"/>
      <c r="L460" s="20">
        <v>45887.552083333343</v>
      </c>
      <c r="M460" s="19"/>
      <c r="N460" s="22">
        <f t="shared" si="14"/>
        <v>7.6388889065128751E-3</v>
      </c>
      <c r="O460" s="19" t="s">
        <v>50</v>
      </c>
      <c r="P460" s="19" t="s">
        <v>3570</v>
      </c>
      <c r="Q460" s="19" t="s">
        <v>3571</v>
      </c>
      <c r="R460" s="19"/>
      <c r="S460" s="19"/>
      <c r="U460" s="19"/>
      <c r="W460" s="19"/>
      <c r="X460" s="19" t="s">
        <v>109</v>
      </c>
      <c r="Y460" s="27" t="s">
        <v>54</v>
      </c>
      <c r="Z460" s="27" t="s">
        <v>361</v>
      </c>
      <c r="AA460" s="27" t="s">
        <v>3572</v>
      </c>
      <c r="AB460" s="27" t="s">
        <v>3573</v>
      </c>
      <c r="AC460" s="37" t="s">
        <v>3574</v>
      </c>
      <c r="AD460" s="38" t="s">
        <v>3575</v>
      </c>
      <c r="AE460" s="36">
        <v>45871</v>
      </c>
      <c r="AF460" s="19" t="s">
        <v>60</v>
      </c>
      <c r="AG460" s="19" t="s">
        <v>78</v>
      </c>
      <c r="AH460" s="19" t="s">
        <v>78</v>
      </c>
      <c r="AI460" s="19" t="s">
        <v>50</v>
      </c>
      <c r="AJ460" s="19" t="s">
        <v>3576</v>
      </c>
      <c r="AK460" s="19"/>
      <c r="AL460" s="19"/>
      <c r="AM460" s="19"/>
      <c r="AN460" s="19" t="s">
        <v>103</v>
      </c>
      <c r="AO460" s="23">
        <v>45887.544444444437</v>
      </c>
      <c r="AP460" s="26">
        <f t="shared" si="15"/>
        <v>11</v>
      </c>
    </row>
    <row r="461" spans="1:42" ht="25.5" hidden="1" customHeight="1">
      <c r="A461" s="19" t="s">
        <v>42</v>
      </c>
      <c r="B461" s="19" t="s">
        <v>403</v>
      </c>
      <c r="C461" s="19" t="s">
        <v>2093</v>
      </c>
      <c r="D461" s="19" t="s">
        <v>45</v>
      </c>
      <c r="E461" s="19" t="s">
        <v>46</v>
      </c>
      <c r="F461" s="19" t="s">
        <v>3577</v>
      </c>
      <c r="G461" s="19" t="s">
        <v>48</v>
      </c>
      <c r="H461" s="19" t="s">
        <v>49</v>
      </c>
      <c r="I461" s="20">
        <v>45887.57916666667</v>
      </c>
      <c r="K461" s="19"/>
      <c r="L461" s="20">
        <v>45887.597916666673</v>
      </c>
      <c r="M461" s="19"/>
      <c r="N461" s="22">
        <f t="shared" si="14"/>
        <v>1.8750000002910383E-2</v>
      </c>
      <c r="O461" s="19" t="s">
        <v>50</v>
      </c>
      <c r="P461" s="19" t="s">
        <v>3578</v>
      </c>
      <c r="Q461" s="19" t="s">
        <v>3579</v>
      </c>
      <c r="R461" s="19"/>
      <c r="S461" s="19"/>
      <c r="U461" s="19"/>
      <c r="W461" s="19"/>
      <c r="X461" s="19" t="s">
        <v>109</v>
      </c>
      <c r="Y461" s="27" t="s">
        <v>54</v>
      </c>
      <c r="Z461" s="27" t="s">
        <v>123</v>
      </c>
      <c r="AA461" s="27" t="s">
        <v>3580</v>
      </c>
      <c r="AB461" s="27" t="s">
        <v>3581</v>
      </c>
      <c r="AC461" s="37" t="s">
        <v>3582</v>
      </c>
      <c r="AD461" s="38">
        <v>45886.612719907411</v>
      </c>
      <c r="AE461" s="36">
        <v>45871</v>
      </c>
      <c r="AF461" s="19" t="s">
        <v>60</v>
      </c>
      <c r="AG461" s="19" t="s">
        <v>78</v>
      </c>
      <c r="AH461" s="19" t="s">
        <v>78</v>
      </c>
      <c r="AI461" s="19" t="s">
        <v>63</v>
      </c>
      <c r="AJ461" s="19" t="s">
        <v>3583</v>
      </c>
      <c r="AK461" s="19"/>
      <c r="AL461" s="19"/>
      <c r="AM461" s="19"/>
      <c r="AN461" s="19" t="s">
        <v>103</v>
      </c>
      <c r="AO461" s="23">
        <v>45887.57916666667</v>
      </c>
      <c r="AP461" s="26">
        <f t="shared" si="15"/>
        <v>27</v>
      </c>
    </row>
    <row r="462" spans="1:42" ht="25.5" hidden="1" customHeight="1">
      <c r="A462" s="19" t="s">
        <v>42</v>
      </c>
      <c r="B462" s="19" t="s">
        <v>3584</v>
      </c>
      <c r="C462" s="19" t="s">
        <v>3585</v>
      </c>
      <c r="D462" s="19" t="s">
        <v>45</v>
      </c>
      <c r="E462" s="19" t="s">
        <v>356</v>
      </c>
      <c r="F462" s="19" t="s">
        <v>3586</v>
      </c>
      <c r="G462" s="19" t="s">
        <v>48</v>
      </c>
      <c r="H462" s="19" t="s">
        <v>49</v>
      </c>
      <c r="I462" s="20">
        <v>45887.652777777781</v>
      </c>
      <c r="K462" s="19"/>
      <c r="L462" s="20">
        <v>45887.784722222219</v>
      </c>
      <c r="M462" s="19"/>
      <c r="N462" s="22">
        <f t="shared" si="14"/>
        <v>0.13194444443797693</v>
      </c>
      <c r="O462" s="19" t="s">
        <v>50</v>
      </c>
      <c r="P462" s="19" t="s">
        <v>3587</v>
      </c>
      <c r="Q462" s="19" t="s">
        <v>3588</v>
      </c>
      <c r="R462" s="19"/>
      <c r="S462" s="19"/>
      <c r="U462" s="19"/>
      <c r="W462" s="19"/>
      <c r="X462" s="19" t="s">
        <v>3589</v>
      </c>
      <c r="Y462" s="27" t="s">
        <v>133</v>
      </c>
      <c r="Z462" s="27" t="s">
        <v>3590</v>
      </c>
      <c r="AA462" s="27" t="s">
        <v>3591</v>
      </c>
      <c r="AB462" s="27" t="s">
        <v>3592</v>
      </c>
      <c r="AC462" s="37" t="s">
        <v>3593</v>
      </c>
      <c r="AD462" s="38" t="s">
        <v>3594</v>
      </c>
      <c r="AE462" s="36">
        <v>45871</v>
      </c>
      <c r="AF462" s="19" t="s">
        <v>89</v>
      </c>
      <c r="AG462" s="19" t="s">
        <v>90</v>
      </c>
      <c r="AH462" s="19" t="s">
        <v>62</v>
      </c>
      <c r="AI462" s="19" t="s">
        <v>63</v>
      </c>
      <c r="AJ462" s="19" t="s">
        <v>3595</v>
      </c>
      <c r="AK462" s="19"/>
      <c r="AL462" s="19"/>
      <c r="AM462" s="19"/>
      <c r="AN462" s="19" t="s">
        <v>103</v>
      </c>
      <c r="AO462" s="23">
        <v>45887.652777777781</v>
      </c>
      <c r="AP462" s="26">
        <f t="shared" si="15"/>
        <v>190</v>
      </c>
    </row>
    <row r="463" spans="1:42" ht="25.5" customHeight="1">
      <c r="A463" s="19" t="s">
        <v>116</v>
      </c>
      <c r="B463" s="19" t="s">
        <v>3596</v>
      </c>
      <c r="C463" s="19" t="s">
        <v>3597</v>
      </c>
      <c r="D463" s="19" t="s">
        <v>45</v>
      </c>
      <c r="E463" s="19" t="s">
        <v>46</v>
      </c>
      <c r="F463" s="19" t="s">
        <v>3598</v>
      </c>
      <c r="G463" s="19" t="s">
        <v>48</v>
      </c>
      <c r="H463" s="19" t="s">
        <v>152</v>
      </c>
      <c r="I463" s="20">
        <v>45887.703472222223</v>
      </c>
      <c r="J463" s="20">
        <v>45887.711805555547</v>
      </c>
      <c r="K463" s="19"/>
      <c r="L463" s="20">
        <v>45887.729166666657</v>
      </c>
      <c r="M463" s="19"/>
      <c r="N463" s="22">
        <f t="shared" si="14"/>
        <v>2.5694444433611352E-2</v>
      </c>
      <c r="O463" s="19" t="s">
        <v>50</v>
      </c>
      <c r="P463" s="19" t="s">
        <v>3599</v>
      </c>
      <c r="Q463" s="19" t="s">
        <v>3600</v>
      </c>
      <c r="R463" s="19" t="s">
        <v>3601</v>
      </c>
      <c r="S463" s="19" t="s">
        <v>3602</v>
      </c>
      <c r="T463" s="20">
        <v>45887.858148148152</v>
      </c>
      <c r="U463" s="19">
        <v>45892.801898148151</v>
      </c>
      <c r="V463" s="19" t="s">
        <v>157</v>
      </c>
      <c r="W463" s="19"/>
      <c r="X463" s="19" t="s">
        <v>3603</v>
      </c>
      <c r="Y463" s="27" t="s">
        <v>133</v>
      </c>
      <c r="Z463" s="27" t="s">
        <v>838</v>
      </c>
      <c r="AA463" s="27" t="s">
        <v>3604</v>
      </c>
      <c r="AB463" s="27" t="s">
        <v>3605</v>
      </c>
      <c r="AC463" s="37" t="s">
        <v>3606</v>
      </c>
      <c r="AD463" s="38" t="s">
        <v>3607</v>
      </c>
      <c r="AE463" s="36">
        <v>45871</v>
      </c>
      <c r="AF463" s="19" t="s">
        <v>89</v>
      </c>
      <c r="AG463" s="19" t="s">
        <v>656</v>
      </c>
      <c r="AH463" s="19" t="s">
        <v>62</v>
      </c>
      <c r="AI463" s="19" t="s">
        <v>63</v>
      </c>
      <c r="AJ463" s="19" t="s">
        <v>3608</v>
      </c>
      <c r="AK463" s="19"/>
      <c r="AL463" s="19"/>
      <c r="AM463" s="19"/>
      <c r="AN463" s="19" t="s">
        <v>65</v>
      </c>
      <c r="AO463" s="23">
        <v>45887.703472222223</v>
      </c>
      <c r="AP463" s="26">
        <f t="shared" si="15"/>
        <v>37</v>
      </c>
    </row>
    <row r="464" spans="1:42" ht="25.5" hidden="1" customHeight="1">
      <c r="A464" s="19" t="s">
        <v>92</v>
      </c>
      <c r="B464" s="19" t="s">
        <v>1356</v>
      </c>
      <c r="C464" s="19" t="s">
        <v>3371</v>
      </c>
      <c r="D464" s="19" t="s">
        <v>45</v>
      </c>
      <c r="E464" s="19" t="s">
        <v>46</v>
      </c>
      <c r="F464" s="19" t="s">
        <v>3609</v>
      </c>
      <c r="G464" s="19" t="s">
        <v>48</v>
      </c>
      <c r="H464" s="19" t="s">
        <v>49</v>
      </c>
      <c r="I464" s="20">
        <v>45887.776388888888</v>
      </c>
      <c r="K464" s="19"/>
      <c r="L464" s="20">
        <v>45887.824305555558</v>
      </c>
      <c r="M464" s="19"/>
      <c r="N464" s="22">
        <f t="shared" ref="N464:N527" si="16">L464-I464</f>
        <v>4.7916666670062114E-2</v>
      </c>
      <c r="O464" s="19" t="s">
        <v>63</v>
      </c>
      <c r="P464" s="19" t="s">
        <v>3610</v>
      </c>
      <c r="Q464" s="19" t="s">
        <v>3611</v>
      </c>
      <c r="R464" s="19"/>
      <c r="S464" s="19"/>
      <c r="U464" s="19"/>
      <c r="W464" s="19"/>
      <c r="X464" s="19" t="s">
        <v>109</v>
      </c>
      <c r="Y464" s="27" t="s">
        <v>54</v>
      </c>
      <c r="Z464" s="27" t="s">
        <v>3612</v>
      </c>
      <c r="AA464" s="27" t="s">
        <v>3613</v>
      </c>
      <c r="AB464" s="27" t="s">
        <v>3614</v>
      </c>
      <c r="AC464" s="37" t="s">
        <v>3615</v>
      </c>
      <c r="AD464" s="38" t="s">
        <v>3616</v>
      </c>
      <c r="AE464" s="36">
        <v>45871</v>
      </c>
      <c r="AF464" s="19" t="s">
        <v>89</v>
      </c>
      <c r="AG464" s="19" t="s">
        <v>90</v>
      </c>
      <c r="AH464" s="19" t="s">
        <v>62</v>
      </c>
      <c r="AI464" s="19" t="s">
        <v>63</v>
      </c>
      <c r="AJ464" s="19" t="s">
        <v>3617</v>
      </c>
      <c r="AK464" s="19"/>
      <c r="AL464" s="19"/>
      <c r="AM464" s="19"/>
      <c r="AN464" s="19" t="s">
        <v>65</v>
      </c>
      <c r="AO464" s="23">
        <v>45887.776388888888</v>
      </c>
      <c r="AP464" s="26">
        <f t="shared" ref="AP464:AP527" si="17">((HOUR(N464)*60)+MINUTE(N464)+(SECOND(N464)/60))</f>
        <v>69</v>
      </c>
    </row>
    <row r="465" spans="1:42" ht="25.5" customHeight="1">
      <c r="A465" s="19" t="s">
        <v>92</v>
      </c>
      <c r="B465" s="19" t="s">
        <v>3618</v>
      </c>
      <c r="C465" s="19" t="s">
        <v>3619</v>
      </c>
      <c r="D465" s="19" t="s">
        <v>45</v>
      </c>
      <c r="E465" s="19" t="s">
        <v>46</v>
      </c>
      <c r="F465" s="19" t="s">
        <v>3620</v>
      </c>
      <c r="G465" s="19" t="s">
        <v>48</v>
      </c>
      <c r="H465" s="19" t="s">
        <v>152</v>
      </c>
      <c r="I465" s="20">
        <v>45888.137499999997</v>
      </c>
      <c r="J465" s="20">
        <v>45888.19027777778</v>
      </c>
      <c r="K465" s="19"/>
      <c r="L465" s="20">
        <v>45888.208333333343</v>
      </c>
      <c r="M465" s="19"/>
      <c r="N465" s="22">
        <f t="shared" si="16"/>
        <v>7.0833333345944993E-2</v>
      </c>
      <c r="O465" s="19" t="s">
        <v>50</v>
      </c>
      <c r="P465" s="19" t="s">
        <v>3621</v>
      </c>
      <c r="Q465" s="19" t="s">
        <v>3622</v>
      </c>
      <c r="R465" s="19" t="s">
        <v>3623</v>
      </c>
      <c r="S465" s="19" t="s">
        <v>3624</v>
      </c>
      <c r="T465" s="20">
        <v>45888.250694444447</v>
      </c>
      <c r="U465" s="19">
        <v>45911.740277777782</v>
      </c>
      <c r="V465" s="19" t="s">
        <v>157</v>
      </c>
      <c r="W465" s="19"/>
      <c r="X465" s="19" t="s">
        <v>3625</v>
      </c>
      <c r="Y465" s="27" t="s">
        <v>133</v>
      </c>
      <c r="Z465" s="27" t="s">
        <v>3626</v>
      </c>
      <c r="AA465" s="27" t="s">
        <v>3627</v>
      </c>
      <c r="AB465" s="27" t="s">
        <v>3628</v>
      </c>
      <c r="AC465" s="37" t="s">
        <v>3629</v>
      </c>
      <c r="AD465" s="38" t="s">
        <v>3630</v>
      </c>
      <c r="AE465" s="36">
        <v>45871</v>
      </c>
      <c r="AF465" s="19" t="s">
        <v>1555</v>
      </c>
      <c r="AG465" s="19" t="s">
        <v>1556</v>
      </c>
      <c r="AH465" s="19" t="s">
        <v>164</v>
      </c>
      <c r="AI465" s="19" t="s">
        <v>63</v>
      </c>
      <c r="AJ465" s="19" t="s">
        <v>3631</v>
      </c>
      <c r="AK465" s="19" t="s">
        <v>3632</v>
      </c>
      <c r="AL465" s="19"/>
      <c r="AM465" s="19"/>
      <c r="AN465" s="19" t="s">
        <v>128</v>
      </c>
      <c r="AO465" s="23">
        <v>45888.136805555558</v>
      </c>
      <c r="AP465" s="26">
        <f t="shared" si="17"/>
        <v>102</v>
      </c>
    </row>
    <row r="466" spans="1:42" ht="25.5" customHeight="1">
      <c r="A466" s="19" t="s">
        <v>42</v>
      </c>
      <c r="C466" s="19" t="s">
        <v>3633</v>
      </c>
      <c r="D466" s="19" t="s">
        <v>45</v>
      </c>
      <c r="E466" s="19" t="s">
        <v>46</v>
      </c>
      <c r="F466" s="19" t="s">
        <v>3634</v>
      </c>
      <c r="G466" s="19" t="s">
        <v>48</v>
      </c>
      <c r="H466" s="19" t="s">
        <v>144</v>
      </c>
      <c r="I466" s="20">
        <v>45888.302083333343</v>
      </c>
      <c r="K466" s="19">
        <v>45888.354166666657</v>
      </c>
      <c r="L466" s="20">
        <v>45888.394444444442</v>
      </c>
      <c r="M466" s="19"/>
      <c r="N466" s="22">
        <f t="shared" si="16"/>
        <v>9.2361111099307891E-2</v>
      </c>
      <c r="O466" s="19" t="s">
        <v>63</v>
      </c>
      <c r="P466" s="19" t="s">
        <v>3635</v>
      </c>
      <c r="Q466" s="19" t="s">
        <v>3636</v>
      </c>
      <c r="R466" s="19"/>
      <c r="S466" s="19"/>
      <c r="U466" s="19"/>
      <c r="W466" s="19"/>
      <c r="X466" s="19" t="s">
        <v>72</v>
      </c>
      <c r="Y466" s="27" t="s">
        <v>63</v>
      </c>
      <c r="Z466" s="27" t="s">
        <v>78</v>
      </c>
      <c r="AA466" s="27" t="s">
        <v>78</v>
      </c>
      <c r="AB466" s="27" t="s">
        <v>78</v>
      </c>
      <c r="AC466" s="37" t="s">
        <v>78</v>
      </c>
      <c r="AD466" s="38" t="s">
        <v>78</v>
      </c>
      <c r="AE466" s="36">
        <v>45871</v>
      </c>
      <c r="AF466" s="19" t="s">
        <v>89</v>
      </c>
      <c r="AG466" s="19" t="s">
        <v>90</v>
      </c>
      <c r="AH466" s="19" t="s">
        <v>62</v>
      </c>
      <c r="AI466" s="19" t="s">
        <v>63</v>
      </c>
      <c r="AJ466" s="19" t="s">
        <v>3637</v>
      </c>
      <c r="AK466" s="19"/>
      <c r="AL466" s="19"/>
      <c r="AM466" s="19"/>
      <c r="AN466" s="19" t="s">
        <v>65</v>
      </c>
      <c r="AO466" s="23">
        <v>45888.302083333343</v>
      </c>
      <c r="AP466" s="26">
        <f t="shared" si="17"/>
        <v>133</v>
      </c>
    </row>
    <row r="467" spans="1:42" ht="25.5" hidden="1" customHeight="1">
      <c r="A467" s="19" t="s">
        <v>92</v>
      </c>
      <c r="B467" s="19" t="s">
        <v>3638</v>
      </c>
      <c r="C467" s="19" t="s">
        <v>3639</v>
      </c>
      <c r="D467" s="19" t="s">
        <v>45</v>
      </c>
      <c r="E467" s="19" t="s">
        <v>46</v>
      </c>
      <c r="F467" s="19" t="s">
        <v>3620</v>
      </c>
      <c r="G467" s="19" t="s">
        <v>226</v>
      </c>
      <c r="H467" s="19" t="s">
        <v>49</v>
      </c>
      <c r="I467" s="20">
        <v>45888.418749999997</v>
      </c>
      <c r="K467" s="19"/>
      <c r="L467" s="20">
        <v>45888.604166666657</v>
      </c>
      <c r="M467" s="19"/>
      <c r="N467" s="22">
        <f t="shared" si="16"/>
        <v>0.18541666665987577</v>
      </c>
      <c r="O467" s="19" t="s">
        <v>63</v>
      </c>
      <c r="P467" s="19" t="s">
        <v>3640</v>
      </c>
      <c r="Q467" s="19" t="s">
        <v>3641</v>
      </c>
      <c r="R467" s="19" t="s">
        <v>3623</v>
      </c>
      <c r="S467" s="19" t="s">
        <v>3624</v>
      </c>
      <c r="T467" s="20">
        <v>45888.250694444447</v>
      </c>
      <c r="U467" s="19">
        <v>45911.740277777782</v>
      </c>
      <c r="V467" s="19" t="s">
        <v>157</v>
      </c>
      <c r="W467" s="19"/>
      <c r="X467" s="19" t="s">
        <v>3642</v>
      </c>
      <c r="Y467" s="27" t="s">
        <v>133</v>
      </c>
      <c r="Z467" s="27" t="s">
        <v>3643</v>
      </c>
      <c r="AA467" s="27" t="s">
        <v>3644</v>
      </c>
      <c r="AB467" s="27" t="s">
        <v>3645</v>
      </c>
      <c r="AC467" s="37" t="s">
        <v>3646</v>
      </c>
      <c r="AD467" s="38" t="s">
        <v>3647</v>
      </c>
      <c r="AE467" s="36">
        <v>45871</v>
      </c>
      <c r="AF467" s="19" t="s">
        <v>1555</v>
      </c>
      <c r="AG467" s="19" t="s">
        <v>1556</v>
      </c>
      <c r="AH467" s="19" t="s">
        <v>164</v>
      </c>
      <c r="AI467" s="19" t="s">
        <v>50</v>
      </c>
      <c r="AJ467" s="19" t="s">
        <v>3648</v>
      </c>
      <c r="AK467" s="19" t="s">
        <v>3632</v>
      </c>
      <c r="AL467" s="19"/>
      <c r="AM467" s="19"/>
      <c r="AN467" s="19" t="s">
        <v>65</v>
      </c>
      <c r="AO467" s="23">
        <v>45888.418749999997</v>
      </c>
      <c r="AP467" s="26">
        <f t="shared" si="17"/>
        <v>267</v>
      </c>
    </row>
    <row r="468" spans="1:42" ht="25.5" hidden="1" customHeight="1">
      <c r="A468" s="19" t="s">
        <v>42</v>
      </c>
      <c r="B468" s="19" t="s">
        <v>3649</v>
      </c>
      <c r="C468" s="19" t="s">
        <v>2907</v>
      </c>
      <c r="D468" s="19" t="s">
        <v>45</v>
      </c>
      <c r="E468" s="19" t="s">
        <v>405</v>
      </c>
      <c r="F468" s="19" t="s">
        <v>3650</v>
      </c>
      <c r="G468" s="19" t="s">
        <v>48</v>
      </c>
      <c r="H468" s="19" t="s">
        <v>49</v>
      </c>
      <c r="I468" s="20">
        <v>45888.427083333343</v>
      </c>
      <c r="K468" s="19"/>
      <c r="L468" s="20">
        <v>45888.534722222219</v>
      </c>
      <c r="M468" s="19"/>
      <c r="N468" s="22">
        <f t="shared" si="16"/>
        <v>0.10763888887595385</v>
      </c>
      <c r="O468" s="19" t="s">
        <v>50</v>
      </c>
      <c r="P468" s="19" t="s">
        <v>3651</v>
      </c>
      <c r="Q468" s="19" t="s">
        <v>3652</v>
      </c>
      <c r="R468" s="19"/>
      <c r="S468" s="19"/>
      <c r="U468" s="19"/>
      <c r="W468" s="19"/>
      <c r="X468" s="19" t="s">
        <v>53</v>
      </c>
      <c r="Y468" s="27" t="s">
        <v>133</v>
      </c>
      <c r="Z468" s="27" t="s">
        <v>3653</v>
      </c>
      <c r="AA468" s="27" t="s">
        <v>3654</v>
      </c>
      <c r="AB468" s="27" t="s">
        <v>3655</v>
      </c>
      <c r="AC468" s="37" t="s">
        <v>3656</v>
      </c>
      <c r="AD468" s="38" t="s">
        <v>3657</v>
      </c>
      <c r="AE468" s="36">
        <v>45871</v>
      </c>
      <c r="AF468" s="19" t="s">
        <v>60</v>
      </c>
      <c r="AG468" s="19" t="s">
        <v>78</v>
      </c>
      <c r="AH468" s="19" t="s">
        <v>62</v>
      </c>
      <c r="AI468" s="19" t="s">
        <v>63</v>
      </c>
      <c r="AJ468" s="19" t="s">
        <v>3658</v>
      </c>
      <c r="AK468" s="19"/>
      <c r="AL468" s="19"/>
      <c r="AM468" s="19"/>
      <c r="AN468" s="19" t="s">
        <v>103</v>
      </c>
      <c r="AO468" s="23">
        <v>45888.427083333343</v>
      </c>
      <c r="AP468" s="26">
        <f t="shared" si="17"/>
        <v>155</v>
      </c>
    </row>
    <row r="469" spans="1:42" ht="25.5" customHeight="1">
      <c r="A469" s="19" t="s">
        <v>42</v>
      </c>
      <c r="B469" s="19" t="s">
        <v>3659</v>
      </c>
      <c r="C469" s="19" t="s">
        <v>3660</v>
      </c>
      <c r="D469" s="19" t="s">
        <v>45</v>
      </c>
      <c r="E469" s="19" t="s">
        <v>46</v>
      </c>
      <c r="F469" s="19" t="s">
        <v>3620</v>
      </c>
      <c r="G469" s="19" t="s">
        <v>226</v>
      </c>
      <c r="H469" s="19" t="s">
        <v>152</v>
      </c>
      <c r="I469" s="20">
        <v>45888.604166666657</v>
      </c>
      <c r="J469" s="20">
        <v>45888.604166666657</v>
      </c>
      <c r="K469" s="19"/>
      <c r="L469" s="20">
        <v>45888.65625</v>
      </c>
      <c r="M469" s="19"/>
      <c r="N469" s="22">
        <f t="shared" si="16"/>
        <v>5.208333334303461E-2</v>
      </c>
      <c r="O469" s="19" t="s">
        <v>50</v>
      </c>
      <c r="P469" s="19" t="s">
        <v>3661</v>
      </c>
      <c r="Q469" s="19" t="s">
        <v>3662</v>
      </c>
      <c r="R469" s="19" t="s">
        <v>3623</v>
      </c>
      <c r="S469" s="19" t="s">
        <v>3624</v>
      </c>
      <c r="T469" s="20">
        <v>45888.250694444447</v>
      </c>
      <c r="U469" s="19">
        <v>45911.740277777782</v>
      </c>
      <c r="V469" s="19" t="s">
        <v>157</v>
      </c>
      <c r="W469" s="19"/>
      <c r="X469" s="19" t="s">
        <v>3663</v>
      </c>
      <c r="Y469" s="27" t="s">
        <v>133</v>
      </c>
      <c r="Z469" s="27" t="s">
        <v>3643</v>
      </c>
      <c r="AA469" s="27" t="s">
        <v>3644</v>
      </c>
      <c r="AB469" s="27" t="s">
        <v>3645</v>
      </c>
      <c r="AC469" s="37" t="s">
        <v>3646</v>
      </c>
      <c r="AD469" s="38" t="s">
        <v>3647</v>
      </c>
      <c r="AE469" s="36">
        <v>45871</v>
      </c>
      <c r="AF469" s="19" t="s">
        <v>1555</v>
      </c>
      <c r="AG469" s="19" t="s">
        <v>1556</v>
      </c>
      <c r="AH469" s="19" t="s">
        <v>164</v>
      </c>
      <c r="AI469" s="19" t="s">
        <v>50</v>
      </c>
      <c r="AJ469" s="19" t="s">
        <v>3664</v>
      </c>
      <c r="AK469" s="19" t="s">
        <v>3632</v>
      </c>
      <c r="AL469" s="19"/>
      <c r="AM469" s="19"/>
      <c r="AN469" s="19" t="s">
        <v>65</v>
      </c>
      <c r="AO469" s="23">
        <v>45888.418749999997</v>
      </c>
      <c r="AP469" s="26">
        <f t="shared" si="17"/>
        <v>75</v>
      </c>
    </row>
    <row r="470" spans="1:42" ht="25.5" hidden="1" customHeight="1">
      <c r="A470" s="19" t="s">
        <v>42</v>
      </c>
      <c r="B470" s="19" t="s">
        <v>186</v>
      </c>
      <c r="C470" s="19" t="s">
        <v>3665</v>
      </c>
      <c r="D470" s="19" t="s">
        <v>45</v>
      </c>
      <c r="E470" s="19" t="s">
        <v>46</v>
      </c>
      <c r="F470" s="19" t="s">
        <v>3666</v>
      </c>
      <c r="G470" s="19" t="s">
        <v>48</v>
      </c>
      <c r="H470" s="19" t="s">
        <v>49</v>
      </c>
      <c r="I470" s="20">
        <v>45888.636111111111</v>
      </c>
      <c r="K470" s="19"/>
      <c r="L470" s="20">
        <v>45888.798611111109</v>
      </c>
      <c r="M470" s="19"/>
      <c r="N470" s="22">
        <f t="shared" si="16"/>
        <v>0.16249999999854481</v>
      </c>
      <c r="O470" s="19" t="s">
        <v>63</v>
      </c>
      <c r="P470" s="19" t="s">
        <v>3667</v>
      </c>
      <c r="Q470" s="19" t="s">
        <v>3668</v>
      </c>
      <c r="R470" s="19" t="s">
        <v>3669</v>
      </c>
      <c r="S470" s="19" t="s">
        <v>3670</v>
      </c>
      <c r="T470" s="20">
        <v>45888.890972222223</v>
      </c>
      <c r="U470" s="19">
        <v>45892.638194444437</v>
      </c>
      <c r="V470" s="19" t="s">
        <v>157</v>
      </c>
      <c r="W470" s="19"/>
      <c r="X470" s="19" t="s">
        <v>191</v>
      </c>
      <c r="Y470" s="27" t="s">
        <v>147</v>
      </c>
      <c r="Z470" s="27" t="s">
        <v>78</v>
      </c>
      <c r="AA470" s="27" t="s">
        <v>78</v>
      </c>
      <c r="AB470" s="27" t="s">
        <v>78</v>
      </c>
      <c r="AC470" s="37" t="s">
        <v>78</v>
      </c>
      <c r="AD470" s="38" t="s">
        <v>78</v>
      </c>
      <c r="AE470" s="36">
        <v>45871</v>
      </c>
      <c r="AF470" s="19" t="s">
        <v>89</v>
      </c>
      <c r="AG470" s="19" t="s">
        <v>656</v>
      </c>
      <c r="AH470" s="19" t="s">
        <v>62</v>
      </c>
      <c r="AI470" s="19" t="s">
        <v>63</v>
      </c>
      <c r="AJ470" s="19" t="s">
        <v>3667</v>
      </c>
      <c r="AK470" s="19"/>
      <c r="AL470" s="19"/>
      <c r="AM470" s="19"/>
      <c r="AN470" s="19" t="s">
        <v>65</v>
      </c>
      <c r="AO470" s="23">
        <v>45888.636111111111</v>
      </c>
      <c r="AP470" s="26">
        <f t="shared" si="17"/>
        <v>234</v>
      </c>
    </row>
    <row r="471" spans="1:42" ht="25.5" hidden="1" customHeight="1">
      <c r="A471" s="19" t="s">
        <v>42</v>
      </c>
      <c r="B471" s="19" t="s">
        <v>43</v>
      </c>
      <c r="C471" s="19" t="s">
        <v>129</v>
      </c>
      <c r="D471" s="19" t="s">
        <v>45</v>
      </c>
      <c r="E471" s="19" t="s">
        <v>46</v>
      </c>
      <c r="F471" s="19" t="s">
        <v>3671</v>
      </c>
      <c r="G471" s="19" t="s">
        <v>48</v>
      </c>
      <c r="H471" s="19" t="s">
        <v>49</v>
      </c>
      <c r="I471" s="20">
        <v>45888.657638888893</v>
      </c>
      <c r="K471" s="19"/>
      <c r="L471" s="20">
        <v>45888.666666666657</v>
      </c>
      <c r="M471" s="19"/>
      <c r="N471" s="22">
        <f t="shared" si="16"/>
        <v>9.0277777635492384E-3</v>
      </c>
      <c r="O471" s="19" t="s">
        <v>50</v>
      </c>
      <c r="P471" s="19" t="s">
        <v>3672</v>
      </c>
      <c r="Q471" s="19" t="s">
        <v>3673</v>
      </c>
      <c r="R471" s="19"/>
      <c r="S471" s="19"/>
      <c r="U471" s="19"/>
      <c r="W471" s="19"/>
      <c r="X471" s="19" t="s">
        <v>109</v>
      </c>
      <c r="Y471" s="27" t="s">
        <v>54</v>
      </c>
      <c r="Z471" s="27" t="s">
        <v>811</v>
      </c>
      <c r="AA471" s="27" t="s">
        <v>3674</v>
      </c>
      <c r="AB471" s="27" t="s">
        <v>3675</v>
      </c>
      <c r="AC471" s="37" t="s">
        <v>3676</v>
      </c>
      <c r="AD471" s="38" t="s">
        <v>3677</v>
      </c>
      <c r="AE471" s="36">
        <v>45871</v>
      </c>
      <c r="AF471" s="19" t="s">
        <v>293</v>
      </c>
      <c r="AG471" s="19" t="s">
        <v>294</v>
      </c>
      <c r="AH471" s="19" t="s">
        <v>62</v>
      </c>
      <c r="AI471" s="19" t="s">
        <v>63</v>
      </c>
      <c r="AJ471" s="19" t="s">
        <v>3678</v>
      </c>
      <c r="AK471" s="19"/>
      <c r="AL471" s="19"/>
      <c r="AM471" s="19"/>
      <c r="AN471" s="19" t="s">
        <v>65</v>
      </c>
      <c r="AO471" s="23">
        <v>45888.657638888893</v>
      </c>
      <c r="AP471" s="26">
        <f t="shared" si="17"/>
        <v>13</v>
      </c>
    </row>
    <row r="472" spans="1:42" ht="25.5" hidden="1" customHeight="1">
      <c r="A472" s="19" t="s">
        <v>42</v>
      </c>
      <c r="B472" s="19" t="s">
        <v>43</v>
      </c>
      <c r="C472" s="19" t="s">
        <v>3389</v>
      </c>
      <c r="D472" s="19" t="s">
        <v>45</v>
      </c>
      <c r="E472" s="19" t="s">
        <v>46</v>
      </c>
      <c r="F472" s="19" t="s">
        <v>3679</v>
      </c>
      <c r="G472" s="19" t="s">
        <v>48</v>
      </c>
      <c r="H472" s="19" t="s">
        <v>49</v>
      </c>
      <c r="I472" s="20">
        <v>45888.666666666657</v>
      </c>
      <c r="K472" s="19"/>
      <c r="L472" s="20">
        <v>45888.763888888891</v>
      </c>
      <c r="M472" s="19"/>
      <c r="N472" s="22">
        <f t="shared" si="16"/>
        <v>9.7222222233540379E-2</v>
      </c>
      <c r="O472" s="19" t="s">
        <v>50</v>
      </c>
      <c r="P472" s="19" t="s">
        <v>3672</v>
      </c>
      <c r="Q472" s="19" t="s">
        <v>3680</v>
      </c>
      <c r="R472" s="19"/>
      <c r="S472" s="19"/>
      <c r="U472" s="19"/>
      <c r="W472" s="19"/>
      <c r="X472" s="19" t="s">
        <v>620</v>
      </c>
      <c r="Y472" s="27" t="s">
        <v>54</v>
      </c>
      <c r="Z472" s="27" t="s">
        <v>123</v>
      </c>
      <c r="AA472" s="27" t="s">
        <v>3681</v>
      </c>
      <c r="AB472" s="27" t="s">
        <v>3682</v>
      </c>
      <c r="AC472" s="37">
        <v>45888.669594907413</v>
      </c>
      <c r="AD472" s="38">
        <v>45888.697106481479</v>
      </c>
      <c r="AE472" s="36">
        <v>45871</v>
      </c>
      <c r="AF472" s="19" t="s">
        <v>60</v>
      </c>
      <c r="AG472" s="19" t="s">
        <v>307</v>
      </c>
      <c r="AH472" s="19" t="s">
        <v>62</v>
      </c>
      <c r="AI472" s="19" t="s">
        <v>63</v>
      </c>
      <c r="AJ472" s="19" t="s">
        <v>3683</v>
      </c>
      <c r="AK472" s="19"/>
      <c r="AL472" s="19"/>
      <c r="AM472" s="19"/>
      <c r="AN472" s="19" t="s">
        <v>65</v>
      </c>
      <c r="AO472" s="23">
        <v>45888.677083333343</v>
      </c>
      <c r="AP472" s="26">
        <f t="shared" si="17"/>
        <v>140</v>
      </c>
    </row>
    <row r="473" spans="1:42" ht="25.5" hidden="1" customHeight="1">
      <c r="A473" s="19" t="s">
        <v>42</v>
      </c>
      <c r="B473" s="19" t="s">
        <v>43</v>
      </c>
      <c r="C473" s="19" t="s">
        <v>129</v>
      </c>
      <c r="D473" s="19" t="s">
        <v>45</v>
      </c>
      <c r="E473" s="19" t="s">
        <v>46</v>
      </c>
      <c r="F473" s="19" t="s">
        <v>3684</v>
      </c>
      <c r="G473" s="19" t="s">
        <v>48</v>
      </c>
      <c r="H473" s="19" t="s">
        <v>49</v>
      </c>
      <c r="I473" s="20">
        <v>45888.824999999997</v>
      </c>
      <c r="K473" s="19"/>
      <c r="L473" s="20">
        <v>45888.840277777781</v>
      </c>
      <c r="M473" s="19"/>
      <c r="N473" s="22">
        <f t="shared" si="16"/>
        <v>1.527777778392192E-2</v>
      </c>
      <c r="O473" s="19" t="s">
        <v>50</v>
      </c>
      <c r="P473" s="19" t="s">
        <v>3685</v>
      </c>
      <c r="Q473" s="19" t="s">
        <v>3686</v>
      </c>
      <c r="R473" s="19"/>
      <c r="S473" s="19"/>
      <c r="U473" s="19"/>
      <c r="W473" s="19"/>
      <c r="X473" s="19" t="s">
        <v>109</v>
      </c>
      <c r="Y473" s="27" t="s">
        <v>54</v>
      </c>
      <c r="Z473" s="27" t="s">
        <v>123</v>
      </c>
      <c r="AA473" s="27" t="s">
        <v>3687</v>
      </c>
      <c r="AB473" s="27" t="s">
        <v>3688</v>
      </c>
      <c r="AC473" s="37">
        <v>45888.815092592587</v>
      </c>
      <c r="AD473" s="38">
        <v>45888.828020833331</v>
      </c>
      <c r="AE473" s="36">
        <v>45871</v>
      </c>
      <c r="AF473" s="19" t="s">
        <v>89</v>
      </c>
      <c r="AG473" s="19" t="s">
        <v>90</v>
      </c>
      <c r="AH473" s="19" t="s">
        <v>62</v>
      </c>
      <c r="AI473" s="19" t="s">
        <v>63</v>
      </c>
      <c r="AJ473" s="19" t="s">
        <v>3689</v>
      </c>
      <c r="AK473" s="19"/>
      <c r="AL473" s="19"/>
      <c r="AM473" s="19"/>
      <c r="AN473" s="19" t="s">
        <v>103</v>
      </c>
      <c r="AO473" s="23">
        <v>45888.824999999997</v>
      </c>
      <c r="AP473" s="26">
        <f t="shared" si="17"/>
        <v>22</v>
      </c>
    </row>
    <row r="474" spans="1:42" ht="25.5" hidden="1" customHeight="1">
      <c r="A474" s="19" t="s">
        <v>92</v>
      </c>
      <c r="B474" s="19" t="s">
        <v>3690</v>
      </c>
      <c r="C474" s="19" t="s">
        <v>1021</v>
      </c>
      <c r="D474" s="19" t="s">
        <v>45</v>
      </c>
      <c r="E474" s="19" t="s">
        <v>46</v>
      </c>
      <c r="F474" s="19" t="s">
        <v>3691</v>
      </c>
      <c r="G474" s="19" t="s">
        <v>48</v>
      </c>
      <c r="H474" s="19" t="s">
        <v>49</v>
      </c>
      <c r="I474" s="20">
        <v>45889.645138888889</v>
      </c>
      <c r="K474" s="19"/>
      <c r="L474" s="20">
        <v>45889.715277777781</v>
      </c>
      <c r="M474" s="19"/>
      <c r="N474" s="22">
        <f t="shared" si="16"/>
        <v>7.013888889196096E-2</v>
      </c>
      <c r="O474" s="19" t="s">
        <v>50</v>
      </c>
      <c r="P474" s="19" t="s">
        <v>3692</v>
      </c>
      <c r="Q474" s="19" t="s">
        <v>3693</v>
      </c>
      <c r="R474" s="19"/>
      <c r="S474" s="19"/>
      <c r="U474" s="19"/>
      <c r="W474" s="19"/>
      <c r="X474" s="19" t="s">
        <v>109</v>
      </c>
      <c r="Y474" s="27" t="s">
        <v>133</v>
      </c>
      <c r="Z474" s="27" t="s">
        <v>84</v>
      </c>
      <c r="AA474" s="27" t="s">
        <v>3694</v>
      </c>
      <c r="AB474" s="27" t="s">
        <v>3695</v>
      </c>
      <c r="AC474" s="37" t="s">
        <v>3696</v>
      </c>
      <c r="AD474" s="38" t="s">
        <v>3697</v>
      </c>
      <c r="AE474" s="36">
        <v>45871</v>
      </c>
      <c r="AF474" s="19" t="s">
        <v>60</v>
      </c>
      <c r="AG474" s="19" t="s">
        <v>78</v>
      </c>
      <c r="AH474" s="19" t="s">
        <v>78</v>
      </c>
      <c r="AI474" s="19" t="s">
        <v>63</v>
      </c>
      <c r="AJ474" s="19" t="s">
        <v>3698</v>
      </c>
      <c r="AK474" s="19"/>
      <c r="AL474" s="19"/>
      <c r="AM474" s="19"/>
      <c r="AN474" s="19" t="s">
        <v>103</v>
      </c>
      <c r="AO474" s="23">
        <v>45889.645138888889</v>
      </c>
      <c r="AP474" s="26">
        <f t="shared" si="17"/>
        <v>101</v>
      </c>
    </row>
    <row r="475" spans="1:42" ht="25.5" hidden="1" customHeight="1">
      <c r="A475" s="19" t="s">
        <v>42</v>
      </c>
      <c r="B475" s="19" t="s">
        <v>3388</v>
      </c>
      <c r="C475" s="19" t="s">
        <v>129</v>
      </c>
      <c r="D475" s="19" t="s">
        <v>45</v>
      </c>
      <c r="E475" s="19" t="s">
        <v>46</v>
      </c>
      <c r="F475" s="19" t="s">
        <v>3699</v>
      </c>
      <c r="G475" s="19" t="s">
        <v>48</v>
      </c>
      <c r="H475" s="19" t="s">
        <v>49</v>
      </c>
      <c r="I475" s="20">
        <v>45889.679166666669</v>
      </c>
      <c r="K475" s="19"/>
      <c r="L475" s="20">
        <v>45889.683333333327</v>
      </c>
      <c r="M475" s="19"/>
      <c r="N475" s="22">
        <f t="shared" si="16"/>
        <v>4.1666666584205814E-3</v>
      </c>
      <c r="O475" s="19" t="s">
        <v>50</v>
      </c>
      <c r="P475" s="19" t="s">
        <v>3700</v>
      </c>
      <c r="Q475" s="19" t="s">
        <v>3701</v>
      </c>
      <c r="R475" s="19"/>
      <c r="S475" s="19"/>
      <c r="U475" s="19"/>
      <c r="W475" s="19"/>
      <c r="X475" s="19" t="s">
        <v>109</v>
      </c>
      <c r="Y475" s="27" t="s">
        <v>54</v>
      </c>
      <c r="Z475" s="27" t="s">
        <v>3702</v>
      </c>
      <c r="AA475" s="27" t="s">
        <v>3703</v>
      </c>
      <c r="AB475" s="27" t="s">
        <v>3704</v>
      </c>
      <c r="AC475" s="37" t="s">
        <v>3705</v>
      </c>
      <c r="AD475" s="38" t="s">
        <v>3706</v>
      </c>
      <c r="AE475" s="36">
        <v>45871</v>
      </c>
      <c r="AF475" s="19" t="s">
        <v>89</v>
      </c>
      <c r="AG475" s="19" t="s">
        <v>90</v>
      </c>
      <c r="AH475" s="19" t="s">
        <v>62</v>
      </c>
      <c r="AI475" s="19" t="s">
        <v>63</v>
      </c>
      <c r="AJ475" s="19" t="s">
        <v>3707</v>
      </c>
      <c r="AK475" s="19"/>
      <c r="AL475" s="19"/>
      <c r="AM475" s="19"/>
      <c r="AN475" s="19" t="s">
        <v>103</v>
      </c>
      <c r="AO475" s="23">
        <v>45889.679166666669</v>
      </c>
      <c r="AP475" s="26">
        <f t="shared" si="17"/>
        <v>6</v>
      </c>
    </row>
    <row r="476" spans="1:42" ht="25.5" hidden="1" customHeight="1">
      <c r="A476" s="19" t="s">
        <v>42</v>
      </c>
      <c r="B476" s="19" t="s">
        <v>43</v>
      </c>
      <c r="C476" s="19" t="s">
        <v>129</v>
      </c>
      <c r="D476" s="19" t="s">
        <v>45</v>
      </c>
      <c r="E476" s="19" t="s">
        <v>46</v>
      </c>
      <c r="F476" s="19" t="s">
        <v>3684</v>
      </c>
      <c r="G476" s="19" t="s">
        <v>226</v>
      </c>
      <c r="H476" s="19" t="s">
        <v>49</v>
      </c>
      <c r="I476" s="20">
        <v>45889.788194444453</v>
      </c>
      <c r="K476" s="19"/>
      <c r="L476" s="20">
        <v>45889.798611111109</v>
      </c>
      <c r="M476" s="19"/>
      <c r="N476" s="22">
        <f t="shared" si="16"/>
        <v>1.041666665696539E-2</v>
      </c>
      <c r="O476" s="19" t="s">
        <v>50</v>
      </c>
      <c r="P476" s="19" t="s">
        <v>3708</v>
      </c>
      <c r="Q476" s="19" t="s">
        <v>3709</v>
      </c>
      <c r="R476" s="19"/>
      <c r="S476" s="19"/>
      <c r="U476" s="19"/>
      <c r="W476" s="19"/>
      <c r="X476" s="19" t="s">
        <v>109</v>
      </c>
      <c r="Y476" s="27" t="s">
        <v>54</v>
      </c>
      <c r="Z476" s="27" t="s">
        <v>2866</v>
      </c>
      <c r="AA476" s="27" t="s">
        <v>3710</v>
      </c>
      <c r="AB476" s="27" t="s">
        <v>3711</v>
      </c>
      <c r="AC476" s="37" t="s">
        <v>3712</v>
      </c>
      <c r="AD476" s="38" t="s">
        <v>3713</v>
      </c>
      <c r="AE476" s="36">
        <v>45871</v>
      </c>
      <c r="AF476" s="19" t="s">
        <v>78</v>
      </c>
      <c r="AG476" s="19" t="s">
        <v>78</v>
      </c>
      <c r="AH476" s="19" t="s">
        <v>78</v>
      </c>
      <c r="AI476" s="19" t="s">
        <v>50</v>
      </c>
      <c r="AJ476" s="19" t="s">
        <v>3714</v>
      </c>
      <c r="AK476" s="19"/>
      <c r="AL476" s="19"/>
      <c r="AM476" s="19"/>
      <c r="AN476" s="19" t="s">
        <v>103</v>
      </c>
      <c r="AO476" s="23">
        <v>45889.791666666657</v>
      </c>
      <c r="AP476" s="26">
        <f t="shared" si="17"/>
        <v>15</v>
      </c>
    </row>
    <row r="477" spans="1:42" ht="25.5" hidden="1" customHeight="1">
      <c r="A477" s="19" t="s">
        <v>285</v>
      </c>
      <c r="C477" s="19" t="s">
        <v>3715</v>
      </c>
      <c r="D477" s="19" t="s">
        <v>45</v>
      </c>
      <c r="E477" s="19" t="s">
        <v>46</v>
      </c>
      <c r="F477" s="19" t="s">
        <v>3716</v>
      </c>
      <c r="G477" s="19" t="s">
        <v>48</v>
      </c>
      <c r="H477" s="19" t="s">
        <v>49</v>
      </c>
      <c r="I477" s="20">
        <v>45890.3125</v>
      </c>
      <c r="K477" s="19"/>
      <c r="L477" s="20">
        <v>45890.34375</v>
      </c>
      <c r="M477" s="19"/>
      <c r="N477" s="22">
        <f t="shared" si="16"/>
        <v>3.125E-2</v>
      </c>
      <c r="O477" s="19" t="s">
        <v>63</v>
      </c>
      <c r="P477" s="19" t="s">
        <v>3717</v>
      </c>
      <c r="Q477" s="19" t="s">
        <v>3718</v>
      </c>
      <c r="R477" s="19"/>
      <c r="S477" s="19"/>
      <c r="U477" s="19"/>
      <c r="W477" s="19"/>
      <c r="X477" s="19" t="s">
        <v>109</v>
      </c>
      <c r="Y477" s="27" t="s">
        <v>54</v>
      </c>
      <c r="Z477" s="27" t="s">
        <v>361</v>
      </c>
      <c r="AA477" s="27" t="s">
        <v>3719</v>
      </c>
      <c r="AB477" s="27" t="s">
        <v>3720</v>
      </c>
      <c r="AC477" s="37" t="s">
        <v>3721</v>
      </c>
      <c r="AD477" s="38" t="s">
        <v>3722</v>
      </c>
      <c r="AE477" s="36">
        <v>45871</v>
      </c>
      <c r="AF477" s="19" t="s">
        <v>293</v>
      </c>
      <c r="AG477" s="19" t="s">
        <v>294</v>
      </c>
      <c r="AH477" s="19" t="s">
        <v>62</v>
      </c>
      <c r="AI477" s="19" t="s">
        <v>63</v>
      </c>
      <c r="AJ477" s="19" t="s">
        <v>3723</v>
      </c>
      <c r="AK477" s="19"/>
      <c r="AL477" s="19"/>
      <c r="AM477" s="19"/>
      <c r="AN477" s="19" t="s">
        <v>65</v>
      </c>
      <c r="AO477" s="23">
        <v>45890.300694444442</v>
      </c>
      <c r="AP477" s="26">
        <f t="shared" si="17"/>
        <v>45</v>
      </c>
    </row>
    <row r="478" spans="1:42" ht="25.5" hidden="1" customHeight="1">
      <c r="A478" s="19" t="s">
        <v>42</v>
      </c>
      <c r="B478" s="19" t="s">
        <v>3724</v>
      </c>
      <c r="C478" s="19" t="s">
        <v>3725</v>
      </c>
      <c r="D478" s="19" t="s">
        <v>45</v>
      </c>
      <c r="E478" s="19" t="s">
        <v>967</v>
      </c>
      <c r="F478" s="19" t="s">
        <v>3726</v>
      </c>
      <c r="G478" s="19" t="s">
        <v>48</v>
      </c>
      <c r="H478" s="19" t="s">
        <v>49</v>
      </c>
      <c r="I478" s="20">
        <v>45890.429166666669</v>
      </c>
      <c r="K478" s="19"/>
      <c r="L478" s="20">
        <v>45890.470138888893</v>
      </c>
      <c r="M478" s="19"/>
      <c r="N478" s="22">
        <f t="shared" si="16"/>
        <v>4.0972222224809229E-2</v>
      </c>
      <c r="O478" s="19" t="s">
        <v>50</v>
      </c>
      <c r="P478" s="19" t="s">
        <v>3727</v>
      </c>
      <c r="Q478" s="19" t="s">
        <v>3728</v>
      </c>
      <c r="R478" s="19"/>
      <c r="S478" s="19"/>
      <c r="U478" s="19"/>
      <c r="W478" s="19"/>
      <c r="X478" s="19" t="s">
        <v>109</v>
      </c>
      <c r="Y478" s="27" t="s">
        <v>54</v>
      </c>
      <c r="Z478" s="27" t="s">
        <v>414</v>
      </c>
      <c r="AA478" s="27" t="s">
        <v>3729</v>
      </c>
      <c r="AB478" s="27" t="s">
        <v>3730</v>
      </c>
      <c r="AC478" s="37">
        <v>45890.376388888893</v>
      </c>
      <c r="AD478" s="38">
        <v>45890.487500000003</v>
      </c>
      <c r="AE478" s="36">
        <v>45871</v>
      </c>
      <c r="AF478" s="19" t="s">
        <v>99</v>
      </c>
      <c r="AG478" s="19" t="s">
        <v>100</v>
      </c>
      <c r="AH478" s="19" t="s">
        <v>62</v>
      </c>
      <c r="AI478" s="19" t="s">
        <v>63</v>
      </c>
      <c r="AJ478" s="19" t="s">
        <v>3731</v>
      </c>
      <c r="AK478" s="19" t="s">
        <v>3732</v>
      </c>
      <c r="AL478" s="19"/>
      <c r="AM478" s="19"/>
      <c r="AN478" s="19" t="s">
        <v>103</v>
      </c>
      <c r="AO478" s="23">
        <v>45890.431944444441</v>
      </c>
      <c r="AP478" s="26">
        <f t="shared" si="17"/>
        <v>59</v>
      </c>
    </row>
    <row r="479" spans="1:42" ht="25.5" hidden="1" customHeight="1">
      <c r="A479" s="19" t="s">
        <v>42</v>
      </c>
      <c r="B479" s="19" t="s">
        <v>3733</v>
      </c>
      <c r="C479" s="19" t="s">
        <v>3734</v>
      </c>
      <c r="D479" s="19" t="s">
        <v>45</v>
      </c>
      <c r="E479" s="19" t="s">
        <v>967</v>
      </c>
      <c r="F479" s="19" t="s">
        <v>3735</v>
      </c>
      <c r="G479" s="19" t="s">
        <v>48</v>
      </c>
      <c r="H479" s="19" t="s">
        <v>49</v>
      </c>
      <c r="I479" s="20">
        <v>45890.588194444441</v>
      </c>
      <c r="K479" s="19"/>
      <c r="L479" s="20">
        <v>45890.604166666657</v>
      </c>
      <c r="M479" s="19"/>
      <c r="N479" s="22">
        <f t="shared" si="16"/>
        <v>1.597222221607808E-2</v>
      </c>
      <c r="O479" s="19" t="s">
        <v>50</v>
      </c>
      <c r="P479" s="19" t="s">
        <v>3736</v>
      </c>
      <c r="Q479" s="19" t="s">
        <v>3737</v>
      </c>
      <c r="R479" s="19"/>
      <c r="S479" s="19"/>
      <c r="U479" s="19"/>
      <c r="W479" s="19"/>
      <c r="X479" s="19" t="s">
        <v>675</v>
      </c>
      <c r="Y479" s="27" t="s">
        <v>54</v>
      </c>
      <c r="Z479" s="27" t="s">
        <v>123</v>
      </c>
      <c r="AA479" s="27" t="s">
        <v>3738</v>
      </c>
      <c r="AB479" s="27" t="s">
        <v>3739</v>
      </c>
      <c r="AC479" s="37">
        <v>45890.47152777778</v>
      </c>
      <c r="AD479" s="38">
        <v>45890.487500000003</v>
      </c>
      <c r="AE479" s="36">
        <v>45871</v>
      </c>
      <c r="AF479" s="19" t="s">
        <v>99</v>
      </c>
      <c r="AG479" s="19" t="s">
        <v>100</v>
      </c>
      <c r="AH479" s="19" t="s">
        <v>62</v>
      </c>
      <c r="AI479" s="19" t="s">
        <v>63</v>
      </c>
      <c r="AJ479" s="19" t="s">
        <v>3740</v>
      </c>
      <c r="AK479" s="19" t="s">
        <v>3732</v>
      </c>
      <c r="AL479" s="19"/>
      <c r="AM479" s="19"/>
      <c r="AN479" s="19" t="s">
        <v>65</v>
      </c>
      <c r="AO479" s="23">
        <v>45890.588194444441</v>
      </c>
      <c r="AP479" s="26">
        <f t="shared" si="17"/>
        <v>23</v>
      </c>
    </row>
    <row r="480" spans="1:42" ht="25.5" hidden="1" customHeight="1">
      <c r="A480" s="19" t="s">
        <v>285</v>
      </c>
      <c r="B480" s="19" t="s">
        <v>3741</v>
      </c>
      <c r="C480" s="19" t="s">
        <v>3742</v>
      </c>
      <c r="D480" s="19" t="s">
        <v>45</v>
      </c>
      <c r="E480" s="19" t="s">
        <v>46</v>
      </c>
      <c r="F480" s="19" t="s">
        <v>3743</v>
      </c>
      <c r="G480" s="19" t="s">
        <v>48</v>
      </c>
      <c r="H480" s="19" t="s">
        <v>49</v>
      </c>
      <c r="I480" s="20">
        <v>45890.669444444437</v>
      </c>
      <c r="K480" s="19"/>
      <c r="L480" s="20">
        <v>45890.680555555547</v>
      </c>
      <c r="M480" s="19"/>
      <c r="N480" s="22">
        <f t="shared" si="16"/>
        <v>1.1111111110949423E-2</v>
      </c>
      <c r="O480" s="19" t="s">
        <v>50</v>
      </c>
      <c r="P480" s="19" t="s">
        <v>3744</v>
      </c>
      <c r="Q480" s="19" t="s">
        <v>3745</v>
      </c>
      <c r="R480" s="19"/>
      <c r="S480" s="19"/>
      <c r="U480" s="19"/>
      <c r="W480" s="19"/>
      <c r="X480" s="19" t="s">
        <v>1288</v>
      </c>
      <c r="Y480" s="27" t="s">
        <v>133</v>
      </c>
      <c r="Z480" s="27" t="s">
        <v>3746</v>
      </c>
      <c r="AA480" s="27" t="s">
        <v>3747</v>
      </c>
      <c r="AB480" s="27" t="s">
        <v>3748</v>
      </c>
      <c r="AC480" s="37" t="s">
        <v>3749</v>
      </c>
      <c r="AD480" s="38" t="s">
        <v>3750</v>
      </c>
      <c r="AE480" s="36">
        <v>45871</v>
      </c>
      <c r="AF480" s="19" t="s">
        <v>293</v>
      </c>
      <c r="AG480" s="19" t="s">
        <v>294</v>
      </c>
      <c r="AH480" s="19" t="s">
        <v>62</v>
      </c>
      <c r="AI480" s="19" t="s">
        <v>63</v>
      </c>
      <c r="AJ480" s="19" t="s">
        <v>3751</v>
      </c>
      <c r="AK480" s="19"/>
      <c r="AL480" s="19"/>
      <c r="AM480" s="19"/>
      <c r="AN480" s="19" t="s">
        <v>65</v>
      </c>
      <c r="AO480" s="23">
        <v>45890.669444444437</v>
      </c>
      <c r="AP480" s="26">
        <f t="shared" si="17"/>
        <v>16</v>
      </c>
    </row>
    <row r="481" spans="1:42" ht="25.5" hidden="1" customHeight="1">
      <c r="A481" s="19" t="s">
        <v>42</v>
      </c>
      <c r="B481" s="19" t="s">
        <v>3388</v>
      </c>
      <c r="C481" s="19" t="s">
        <v>129</v>
      </c>
      <c r="D481" s="19" t="s">
        <v>45</v>
      </c>
      <c r="E481" s="19" t="s">
        <v>46</v>
      </c>
      <c r="F481" s="19" t="s">
        <v>3699</v>
      </c>
      <c r="G481" s="19" t="s">
        <v>226</v>
      </c>
      <c r="H481" s="19" t="s">
        <v>49</v>
      </c>
      <c r="I481" s="20">
        <v>45890.683333333327</v>
      </c>
      <c r="K481" s="19"/>
      <c r="L481" s="20">
        <v>45890.688888888893</v>
      </c>
      <c r="M481" s="19"/>
      <c r="N481" s="22">
        <f t="shared" si="16"/>
        <v>5.555555566388648E-3</v>
      </c>
      <c r="O481" s="19" t="s">
        <v>50</v>
      </c>
      <c r="P481" s="19" t="s">
        <v>3700</v>
      </c>
      <c r="Q481" s="19" t="s">
        <v>3752</v>
      </c>
      <c r="R481" s="19"/>
      <c r="S481" s="19"/>
      <c r="U481" s="19"/>
      <c r="W481" s="19"/>
      <c r="X481" s="19" t="s">
        <v>109</v>
      </c>
      <c r="Y481" s="27" t="s">
        <v>54</v>
      </c>
      <c r="Z481" s="27" t="s">
        <v>259</v>
      </c>
      <c r="AA481" s="27" t="s">
        <v>2460</v>
      </c>
      <c r="AB481" s="27" t="s">
        <v>3753</v>
      </c>
      <c r="AC481" s="37" t="s">
        <v>2460</v>
      </c>
      <c r="AD481" s="38" t="s">
        <v>2460</v>
      </c>
      <c r="AE481" s="36">
        <v>45871</v>
      </c>
      <c r="AF481" s="19" t="s">
        <v>89</v>
      </c>
      <c r="AG481" s="19" t="s">
        <v>90</v>
      </c>
      <c r="AH481" s="19" t="s">
        <v>62</v>
      </c>
      <c r="AI481" s="19" t="s">
        <v>50</v>
      </c>
      <c r="AJ481" s="19" t="s">
        <v>3754</v>
      </c>
      <c r="AK481" s="19"/>
      <c r="AL481" s="19"/>
      <c r="AM481" s="19"/>
      <c r="AN481" s="19" t="s">
        <v>103</v>
      </c>
      <c r="AO481" s="23">
        <v>45890.683333333327</v>
      </c>
      <c r="AP481" s="26">
        <f t="shared" si="17"/>
        <v>8</v>
      </c>
    </row>
    <row r="482" spans="1:42" ht="25.5" hidden="1" customHeight="1">
      <c r="A482" s="19" t="s">
        <v>42</v>
      </c>
      <c r="B482" s="19" t="s">
        <v>93</v>
      </c>
      <c r="C482" s="19" t="s">
        <v>129</v>
      </c>
      <c r="D482" s="19" t="s">
        <v>45</v>
      </c>
      <c r="E482" s="19" t="s">
        <v>46</v>
      </c>
      <c r="F482" s="19" t="s">
        <v>3755</v>
      </c>
      <c r="G482" s="19" t="s">
        <v>48</v>
      </c>
      <c r="H482" s="19" t="s">
        <v>49</v>
      </c>
      <c r="I482" s="20">
        <v>45891.609027777777</v>
      </c>
      <c r="K482" s="19"/>
      <c r="L482" s="20">
        <v>45891.620138888888</v>
      </c>
      <c r="M482" s="19"/>
      <c r="N482" s="22">
        <f t="shared" si="16"/>
        <v>1.1111111110949423E-2</v>
      </c>
      <c r="O482" s="19" t="s">
        <v>50</v>
      </c>
      <c r="P482" s="19" t="s">
        <v>3756</v>
      </c>
      <c r="Q482" s="19" t="s">
        <v>3757</v>
      </c>
      <c r="R482" s="19"/>
      <c r="S482" s="19"/>
      <c r="U482" s="19"/>
      <c r="W482" s="19"/>
      <c r="X482" s="19" t="s">
        <v>109</v>
      </c>
      <c r="Y482" s="27" t="s">
        <v>54</v>
      </c>
      <c r="Z482" s="27" t="s">
        <v>259</v>
      </c>
      <c r="AA482" s="27" t="s">
        <v>3758</v>
      </c>
      <c r="AB482" s="27" t="s">
        <v>3759</v>
      </c>
      <c r="AC482" s="37" t="s">
        <v>3760</v>
      </c>
      <c r="AD482" s="38" t="s">
        <v>3761</v>
      </c>
      <c r="AE482" s="36">
        <v>45871</v>
      </c>
      <c r="AF482" s="19" t="s">
        <v>60</v>
      </c>
      <c r="AG482" s="19" t="s">
        <v>78</v>
      </c>
      <c r="AH482" s="19" t="s">
        <v>78</v>
      </c>
      <c r="AI482" s="19" t="s">
        <v>63</v>
      </c>
      <c r="AJ482" s="19" t="s">
        <v>3762</v>
      </c>
      <c r="AK482" s="19"/>
      <c r="AL482" s="19"/>
      <c r="AM482" s="19"/>
      <c r="AN482" s="19" t="s">
        <v>103</v>
      </c>
      <c r="AO482" s="23">
        <v>45891.609027777777</v>
      </c>
      <c r="AP482" s="26">
        <f t="shared" si="17"/>
        <v>16</v>
      </c>
    </row>
    <row r="483" spans="1:42" ht="25.5" hidden="1" customHeight="1">
      <c r="A483" s="19" t="s">
        <v>42</v>
      </c>
      <c r="B483" s="19" t="s">
        <v>3388</v>
      </c>
      <c r="C483" s="19" t="s">
        <v>129</v>
      </c>
      <c r="D483" s="19" t="s">
        <v>45</v>
      </c>
      <c r="E483" s="19" t="s">
        <v>46</v>
      </c>
      <c r="F483" s="19" t="s">
        <v>3699</v>
      </c>
      <c r="G483" s="19" t="s">
        <v>226</v>
      </c>
      <c r="H483" s="19" t="s">
        <v>49</v>
      </c>
      <c r="I483" s="20">
        <v>45891.6875</v>
      </c>
      <c r="K483" s="19"/>
      <c r="L483" s="20">
        <v>45891.693055555559</v>
      </c>
      <c r="M483" s="19"/>
      <c r="N483" s="22">
        <f t="shared" si="16"/>
        <v>5.5555555591126904E-3</v>
      </c>
      <c r="O483" s="19" t="s">
        <v>50</v>
      </c>
      <c r="P483" s="19" t="s">
        <v>3763</v>
      </c>
      <c r="Q483" s="19" t="s">
        <v>3764</v>
      </c>
      <c r="R483" s="19"/>
      <c r="S483" s="19"/>
      <c r="U483" s="19"/>
      <c r="W483" s="19"/>
      <c r="X483" s="19" t="s">
        <v>109</v>
      </c>
      <c r="Y483" s="27" t="s">
        <v>54</v>
      </c>
      <c r="Z483" s="27" t="s">
        <v>259</v>
      </c>
      <c r="AA483" s="27" t="s">
        <v>2460</v>
      </c>
      <c r="AB483" s="27" t="s">
        <v>3765</v>
      </c>
      <c r="AC483" s="37" t="s">
        <v>2460</v>
      </c>
      <c r="AD483" s="38" t="s">
        <v>2460</v>
      </c>
      <c r="AE483" s="36">
        <v>45871</v>
      </c>
      <c r="AF483" s="19" t="s">
        <v>89</v>
      </c>
      <c r="AG483" s="19" t="s">
        <v>90</v>
      </c>
      <c r="AH483" s="19" t="s">
        <v>62</v>
      </c>
      <c r="AI483" s="19" t="s">
        <v>50</v>
      </c>
      <c r="AJ483" s="19" t="s">
        <v>3766</v>
      </c>
      <c r="AK483" s="19"/>
      <c r="AL483" s="19"/>
      <c r="AM483" s="19"/>
      <c r="AN483" s="19" t="s">
        <v>103</v>
      </c>
      <c r="AO483" s="23">
        <v>45891.6875</v>
      </c>
      <c r="AP483" s="26">
        <f t="shared" si="17"/>
        <v>8</v>
      </c>
    </row>
    <row r="484" spans="1:42" ht="25.5" hidden="1" customHeight="1">
      <c r="A484" s="19" t="s">
        <v>116</v>
      </c>
      <c r="B484" s="19" t="s">
        <v>3767</v>
      </c>
      <c r="C484" s="19" t="s">
        <v>3768</v>
      </c>
      <c r="D484" s="19" t="s">
        <v>45</v>
      </c>
      <c r="E484" s="19" t="s">
        <v>46</v>
      </c>
      <c r="F484" s="19" t="s">
        <v>3769</v>
      </c>
      <c r="G484" s="19" t="s">
        <v>48</v>
      </c>
      <c r="H484" s="19" t="s">
        <v>49</v>
      </c>
      <c r="I484" s="20">
        <v>45892.545138888891</v>
      </c>
      <c r="K484" s="19"/>
      <c r="L484" s="20">
        <v>45892.611111111109</v>
      </c>
      <c r="M484" s="19"/>
      <c r="N484" s="22">
        <f t="shared" si="16"/>
        <v>6.5972222218988463E-2</v>
      </c>
      <c r="O484" s="19" t="s">
        <v>50</v>
      </c>
      <c r="P484" s="19" t="s">
        <v>3770</v>
      </c>
      <c r="Q484" s="19" t="s">
        <v>3771</v>
      </c>
      <c r="R484" s="19"/>
      <c r="S484" s="19"/>
      <c r="U484" s="19"/>
      <c r="W484" s="19"/>
      <c r="X484" s="19" t="s">
        <v>269</v>
      </c>
      <c r="Y484" s="27" t="s">
        <v>54</v>
      </c>
      <c r="Z484" s="27" t="s">
        <v>3772</v>
      </c>
      <c r="AA484" s="27" t="s">
        <v>3773</v>
      </c>
      <c r="AB484" s="27" t="s">
        <v>3774</v>
      </c>
      <c r="AC484" s="37" t="s">
        <v>3775</v>
      </c>
      <c r="AD484" s="38" t="s">
        <v>3776</v>
      </c>
      <c r="AE484" s="36">
        <v>45871</v>
      </c>
      <c r="AF484" s="19" t="s">
        <v>89</v>
      </c>
      <c r="AG484" s="19" t="s">
        <v>90</v>
      </c>
      <c r="AH484" s="19" t="s">
        <v>62</v>
      </c>
      <c r="AI484" s="19" t="s">
        <v>63</v>
      </c>
      <c r="AJ484" s="19" t="s">
        <v>3777</v>
      </c>
      <c r="AK484" s="19"/>
      <c r="AL484" s="19"/>
      <c r="AM484" s="19"/>
      <c r="AN484" s="19" t="s">
        <v>103</v>
      </c>
      <c r="AO484" s="23">
        <v>45892.545138888891</v>
      </c>
      <c r="AP484" s="26">
        <f t="shared" si="17"/>
        <v>95</v>
      </c>
    </row>
    <row r="485" spans="1:42" ht="25.5" hidden="1" customHeight="1">
      <c r="A485" s="19" t="s">
        <v>42</v>
      </c>
      <c r="B485" s="19" t="s">
        <v>43</v>
      </c>
      <c r="C485" s="19" t="s">
        <v>3389</v>
      </c>
      <c r="D485" s="19" t="s">
        <v>45</v>
      </c>
      <c r="E485" s="19" t="s">
        <v>46</v>
      </c>
      <c r="F485" s="19" t="s">
        <v>3778</v>
      </c>
      <c r="G485" s="19" t="s">
        <v>48</v>
      </c>
      <c r="H485" s="19" t="s">
        <v>49</v>
      </c>
      <c r="I485" s="20">
        <v>45892.549305555563</v>
      </c>
      <c r="K485" s="19"/>
      <c r="L485" s="20">
        <v>45892.589583333327</v>
      </c>
      <c r="M485" s="19"/>
      <c r="N485" s="22">
        <f t="shared" si="16"/>
        <v>4.0277777763549238E-2</v>
      </c>
      <c r="O485" s="19" t="s">
        <v>50</v>
      </c>
      <c r="P485" s="19" t="s">
        <v>2439</v>
      </c>
      <c r="Q485" s="19" t="s">
        <v>3779</v>
      </c>
      <c r="R485" s="19"/>
      <c r="S485" s="19"/>
      <c r="U485" s="19"/>
      <c r="W485" s="19"/>
      <c r="X485" s="19" t="s">
        <v>620</v>
      </c>
      <c r="Y485" s="27" t="s">
        <v>54</v>
      </c>
      <c r="Z485" s="27" t="s">
        <v>209</v>
      </c>
      <c r="AA485" s="27" t="s">
        <v>3780</v>
      </c>
      <c r="AB485" s="27" t="s">
        <v>3781</v>
      </c>
      <c r="AC485" s="37">
        <v>45892.55972222222</v>
      </c>
      <c r="AD485" s="38">
        <v>45892.563194444447</v>
      </c>
      <c r="AE485" s="36">
        <v>45871</v>
      </c>
      <c r="AF485" s="19" t="s">
        <v>60</v>
      </c>
      <c r="AG485" s="19" t="s">
        <v>78</v>
      </c>
      <c r="AH485" s="19" t="s">
        <v>62</v>
      </c>
      <c r="AI485" s="19" t="s">
        <v>63</v>
      </c>
      <c r="AJ485" s="19" t="s">
        <v>3782</v>
      </c>
      <c r="AK485" s="19"/>
      <c r="AL485" s="19"/>
      <c r="AM485" s="19"/>
      <c r="AN485" s="19" t="s">
        <v>65</v>
      </c>
      <c r="AO485" s="23">
        <v>45892.549305555563</v>
      </c>
      <c r="AP485" s="26">
        <f t="shared" si="17"/>
        <v>58</v>
      </c>
    </row>
    <row r="486" spans="1:42" ht="25.5" hidden="1" customHeight="1">
      <c r="A486" s="19" t="s">
        <v>42</v>
      </c>
      <c r="B486" s="19" t="s">
        <v>3327</v>
      </c>
      <c r="C486" s="19" t="s">
        <v>701</v>
      </c>
      <c r="D486" s="19" t="s">
        <v>45</v>
      </c>
      <c r="E486" s="19" t="s">
        <v>46</v>
      </c>
      <c r="F486" s="19" t="s">
        <v>3783</v>
      </c>
      <c r="G486" s="19" t="s">
        <v>48</v>
      </c>
      <c r="H486" s="19" t="s">
        <v>49</v>
      </c>
      <c r="I486" s="20">
        <v>45893.418749999997</v>
      </c>
      <c r="K486" s="19"/>
      <c r="L486" s="20">
        <v>45893.541666666657</v>
      </c>
      <c r="M486" s="19"/>
      <c r="N486" s="22">
        <f t="shared" si="16"/>
        <v>0.12291666665987577</v>
      </c>
      <c r="O486" s="19" t="s">
        <v>63</v>
      </c>
      <c r="P486" s="19" t="s">
        <v>3784</v>
      </c>
      <c r="Q486" s="19" t="s">
        <v>3785</v>
      </c>
      <c r="R486" s="19"/>
      <c r="S486" s="19"/>
      <c r="U486" s="19"/>
      <c r="W486" s="19"/>
      <c r="X486" s="19" t="s">
        <v>746</v>
      </c>
      <c r="Y486" s="27" t="s">
        <v>147</v>
      </c>
      <c r="Z486" s="27" t="s">
        <v>78</v>
      </c>
      <c r="AA486" s="27" t="s">
        <v>78</v>
      </c>
      <c r="AB486" s="27" t="s">
        <v>78</v>
      </c>
      <c r="AC486" s="37" t="s">
        <v>78</v>
      </c>
      <c r="AD486" s="38" t="s">
        <v>78</v>
      </c>
      <c r="AE486" s="36">
        <v>45871</v>
      </c>
      <c r="AF486" s="19" t="s">
        <v>89</v>
      </c>
      <c r="AG486" s="19" t="s">
        <v>90</v>
      </c>
      <c r="AH486" s="19" t="s">
        <v>62</v>
      </c>
      <c r="AI486" s="19" t="s">
        <v>63</v>
      </c>
      <c r="AJ486" s="19" t="s">
        <v>3786</v>
      </c>
      <c r="AK486" s="19"/>
      <c r="AL486" s="19"/>
      <c r="AM486" s="19"/>
      <c r="AN486" s="19" t="s">
        <v>103</v>
      </c>
      <c r="AO486" s="23">
        <v>45893.493750000001</v>
      </c>
      <c r="AP486" s="26">
        <f t="shared" si="17"/>
        <v>177</v>
      </c>
    </row>
    <row r="487" spans="1:42" ht="25.5" customHeight="1">
      <c r="A487" s="19" t="s">
        <v>42</v>
      </c>
      <c r="B487" s="19" t="s">
        <v>3787</v>
      </c>
      <c r="C487" s="19" t="s">
        <v>3788</v>
      </c>
      <c r="D487" s="19" t="s">
        <v>45</v>
      </c>
      <c r="E487" s="19" t="s">
        <v>225</v>
      </c>
      <c r="F487" s="19" t="s">
        <v>3789</v>
      </c>
      <c r="G487" s="19" t="s">
        <v>48</v>
      </c>
      <c r="H487" s="19" t="s">
        <v>152</v>
      </c>
      <c r="I487" s="20">
        <v>45893.463888888888</v>
      </c>
      <c r="J487" s="20">
        <v>45893.495138888888</v>
      </c>
      <c r="K487" s="19"/>
      <c r="L487" s="20">
        <v>45893.536805555559</v>
      </c>
      <c r="M487" s="19"/>
      <c r="N487" s="22">
        <f t="shared" si="16"/>
        <v>7.2916666671517305E-2</v>
      </c>
      <c r="O487" s="19" t="s">
        <v>50</v>
      </c>
      <c r="P487" s="19" t="s">
        <v>3790</v>
      </c>
      <c r="Q487" s="19" t="s">
        <v>3791</v>
      </c>
      <c r="R487" s="19" t="s">
        <v>3792</v>
      </c>
      <c r="S487" s="19" t="s">
        <v>3793</v>
      </c>
      <c r="T487" s="20">
        <v>45893.654861111107</v>
      </c>
      <c r="U487" s="19">
        <v>45915.647222222222</v>
      </c>
      <c r="V487" s="19" t="s">
        <v>157</v>
      </c>
      <c r="W487" s="19"/>
      <c r="X487" s="19" t="s">
        <v>3794</v>
      </c>
      <c r="Y487" s="27" t="s">
        <v>133</v>
      </c>
      <c r="Z487" s="27" t="s">
        <v>3795</v>
      </c>
      <c r="AA487" s="27" t="s">
        <v>3796</v>
      </c>
      <c r="AB487" s="27" t="s">
        <v>3797</v>
      </c>
      <c r="AC487" s="37" t="s">
        <v>3798</v>
      </c>
      <c r="AD487" s="38" t="s">
        <v>3799</v>
      </c>
      <c r="AE487" s="36">
        <v>45871</v>
      </c>
      <c r="AF487" s="19" t="s">
        <v>293</v>
      </c>
      <c r="AG487" s="19" t="s">
        <v>307</v>
      </c>
      <c r="AH487" s="19" t="s">
        <v>164</v>
      </c>
      <c r="AI487" s="19" t="s">
        <v>63</v>
      </c>
      <c r="AJ487" s="19" t="s">
        <v>3800</v>
      </c>
      <c r="AK487" s="19"/>
      <c r="AL487" s="19"/>
      <c r="AM487" s="19"/>
      <c r="AN487" s="19" t="s">
        <v>103</v>
      </c>
      <c r="AO487" s="23">
        <v>45893.463888888888</v>
      </c>
      <c r="AP487" s="26">
        <f t="shared" si="17"/>
        <v>105</v>
      </c>
    </row>
    <row r="488" spans="1:42" ht="25.5" hidden="1" customHeight="1">
      <c r="A488" s="19" t="s">
        <v>42</v>
      </c>
      <c r="B488" s="19" t="s">
        <v>43</v>
      </c>
      <c r="C488" s="19" t="s">
        <v>3801</v>
      </c>
      <c r="D488" s="19" t="s">
        <v>45</v>
      </c>
      <c r="E488" s="19" t="s">
        <v>225</v>
      </c>
      <c r="F488" s="19" t="s">
        <v>3789</v>
      </c>
      <c r="G488" s="19" t="s">
        <v>226</v>
      </c>
      <c r="H488" s="19" t="s">
        <v>49</v>
      </c>
      <c r="I488" s="20">
        <v>45893.536805555559</v>
      </c>
      <c r="K488" s="19"/>
      <c r="L488" s="20">
        <v>45893.585416666669</v>
      </c>
      <c r="M488" s="19"/>
      <c r="N488" s="22">
        <f t="shared" si="16"/>
        <v>4.8611111109494232E-2</v>
      </c>
      <c r="O488" s="19" t="s">
        <v>50</v>
      </c>
      <c r="P488" s="19" t="s">
        <v>3802</v>
      </c>
      <c r="Q488" s="19" t="s">
        <v>3803</v>
      </c>
      <c r="R488" s="19" t="s">
        <v>3792</v>
      </c>
      <c r="S488" s="19" t="s">
        <v>3793</v>
      </c>
      <c r="T488" s="20">
        <v>45893.654861111107</v>
      </c>
      <c r="U488" s="19">
        <v>45915.647222222222</v>
      </c>
      <c r="V488" s="19" t="s">
        <v>157</v>
      </c>
      <c r="W488" s="19"/>
      <c r="X488" s="19" t="s">
        <v>53</v>
      </c>
      <c r="Y488" s="27" t="s">
        <v>54</v>
      </c>
      <c r="Z488" s="27" t="s">
        <v>110</v>
      </c>
      <c r="AA488" s="27" t="s">
        <v>3804</v>
      </c>
      <c r="AB488" s="27" t="s">
        <v>3805</v>
      </c>
      <c r="AC488" s="37" t="s">
        <v>3806</v>
      </c>
      <c r="AD488" s="38" t="s">
        <v>3807</v>
      </c>
      <c r="AE488" s="36">
        <v>45871</v>
      </c>
      <c r="AF488" s="19" t="s">
        <v>293</v>
      </c>
      <c r="AG488" s="19" t="s">
        <v>307</v>
      </c>
      <c r="AH488" s="19" t="s">
        <v>164</v>
      </c>
      <c r="AI488" s="19" t="s">
        <v>50</v>
      </c>
      <c r="AJ488" s="19" t="s">
        <v>3808</v>
      </c>
      <c r="AK488" s="19"/>
      <c r="AL488" s="19"/>
      <c r="AM488" s="19"/>
      <c r="AN488" s="19" t="s">
        <v>103</v>
      </c>
      <c r="AO488" s="23">
        <v>45893.536805555559</v>
      </c>
      <c r="AP488" s="26">
        <f t="shared" si="17"/>
        <v>70</v>
      </c>
    </row>
    <row r="489" spans="1:42" ht="25.5" hidden="1" customHeight="1">
      <c r="A489" s="19" t="s">
        <v>42</v>
      </c>
      <c r="B489" s="19" t="s">
        <v>3809</v>
      </c>
      <c r="C489" s="19" t="s">
        <v>471</v>
      </c>
      <c r="D489" s="19" t="s">
        <v>45</v>
      </c>
      <c r="E489" s="19" t="s">
        <v>967</v>
      </c>
      <c r="F489" s="19" t="s">
        <v>3810</v>
      </c>
      <c r="G489" s="19" t="s">
        <v>48</v>
      </c>
      <c r="H489" s="19" t="s">
        <v>49</v>
      </c>
      <c r="I489" s="20">
        <v>45894.529166666667</v>
      </c>
      <c r="K489" s="19"/>
      <c r="L489" s="20">
        <v>45894.552777777782</v>
      </c>
      <c r="M489" s="19"/>
      <c r="N489" s="22">
        <f t="shared" si="16"/>
        <v>2.3611111115314998E-2</v>
      </c>
      <c r="O489" s="19" t="s">
        <v>50</v>
      </c>
      <c r="P489" s="19" t="s">
        <v>3811</v>
      </c>
      <c r="Q489" s="19" t="s">
        <v>3812</v>
      </c>
      <c r="R489" s="19"/>
      <c r="S489" s="19"/>
      <c r="U489" s="19"/>
      <c r="W489" s="19"/>
      <c r="X489" s="19" t="s">
        <v>475</v>
      </c>
      <c r="Y489" s="27" t="s">
        <v>54</v>
      </c>
      <c r="Z489" s="27" t="s">
        <v>1691</v>
      </c>
      <c r="AA489" s="27" t="s">
        <v>3813</v>
      </c>
      <c r="AB489" s="27" t="s">
        <v>3814</v>
      </c>
      <c r="AC489" s="37" t="s">
        <v>3815</v>
      </c>
      <c r="AD489" s="38" t="s">
        <v>3816</v>
      </c>
      <c r="AE489" s="36">
        <v>45871</v>
      </c>
      <c r="AF489" s="19" t="s">
        <v>89</v>
      </c>
      <c r="AG489" s="19" t="s">
        <v>90</v>
      </c>
      <c r="AH489" s="19" t="s">
        <v>62</v>
      </c>
      <c r="AI489" s="19" t="s">
        <v>63</v>
      </c>
      <c r="AJ489" s="19" t="s">
        <v>3817</v>
      </c>
      <c r="AK489" s="19"/>
      <c r="AL489" s="19"/>
      <c r="AM489" s="19"/>
      <c r="AN489" s="19" t="s">
        <v>128</v>
      </c>
      <c r="AO489" s="23">
        <v>45894.529166666667</v>
      </c>
      <c r="AP489" s="26">
        <f t="shared" si="17"/>
        <v>34</v>
      </c>
    </row>
    <row r="490" spans="1:42" ht="25.5" hidden="1" customHeight="1">
      <c r="A490" s="19" t="s">
        <v>42</v>
      </c>
      <c r="B490" s="19" t="s">
        <v>202</v>
      </c>
      <c r="C490" s="19" t="s">
        <v>3818</v>
      </c>
      <c r="D490" s="19" t="s">
        <v>45</v>
      </c>
      <c r="E490" s="19" t="s">
        <v>46</v>
      </c>
      <c r="F490" s="19" t="s">
        <v>3819</v>
      </c>
      <c r="G490" s="19" t="s">
        <v>48</v>
      </c>
      <c r="H490" s="19" t="s">
        <v>49</v>
      </c>
      <c r="I490" s="20">
        <v>45895.172222222223</v>
      </c>
      <c r="K490" s="19"/>
      <c r="L490" s="20">
        <v>45895.248611111107</v>
      </c>
      <c r="M490" s="19"/>
      <c r="N490" s="22">
        <f t="shared" si="16"/>
        <v>7.6388888883229811E-2</v>
      </c>
      <c r="O490" s="19" t="s">
        <v>50</v>
      </c>
      <c r="P490" s="19" t="s">
        <v>3820</v>
      </c>
      <c r="Q490" s="19" t="s">
        <v>3821</v>
      </c>
      <c r="R490" s="19"/>
      <c r="S490" s="19"/>
      <c r="U490" s="19"/>
      <c r="W490" s="19"/>
      <c r="X490" s="19" t="s">
        <v>1589</v>
      </c>
      <c r="Y490" s="27" t="s">
        <v>133</v>
      </c>
      <c r="Z490" s="27" t="s">
        <v>3626</v>
      </c>
      <c r="AA490" s="27" t="s">
        <v>3822</v>
      </c>
      <c r="AB490" s="27" t="s">
        <v>3823</v>
      </c>
      <c r="AC490" s="37" t="s">
        <v>3824</v>
      </c>
      <c r="AD490" s="38" t="s">
        <v>3825</v>
      </c>
      <c r="AE490" s="36">
        <v>45871</v>
      </c>
      <c r="AF490" s="19" t="s">
        <v>99</v>
      </c>
      <c r="AG490" s="19" t="s">
        <v>971</v>
      </c>
      <c r="AH490" s="19" t="s">
        <v>62</v>
      </c>
      <c r="AI490" s="19" t="s">
        <v>63</v>
      </c>
      <c r="AJ490" s="19" t="s">
        <v>3826</v>
      </c>
      <c r="AK490" s="19" t="s">
        <v>3827</v>
      </c>
      <c r="AL490" s="19"/>
      <c r="AM490" s="19"/>
      <c r="AN490" s="19" t="s">
        <v>65</v>
      </c>
      <c r="AO490" s="23">
        <v>45895.172222222223</v>
      </c>
      <c r="AP490" s="26">
        <f t="shared" si="17"/>
        <v>110</v>
      </c>
    </row>
    <row r="491" spans="1:42" ht="25.5" hidden="1" customHeight="1">
      <c r="A491" s="19" t="s">
        <v>92</v>
      </c>
      <c r="B491" s="19" t="s">
        <v>1917</v>
      </c>
      <c r="C491" s="19" t="s">
        <v>1021</v>
      </c>
      <c r="D491" s="19" t="s">
        <v>45</v>
      </c>
      <c r="E491" s="19" t="s">
        <v>46</v>
      </c>
      <c r="F491" s="19" t="s">
        <v>3828</v>
      </c>
      <c r="G491" s="19" t="s">
        <v>48</v>
      </c>
      <c r="H491" s="19" t="s">
        <v>49</v>
      </c>
      <c r="I491" s="20">
        <v>45895.428472222222</v>
      </c>
      <c r="K491" s="19"/>
      <c r="L491" s="20">
        <v>45895.443055555559</v>
      </c>
      <c r="M491" s="19"/>
      <c r="N491" s="22">
        <f t="shared" si="16"/>
        <v>1.4583333337213844E-2</v>
      </c>
      <c r="O491" s="19" t="s">
        <v>50</v>
      </c>
      <c r="P491" s="19" t="s">
        <v>3692</v>
      </c>
      <c r="Q491" s="19" t="s">
        <v>3693</v>
      </c>
      <c r="R491" s="19"/>
      <c r="S491" s="19"/>
      <c r="U491" s="19"/>
      <c r="W491" s="19"/>
      <c r="X491" s="19" t="s">
        <v>109</v>
      </c>
      <c r="Y491" s="27" t="s">
        <v>147</v>
      </c>
      <c r="Z491" s="27" t="s">
        <v>78</v>
      </c>
      <c r="AA491" s="27" t="s">
        <v>78</v>
      </c>
      <c r="AB491" s="27" t="s">
        <v>78</v>
      </c>
      <c r="AC491" s="37" t="s">
        <v>78</v>
      </c>
      <c r="AD491" s="38" t="s">
        <v>78</v>
      </c>
      <c r="AE491" s="36">
        <v>45871</v>
      </c>
      <c r="AF491" s="19" t="s">
        <v>60</v>
      </c>
      <c r="AG491" s="19" t="s">
        <v>78</v>
      </c>
      <c r="AH491" s="19" t="s">
        <v>78</v>
      </c>
      <c r="AI491" s="19" t="s">
        <v>63</v>
      </c>
      <c r="AJ491" s="19" t="s">
        <v>3829</v>
      </c>
      <c r="AK491" s="19"/>
      <c r="AL491" s="19"/>
      <c r="AM491" s="19"/>
      <c r="AN491" s="19" t="s">
        <v>103</v>
      </c>
      <c r="AO491" s="23">
        <v>45895.430555555547</v>
      </c>
      <c r="AP491" s="26">
        <f t="shared" si="17"/>
        <v>21</v>
      </c>
    </row>
    <row r="492" spans="1:42" ht="25.5" hidden="1" customHeight="1">
      <c r="A492" s="19" t="s">
        <v>285</v>
      </c>
      <c r="B492" s="19" t="s">
        <v>630</v>
      </c>
      <c r="C492" s="19" t="s">
        <v>1734</v>
      </c>
      <c r="D492" s="19" t="s">
        <v>45</v>
      </c>
      <c r="E492" s="19" t="s">
        <v>46</v>
      </c>
      <c r="F492" s="19" t="s">
        <v>3830</v>
      </c>
      <c r="G492" s="19" t="s">
        <v>48</v>
      </c>
      <c r="H492" s="19" t="s">
        <v>49</v>
      </c>
      <c r="I492" s="20">
        <v>45895.540277777778</v>
      </c>
      <c r="K492" s="19"/>
      <c r="L492" s="20">
        <v>45895.569444444453</v>
      </c>
      <c r="M492" s="19"/>
      <c r="N492" s="22">
        <f t="shared" si="16"/>
        <v>2.9166666674427688E-2</v>
      </c>
      <c r="O492" s="19" t="s">
        <v>50</v>
      </c>
      <c r="P492" s="19" t="s">
        <v>3831</v>
      </c>
      <c r="Q492" s="19" t="s">
        <v>3832</v>
      </c>
      <c r="R492" s="19"/>
      <c r="S492" s="19"/>
      <c r="U492" s="19"/>
      <c r="W492" s="19"/>
      <c r="X492" s="19" t="s">
        <v>122</v>
      </c>
      <c r="Y492" s="27" t="s">
        <v>133</v>
      </c>
      <c r="Z492" s="27" t="s">
        <v>123</v>
      </c>
      <c r="AA492" s="27" t="s">
        <v>3833</v>
      </c>
      <c r="AB492" s="27" t="s">
        <v>3834</v>
      </c>
      <c r="AC492" s="37" t="s">
        <v>3835</v>
      </c>
      <c r="AD492" s="38" t="s">
        <v>861</v>
      </c>
      <c r="AE492" s="36">
        <v>45871</v>
      </c>
      <c r="AF492" s="19" t="s">
        <v>293</v>
      </c>
      <c r="AG492" s="19" t="s">
        <v>307</v>
      </c>
      <c r="AH492" s="19" t="s">
        <v>164</v>
      </c>
      <c r="AI492" s="19" t="s">
        <v>63</v>
      </c>
      <c r="AJ492" s="19" t="s">
        <v>2984</v>
      </c>
      <c r="AK492" s="19"/>
      <c r="AL492" s="19"/>
      <c r="AM492" s="19"/>
      <c r="AN492" s="19" t="s">
        <v>65</v>
      </c>
      <c r="AO492" s="23">
        <v>45895.540277777778</v>
      </c>
      <c r="AP492" s="26">
        <f t="shared" si="17"/>
        <v>42</v>
      </c>
    </row>
    <row r="493" spans="1:42" ht="25.5" hidden="1" customHeight="1">
      <c r="A493" s="19" t="s">
        <v>42</v>
      </c>
      <c r="B493" s="19" t="s">
        <v>43</v>
      </c>
      <c r="C493" s="19" t="s">
        <v>129</v>
      </c>
      <c r="D493" s="19" t="s">
        <v>45</v>
      </c>
      <c r="E493" s="19" t="s">
        <v>46</v>
      </c>
      <c r="F493" s="19" t="s">
        <v>3836</v>
      </c>
      <c r="G493" s="19" t="s">
        <v>48</v>
      </c>
      <c r="H493" s="19" t="s">
        <v>49</v>
      </c>
      <c r="I493" s="20">
        <v>45895.628472222219</v>
      </c>
      <c r="K493" s="19"/>
      <c r="L493" s="20">
        <v>45895.638888888891</v>
      </c>
      <c r="M493" s="19"/>
      <c r="N493" s="22">
        <f t="shared" si="16"/>
        <v>1.0416666671517305E-2</v>
      </c>
      <c r="O493" s="19" t="s">
        <v>50</v>
      </c>
      <c r="P493" s="19" t="s">
        <v>3756</v>
      </c>
      <c r="Q493" s="19" t="s">
        <v>3837</v>
      </c>
      <c r="R493" s="19"/>
      <c r="S493" s="19"/>
      <c r="U493" s="19"/>
      <c r="W493" s="19"/>
      <c r="X493" s="19" t="s">
        <v>109</v>
      </c>
      <c r="Y493" s="27" t="s">
        <v>54</v>
      </c>
      <c r="Z493" s="27" t="s">
        <v>414</v>
      </c>
      <c r="AA493" s="27" t="s">
        <v>3838</v>
      </c>
      <c r="AB493" s="27" t="s">
        <v>3839</v>
      </c>
      <c r="AC493" s="37" t="s">
        <v>3840</v>
      </c>
      <c r="AD493" s="38" t="s">
        <v>3841</v>
      </c>
      <c r="AE493" s="36">
        <v>45871</v>
      </c>
      <c r="AF493" s="19" t="s">
        <v>60</v>
      </c>
      <c r="AG493" s="19" t="s">
        <v>61</v>
      </c>
      <c r="AH493" s="19" t="s">
        <v>164</v>
      </c>
      <c r="AI493" s="19" t="s">
        <v>63</v>
      </c>
      <c r="AJ493" s="19" t="s">
        <v>3842</v>
      </c>
      <c r="AK493" s="19"/>
      <c r="AL493" s="19"/>
      <c r="AM493" s="19"/>
      <c r="AN493" s="19" t="s">
        <v>103</v>
      </c>
      <c r="AO493" s="23">
        <v>45895.628472222219</v>
      </c>
      <c r="AP493" s="26">
        <f t="shared" si="17"/>
        <v>15</v>
      </c>
    </row>
    <row r="494" spans="1:42" ht="25.5" hidden="1" customHeight="1">
      <c r="A494" s="19" t="s">
        <v>42</v>
      </c>
      <c r="B494" s="19" t="s">
        <v>3843</v>
      </c>
      <c r="C494" s="19" t="s">
        <v>336</v>
      </c>
      <c r="D494" s="19" t="s">
        <v>45</v>
      </c>
      <c r="E494" s="19" t="s">
        <v>46</v>
      </c>
      <c r="F494" s="19" t="s">
        <v>3844</v>
      </c>
      <c r="G494" s="19" t="s">
        <v>48</v>
      </c>
      <c r="H494" s="19" t="s">
        <v>49</v>
      </c>
      <c r="I494" s="20">
        <v>45896.05</v>
      </c>
      <c r="K494" s="19"/>
      <c r="L494" s="20">
        <v>45896.086111111108</v>
      </c>
      <c r="M494" s="19"/>
      <c r="N494" s="22">
        <f t="shared" si="16"/>
        <v>3.6111111105128657E-2</v>
      </c>
      <c r="O494" s="19" t="s">
        <v>50</v>
      </c>
      <c r="P494" s="19" t="s">
        <v>3845</v>
      </c>
      <c r="Q494" s="19" t="s">
        <v>3846</v>
      </c>
      <c r="R494" s="19"/>
      <c r="S494" s="19"/>
      <c r="U494" s="19"/>
      <c r="W494" s="19"/>
      <c r="X494" s="19" t="s">
        <v>314</v>
      </c>
      <c r="Y494" s="27" t="s">
        <v>54</v>
      </c>
      <c r="Z494" s="27" t="s">
        <v>784</v>
      </c>
      <c r="AA494" s="27" t="s">
        <v>3847</v>
      </c>
      <c r="AB494" s="27" t="s">
        <v>3848</v>
      </c>
      <c r="AC494" s="37">
        <v>45896.049641203703</v>
      </c>
      <c r="AD494" s="38">
        <v>45896.066307870373</v>
      </c>
      <c r="AE494" s="36">
        <v>45871</v>
      </c>
      <c r="AF494" s="19" t="s">
        <v>99</v>
      </c>
      <c r="AG494" s="19" t="s">
        <v>139</v>
      </c>
      <c r="AH494" s="19" t="s">
        <v>62</v>
      </c>
      <c r="AI494" s="19" t="s">
        <v>63</v>
      </c>
      <c r="AJ494" s="19" t="s">
        <v>3849</v>
      </c>
      <c r="AK494" s="19" t="s">
        <v>3850</v>
      </c>
      <c r="AL494" s="19"/>
      <c r="AM494" s="19"/>
      <c r="AN494" s="19" t="s">
        <v>65</v>
      </c>
      <c r="AO494" s="23">
        <v>45896.05</v>
      </c>
      <c r="AP494" s="26">
        <f t="shared" si="17"/>
        <v>52</v>
      </c>
    </row>
    <row r="495" spans="1:42" ht="25.5" hidden="1" customHeight="1">
      <c r="A495" s="19" t="s">
        <v>116</v>
      </c>
      <c r="B495" s="19" t="s">
        <v>410</v>
      </c>
      <c r="C495" s="19" t="s">
        <v>105</v>
      </c>
      <c r="D495" s="19" t="s">
        <v>45</v>
      </c>
      <c r="E495" s="19" t="s">
        <v>46</v>
      </c>
      <c r="F495" s="19" t="s">
        <v>3851</v>
      </c>
      <c r="G495" s="19" t="s">
        <v>48</v>
      </c>
      <c r="H495" s="19" t="s">
        <v>49</v>
      </c>
      <c r="I495" s="20">
        <v>45896.379166666673</v>
      </c>
      <c r="K495" s="19"/>
      <c r="L495" s="20">
        <v>45896.429166666669</v>
      </c>
      <c r="M495" s="19"/>
      <c r="N495" s="22">
        <f t="shared" si="16"/>
        <v>4.9999999995634425E-2</v>
      </c>
      <c r="O495" s="19" t="s">
        <v>50</v>
      </c>
      <c r="P495" s="19" t="s">
        <v>3852</v>
      </c>
      <c r="Q495" s="19" t="s">
        <v>3853</v>
      </c>
      <c r="R495" s="19"/>
      <c r="S495" s="19"/>
      <c r="U495" s="19"/>
      <c r="W495" s="19"/>
      <c r="X495" s="19" t="s">
        <v>109</v>
      </c>
      <c r="Y495" s="27" t="s">
        <v>147</v>
      </c>
      <c r="Z495" s="27" t="s">
        <v>78</v>
      </c>
      <c r="AA495" s="27" t="s">
        <v>78</v>
      </c>
      <c r="AB495" s="27" t="s">
        <v>78</v>
      </c>
      <c r="AC495" s="37" t="s">
        <v>78</v>
      </c>
      <c r="AD495" s="38" t="s">
        <v>78</v>
      </c>
      <c r="AE495" s="36">
        <v>45871</v>
      </c>
      <c r="AF495" s="19" t="s">
        <v>99</v>
      </c>
      <c r="AG495" s="19" t="s">
        <v>971</v>
      </c>
      <c r="AH495" s="19" t="s">
        <v>62</v>
      </c>
      <c r="AI495" s="19" t="s">
        <v>63</v>
      </c>
      <c r="AJ495" s="19" t="s">
        <v>3854</v>
      </c>
      <c r="AK495" s="19" t="s">
        <v>3855</v>
      </c>
      <c r="AL495" s="19"/>
      <c r="AM495" s="19"/>
      <c r="AN495" s="19" t="s">
        <v>103</v>
      </c>
      <c r="AO495" s="23">
        <v>45896.379166666673</v>
      </c>
      <c r="AP495" s="26">
        <f t="shared" si="17"/>
        <v>72</v>
      </c>
    </row>
    <row r="496" spans="1:42" ht="25.5" hidden="1" customHeight="1">
      <c r="A496" s="19" t="s">
        <v>42</v>
      </c>
      <c r="B496" s="19" t="s">
        <v>599</v>
      </c>
      <c r="C496" s="19" t="s">
        <v>1206</v>
      </c>
      <c r="D496" s="19" t="s">
        <v>45</v>
      </c>
      <c r="E496" s="19" t="s">
        <v>356</v>
      </c>
      <c r="F496" s="19" t="s">
        <v>3856</v>
      </c>
      <c r="G496" s="19" t="s">
        <v>48</v>
      </c>
      <c r="H496" s="19" t="s">
        <v>49</v>
      </c>
      <c r="I496" s="20">
        <v>45897.416666666657</v>
      </c>
      <c r="K496" s="19"/>
      <c r="L496" s="20">
        <v>45897.604166666657</v>
      </c>
      <c r="M496" s="19"/>
      <c r="N496" s="22">
        <f t="shared" si="16"/>
        <v>0.1875</v>
      </c>
      <c r="O496" s="19" t="s">
        <v>63</v>
      </c>
      <c r="P496" s="19" t="s">
        <v>3857</v>
      </c>
      <c r="Q496" s="19" t="s">
        <v>3858</v>
      </c>
      <c r="R496" s="19"/>
      <c r="S496" s="19"/>
      <c r="U496" s="19"/>
      <c r="W496" s="19"/>
      <c r="X496" s="19" t="s">
        <v>122</v>
      </c>
      <c r="Y496" s="27" t="s">
        <v>147</v>
      </c>
      <c r="Z496" s="27" t="s">
        <v>78</v>
      </c>
      <c r="AA496" s="27" t="s">
        <v>78</v>
      </c>
      <c r="AB496" s="27" t="s">
        <v>78</v>
      </c>
      <c r="AC496" s="37" t="s">
        <v>78</v>
      </c>
      <c r="AD496" s="38" t="s">
        <v>78</v>
      </c>
      <c r="AE496" s="36">
        <v>45871</v>
      </c>
      <c r="AF496" s="19" t="s">
        <v>89</v>
      </c>
      <c r="AG496" s="19" t="s">
        <v>90</v>
      </c>
      <c r="AH496" s="19" t="s">
        <v>62</v>
      </c>
      <c r="AI496" s="19" t="s">
        <v>63</v>
      </c>
      <c r="AJ496" s="19" t="s">
        <v>3859</v>
      </c>
      <c r="AK496" s="19"/>
      <c r="AL496" s="19"/>
      <c r="AM496" s="19"/>
      <c r="AN496" s="19" t="s">
        <v>65</v>
      </c>
      <c r="AO496" s="23">
        <v>45897.416666666657</v>
      </c>
      <c r="AP496" s="26">
        <f t="shared" si="17"/>
        <v>270</v>
      </c>
    </row>
    <row r="497" spans="1:42" ht="25.5" hidden="1" customHeight="1">
      <c r="A497" s="19" t="s">
        <v>42</v>
      </c>
      <c r="B497" s="19" t="s">
        <v>43</v>
      </c>
      <c r="C497" s="19" t="s">
        <v>129</v>
      </c>
      <c r="D497" s="19" t="s">
        <v>45</v>
      </c>
      <c r="E497" s="19" t="s">
        <v>46</v>
      </c>
      <c r="F497" s="19" t="s">
        <v>3860</v>
      </c>
      <c r="G497" s="19" t="s">
        <v>48</v>
      </c>
      <c r="H497" s="19" t="s">
        <v>49</v>
      </c>
      <c r="I497" s="20">
        <v>45897.42291666667</v>
      </c>
      <c r="K497" s="19"/>
      <c r="L497" s="20">
        <v>45897.445833333331</v>
      </c>
      <c r="M497" s="19"/>
      <c r="N497" s="22">
        <f t="shared" si="16"/>
        <v>2.2916666661330964E-2</v>
      </c>
      <c r="O497" s="19" t="s">
        <v>50</v>
      </c>
      <c r="P497" s="19" t="s">
        <v>2439</v>
      </c>
      <c r="Q497" s="19" t="s">
        <v>3861</v>
      </c>
      <c r="R497" s="19"/>
      <c r="S497" s="19"/>
      <c r="U497" s="19"/>
      <c r="W497" s="19"/>
      <c r="X497" s="19" t="s">
        <v>109</v>
      </c>
      <c r="Y497" s="27" t="s">
        <v>54</v>
      </c>
      <c r="Z497" s="27" t="s">
        <v>414</v>
      </c>
      <c r="AA497" s="27" t="s">
        <v>3862</v>
      </c>
      <c r="AB497" s="27" t="s">
        <v>3863</v>
      </c>
      <c r="AC497" s="37">
        <v>45897.42083333333</v>
      </c>
      <c r="AD497" s="38">
        <v>45897.46597222222</v>
      </c>
      <c r="AE497" s="36">
        <v>45871</v>
      </c>
      <c r="AF497" s="19" t="s">
        <v>99</v>
      </c>
      <c r="AG497" s="19" t="s">
        <v>139</v>
      </c>
      <c r="AH497" s="19" t="s">
        <v>62</v>
      </c>
      <c r="AI497" s="19" t="s">
        <v>63</v>
      </c>
      <c r="AJ497" s="19" t="s">
        <v>3864</v>
      </c>
      <c r="AK497" s="19" t="s">
        <v>3865</v>
      </c>
      <c r="AL497" s="19"/>
      <c r="AM497" s="19"/>
      <c r="AN497" s="19" t="s">
        <v>65</v>
      </c>
      <c r="AO497" s="23">
        <v>45897.42291666667</v>
      </c>
      <c r="AP497" s="26">
        <f t="shared" si="17"/>
        <v>33</v>
      </c>
    </row>
    <row r="498" spans="1:42" ht="25.5" hidden="1" customHeight="1">
      <c r="A498" s="19" t="s">
        <v>42</v>
      </c>
      <c r="B498" s="19" t="s">
        <v>43</v>
      </c>
      <c r="C498" s="19" t="s">
        <v>129</v>
      </c>
      <c r="D498" s="19" t="s">
        <v>45</v>
      </c>
      <c r="E498" s="19" t="s">
        <v>46</v>
      </c>
      <c r="F498" s="19" t="s">
        <v>3866</v>
      </c>
      <c r="G498" s="19" t="s">
        <v>48</v>
      </c>
      <c r="H498" s="19" t="s">
        <v>49</v>
      </c>
      <c r="I498" s="20">
        <v>45897.4375</v>
      </c>
      <c r="K498" s="19"/>
      <c r="L498" s="20">
        <v>45897.451388888891</v>
      </c>
      <c r="M498" s="19"/>
      <c r="N498" s="22">
        <f t="shared" si="16"/>
        <v>1.3888888890505768E-2</v>
      </c>
      <c r="O498" s="19" t="s">
        <v>50</v>
      </c>
      <c r="P498" s="19" t="s">
        <v>3756</v>
      </c>
      <c r="Q498" s="19" t="s">
        <v>3867</v>
      </c>
      <c r="R498" s="19"/>
      <c r="S498" s="19"/>
      <c r="U498" s="19"/>
      <c r="W498" s="19"/>
      <c r="X498" s="19" t="s">
        <v>109</v>
      </c>
      <c r="Y498" s="27" t="s">
        <v>54</v>
      </c>
      <c r="Z498" s="27" t="s">
        <v>414</v>
      </c>
      <c r="AA498" s="27" t="s">
        <v>3868</v>
      </c>
      <c r="AB498" s="27" t="s">
        <v>3869</v>
      </c>
      <c r="AC498" s="37">
        <v>45897.439583333333</v>
      </c>
      <c r="AD498" s="38">
        <v>45897.460416666669</v>
      </c>
      <c r="AE498" s="36">
        <v>45871</v>
      </c>
      <c r="AF498" s="19" t="s">
        <v>60</v>
      </c>
      <c r="AG498" s="19" t="s">
        <v>61</v>
      </c>
      <c r="AH498" s="19" t="s">
        <v>62</v>
      </c>
      <c r="AI498" s="19" t="s">
        <v>63</v>
      </c>
      <c r="AJ498" s="19" t="s">
        <v>3870</v>
      </c>
      <c r="AK498" s="19"/>
      <c r="AL498" s="19"/>
      <c r="AM498" s="19"/>
      <c r="AN498" s="19" t="s">
        <v>103</v>
      </c>
      <c r="AO498" s="23">
        <v>45897.4375</v>
      </c>
      <c r="AP498" s="26">
        <f t="shared" si="17"/>
        <v>20</v>
      </c>
    </row>
    <row r="499" spans="1:42" ht="25.5" customHeight="1">
      <c r="A499" s="19" t="s">
        <v>42</v>
      </c>
      <c r="C499" s="19" t="s">
        <v>3871</v>
      </c>
      <c r="D499" s="19" t="s">
        <v>45</v>
      </c>
      <c r="E499" s="19" t="s">
        <v>46</v>
      </c>
      <c r="F499" s="19" t="s">
        <v>3872</v>
      </c>
      <c r="G499" s="19" t="s">
        <v>48</v>
      </c>
      <c r="H499" s="19" t="s">
        <v>144</v>
      </c>
      <c r="I499" s="20">
        <v>45897.520833333343</v>
      </c>
      <c r="K499" s="19">
        <v>45897.5625</v>
      </c>
      <c r="L499" s="20">
        <v>45897.677777777782</v>
      </c>
      <c r="M499" s="19"/>
      <c r="N499" s="22">
        <f t="shared" si="16"/>
        <v>0.15694444443943212</v>
      </c>
      <c r="O499" s="19" t="s">
        <v>63</v>
      </c>
      <c r="P499" s="19" t="s">
        <v>3873</v>
      </c>
      <c r="Q499" s="19" t="s">
        <v>3874</v>
      </c>
      <c r="R499" s="19"/>
      <c r="S499" s="19"/>
      <c r="U499" s="19"/>
      <c r="W499" s="19"/>
      <c r="X499" s="19" t="s">
        <v>72</v>
      </c>
      <c r="Y499" s="27" t="s">
        <v>147</v>
      </c>
      <c r="Z499" s="27" t="s">
        <v>78</v>
      </c>
      <c r="AA499" s="27" t="s">
        <v>78</v>
      </c>
      <c r="AB499" s="27" t="s">
        <v>78</v>
      </c>
      <c r="AC499" s="37" t="s">
        <v>78</v>
      </c>
      <c r="AD499" s="38" t="s">
        <v>78</v>
      </c>
      <c r="AE499" s="36">
        <v>45871</v>
      </c>
      <c r="AF499" s="19" t="s">
        <v>89</v>
      </c>
      <c r="AG499" s="19" t="s">
        <v>90</v>
      </c>
      <c r="AH499" s="19" t="s">
        <v>62</v>
      </c>
      <c r="AI499" s="19" t="s">
        <v>63</v>
      </c>
      <c r="AJ499" s="19" t="s">
        <v>3875</v>
      </c>
      <c r="AK499" s="19"/>
      <c r="AL499" s="19"/>
      <c r="AM499" s="19"/>
      <c r="AN499" s="19" t="s">
        <v>65</v>
      </c>
      <c r="AO499" s="23">
        <v>45897.520833333343</v>
      </c>
      <c r="AP499" s="26">
        <f t="shared" si="17"/>
        <v>226</v>
      </c>
    </row>
    <row r="500" spans="1:42" ht="25.5" hidden="1" customHeight="1">
      <c r="A500" s="19" t="s">
        <v>285</v>
      </c>
      <c r="B500" s="19" t="s">
        <v>1145</v>
      </c>
      <c r="C500" s="19" t="s">
        <v>1146</v>
      </c>
      <c r="D500" s="19" t="s">
        <v>45</v>
      </c>
      <c r="E500" s="19" t="s">
        <v>46</v>
      </c>
      <c r="F500" s="19" t="s">
        <v>3876</v>
      </c>
      <c r="G500" s="19" t="s">
        <v>48</v>
      </c>
      <c r="H500" s="19" t="s">
        <v>49</v>
      </c>
      <c r="I500" s="20">
        <v>45897.635416666657</v>
      </c>
      <c r="K500" s="19"/>
      <c r="L500" s="20">
        <v>45897.684027777781</v>
      </c>
      <c r="M500" s="19"/>
      <c r="N500" s="22">
        <f t="shared" si="16"/>
        <v>4.8611111124046147E-2</v>
      </c>
      <c r="O500" s="19" t="s">
        <v>50</v>
      </c>
      <c r="P500" s="19" t="s">
        <v>3877</v>
      </c>
      <c r="Q500" s="19" t="s">
        <v>3878</v>
      </c>
      <c r="R500" s="19"/>
      <c r="S500" s="19"/>
      <c r="U500" s="19"/>
      <c r="W500" s="19"/>
      <c r="X500" s="19" t="s">
        <v>122</v>
      </c>
      <c r="Y500" s="27" t="s">
        <v>147</v>
      </c>
      <c r="Z500" s="27" t="s">
        <v>78</v>
      </c>
      <c r="AA500" s="27" t="s">
        <v>78</v>
      </c>
      <c r="AB500" s="27" t="s">
        <v>78</v>
      </c>
      <c r="AC500" s="37" t="s">
        <v>78</v>
      </c>
      <c r="AD500" s="38" t="s">
        <v>78</v>
      </c>
      <c r="AE500" s="36">
        <v>45871</v>
      </c>
      <c r="AF500" s="19" t="s">
        <v>89</v>
      </c>
      <c r="AG500" s="19" t="s">
        <v>90</v>
      </c>
      <c r="AH500" s="19" t="s">
        <v>62</v>
      </c>
      <c r="AI500" s="19" t="s">
        <v>63</v>
      </c>
      <c r="AJ500" s="19" t="s">
        <v>3879</v>
      </c>
      <c r="AK500" s="19"/>
      <c r="AL500" s="19"/>
      <c r="AM500" s="19"/>
      <c r="AN500" s="19" t="s">
        <v>65</v>
      </c>
      <c r="AO500" s="23">
        <v>45897.65</v>
      </c>
      <c r="AP500" s="26">
        <f t="shared" si="17"/>
        <v>70</v>
      </c>
    </row>
    <row r="501" spans="1:42" ht="25.5" hidden="1" customHeight="1">
      <c r="A501" s="19" t="s">
        <v>285</v>
      </c>
      <c r="B501" s="19" t="s">
        <v>3880</v>
      </c>
      <c r="C501" s="19" t="s">
        <v>3881</v>
      </c>
      <c r="D501" s="19" t="s">
        <v>45</v>
      </c>
      <c r="E501" s="19" t="s">
        <v>46</v>
      </c>
      <c r="F501" s="19" t="s">
        <v>3882</v>
      </c>
      <c r="G501" s="19" t="s">
        <v>48</v>
      </c>
      <c r="H501" s="19" t="s">
        <v>49</v>
      </c>
      <c r="I501" s="20">
        <v>45897.991666666669</v>
      </c>
      <c r="K501" s="19"/>
      <c r="L501" s="20">
        <v>45898.029166666667</v>
      </c>
      <c r="M501" s="19"/>
      <c r="N501" s="22">
        <f t="shared" si="16"/>
        <v>3.7499999998544808E-2</v>
      </c>
      <c r="O501" s="19" t="s">
        <v>50</v>
      </c>
      <c r="P501" s="19" t="s">
        <v>3883</v>
      </c>
      <c r="Q501" s="19" t="s">
        <v>3884</v>
      </c>
      <c r="R501" s="19"/>
      <c r="S501" s="19"/>
      <c r="U501" s="19"/>
      <c r="W501" s="19"/>
      <c r="X501" s="19" t="s">
        <v>3885</v>
      </c>
      <c r="Y501" s="27" t="s">
        <v>133</v>
      </c>
      <c r="Z501" s="27" t="s">
        <v>3886</v>
      </c>
      <c r="AA501" s="27" t="s">
        <v>3887</v>
      </c>
      <c r="AB501" s="27" t="s">
        <v>3888</v>
      </c>
      <c r="AC501" s="37" t="s">
        <v>3889</v>
      </c>
      <c r="AD501" s="38" t="s">
        <v>3890</v>
      </c>
      <c r="AE501" s="36">
        <v>45871</v>
      </c>
      <c r="AF501" s="19" t="s">
        <v>89</v>
      </c>
      <c r="AG501" s="19" t="s">
        <v>90</v>
      </c>
      <c r="AH501" s="19" t="s">
        <v>62</v>
      </c>
      <c r="AI501" s="19" t="s">
        <v>63</v>
      </c>
      <c r="AJ501" s="19" t="s">
        <v>3891</v>
      </c>
      <c r="AK501" s="19"/>
      <c r="AL501" s="19"/>
      <c r="AM501" s="19"/>
      <c r="AN501" s="19" t="s">
        <v>65</v>
      </c>
      <c r="AO501" s="23">
        <v>45897.991666666669</v>
      </c>
      <c r="AP501" s="26">
        <f t="shared" si="17"/>
        <v>54</v>
      </c>
    </row>
    <row r="502" spans="1:42" ht="25.5" hidden="1" customHeight="1">
      <c r="A502" s="19" t="s">
        <v>285</v>
      </c>
      <c r="B502" s="19" t="s">
        <v>3892</v>
      </c>
      <c r="C502" s="19" t="s">
        <v>3893</v>
      </c>
      <c r="D502" s="19" t="s">
        <v>45</v>
      </c>
      <c r="E502" s="19" t="s">
        <v>46</v>
      </c>
      <c r="F502" s="19" t="s">
        <v>3882</v>
      </c>
      <c r="G502" s="19" t="s">
        <v>226</v>
      </c>
      <c r="H502" s="19" t="s">
        <v>49</v>
      </c>
      <c r="I502" s="20">
        <v>45898.094444444447</v>
      </c>
      <c r="K502" s="19"/>
      <c r="L502" s="20">
        <v>45898.145833333343</v>
      </c>
      <c r="M502" s="19"/>
      <c r="N502" s="22">
        <f t="shared" si="16"/>
        <v>5.1388888896326534E-2</v>
      </c>
      <c r="O502" s="19" t="s">
        <v>50</v>
      </c>
      <c r="P502" s="19" t="s">
        <v>3894</v>
      </c>
      <c r="Q502" s="19" t="s">
        <v>3895</v>
      </c>
      <c r="R502" s="19"/>
      <c r="S502" s="19"/>
      <c r="U502" s="19"/>
      <c r="W502" s="19"/>
      <c r="X502" s="19" t="s">
        <v>1589</v>
      </c>
      <c r="Y502" s="27" t="s">
        <v>133</v>
      </c>
      <c r="Z502" s="27" t="s">
        <v>462</v>
      </c>
      <c r="AA502" s="27" t="s">
        <v>3896</v>
      </c>
      <c r="AB502" s="27" t="s">
        <v>3897</v>
      </c>
      <c r="AC502" s="37" t="s">
        <v>3898</v>
      </c>
      <c r="AD502" s="38" t="s">
        <v>3899</v>
      </c>
      <c r="AE502" s="36">
        <v>45871</v>
      </c>
      <c r="AF502" s="19" t="s">
        <v>89</v>
      </c>
      <c r="AG502" s="19" t="s">
        <v>90</v>
      </c>
      <c r="AH502" s="19" t="s">
        <v>62</v>
      </c>
      <c r="AI502" s="19" t="s">
        <v>50</v>
      </c>
      <c r="AJ502" s="19" t="s">
        <v>3900</v>
      </c>
      <c r="AK502" s="19"/>
      <c r="AL502" s="19"/>
      <c r="AM502" s="19"/>
      <c r="AN502" s="19" t="s">
        <v>128</v>
      </c>
      <c r="AO502" s="23">
        <v>45898.094444444447</v>
      </c>
      <c r="AP502" s="26">
        <f t="shared" si="17"/>
        <v>74</v>
      </c>
    </row>
    <row r="503" spans="1:42" ht="25.5" hidden="1" customHeight="1">
      <c r="A503" s="19" t="s">
        <v>285</v>
      </c>
      <c r="B503" s="19" t="s">
        <v>186</v>
      </c>
      <c r="C503" s="19" t="s">
        <v>577</v>
      </c>
      <c r="D503" s="19" t="s">
        <v>45</v>
      </c>
      <c r="E503" s="19" t="s">
        <v>46</v>
      </c>
      <c r="F503" s="19" t="s">
        <v>3901</v>
      </c>
      <c r="G503" s="19" t="s">
        <v>48</v>
      </c>
      <c r="H503" s="19" t="s">
        <v>49</v>
      </c>
      <c r="I503" s="20">
        <v>45898.245138888888</v>
      </c>
      <c r="K503" s="19"/>
      <c r="L503" s="20">
        <v>45898.290972222218</v>
      </c>
      <c r="M503" s="19"/>
      <c r="N503" s="22">
        <f t="shared" si="16"/>
        <v>4.5833333329937886E-2</v>
      </c>
      <c r="O503" s="19" t="s">
        <v>63</v>
      </c>
      <c r="P503" s="19" t="s">
        <v>2486</v>
      </c>
      <c r="Q503" s="19" t="s">
        <v>3902</v>
      </c>
      <c r="R503" s="19"/>
      <c r="S503" s="19"/>
      <c r="U503" s="19"/>
      <c r="W503" s="19"/>
      <c r="X503" s="19" t="s">
        <v>191</v>
      </c>
      <c r="Y503" s="27" t="s">
        <v>133</v>
      </c>
      <c r="Z503" s="27" t="s">
        <v>123</v>
      </c>
      <c r="AA503" s="27" t="s">
        <v>3903</v>
      </c>
      <c r="AB503" s="27" t="s">
        <v>3904</v>
      </c>
      <c r="AC503" s="37">
        <v>45898.186967592592</v>
      </c>
      <c r="AD503" s="38">
        <v>45898.252337962957</v>
      </c>
      <c r="AE503" s="36">
        <v>45871</v>
      </c>
      <c r="AF503" s="19" t="s">
        <v>89</v>
      </c>
      <c r="AG503" s="19" t="s">
        <v>90</v>
      </c>
      <c r="AH503" s="19" t="s">
        <v>62</v>
      </c>
      <c r="AI503" s="19" t="s">
        <v>63</v>
      </c>
      <c r="AJ503" s="19" t="s">
        <v>1094</v>
      </c>
      <c r="AK503" s="19"/>
      <c r="AL503" s="19"/>
      <c r="AM503" s="19"/>
      <c r="AN503" s="19" t="s">
        <v>65</v>
      </c>
      <c r="AO503" s="23">
        <v>45898.245138888888</v>
      </c>
      <c r="AP503" s="26">
        <f t="shared" si="17"/>
        <v>66</v>
      </c>
    </row>
    <row r="504" spans="1:42" ht="25.5" hidden="1" customHeight="1">
      <c r="A504" s="19" t="s">
        <v>285</v>
      </c>
      <c r="B504" s="19" t="s">
        <v>3809</v>
      </c>
      <c r="C504" s="19" t="s">
        <v>3905</v>
      </c>
      <c r="D504" s="19" t="s">
        <v>45</v>
      </c>
      <c r="E504" s="19" t="s">
        <v>46</v>
      </c>
      <c r="F504" s="19" t="s">
        <v>3882</v>
      </c>
      <c r="G504" s="19" t="s">
        <v>226</v>
      </c>
      <c r="H504" s="19" t="s">
        <v>49</v>
      </c>
      <c r="I504" s="20">
        <v>45898.750694444447</v>
      </c>
      <c r="K504" s="19"/>
      <c r="L504" s="20">
        <v>45898.902777777781</v>
      </c>
      <c r="M504" s="19"/>
      <c r="N504" s="22">
        <f t="shared" si="16"/>
        <v>0.15208333333430346</v>
      </c>
      <c r="O504" s="19" t="s">
        <v>63</v>
      </c>
      <c r="P504" s="19" t="s">
        <v>3906</v>
      </c>
      <c r="Q504" s="19" t="s">
        <v>3907</v>
      </c>
      <c r="R504" s="19"/>
      <c r="S504" s="19"/>
      <c r="U504" s="19"/>
      <c r="W504" s="19"/>
      <c r="X504" s="19" t="s">
        <v>475</v>
      </c>
      <c r="Y504" s="27" t="s">
        <v>147</v>
      </c>
      <c r="Z504" s="27" t="s">
        <v>78</v>
      </c>
      <c r="AA504" s="27" t="s">
        <v>78</v>
      </c>
      <c r="AB504" s="27" t="s">
        <v>78</v>
      </c>
      <c r="AC504" s="37" t="s">
        <v>78</v>
      </c>
      <c r="AD504" s="38" t="s">
        <v>78</v>
      </c>
      <c r="AE504" s="36">
        <v>45871</v>
      </c>
      <c r="AF504" s="19" t="s">
        <v>89</v>
      </c>
      <c r="AG504" s="19" t="s">
        <v>90</v>
      </c>
      <c r="AH504" s="19" t="s">
        <v>62</v>
      </c>
      <c r="AI504" s="19" t="s">
        <v>63</v>
      </c>
      <c r="AJ504" s="19" t="s">
        <v>3908</v>
      </c>
      <c r="AK504" s="19"/>
      <c r="AL504" s="19"/>
      <c r="AM504" s="19"/>
      <c r="AN504" s="19" t="s">
        <v>65</v>
      </c>
      <c r="AO504" s="23">
        <v>45898.750694444447</v>
      </c>
      <c r="AP504" s="26">
        <f t="shared" si="17"/>
        <v>219</v>
      </c>
    </row>
    <row r="505" spans="1:42" ht="25.5" hidden="1" customHeight="1">
      <c r="A505" s="19" t="s">
        <v>285</v>
      </c>
      <c r="B505" s="19" t="s">
        <v>3909</v>
      </c>
      <c r="C505" s="19" t="s">
        <v>2567</v>
      </c>
      <c r="D505" s="19" t="s">
        <v>45</v>
      </c>
      <c r="E505" s="19" t="s">
        <v>46</v>
      </c>
      <c r="F505" s="19" t="s">
        <v>3910</v>
      </c>
      <c r="G505" s="19" t="s">
        <v>48</v>
      </c>
      <c r="H505" s="19" t="s">
        <v>49</v>
      </c>
      <c r="I505" s="20">
        <v>45899.270833333343</v>
      </c>
      <c r="K505" s="19"/>
      <c r="L505" s="20">
        <v>45899.322916666657</v>
      </c>
      <c r="M505" s="19"/>
      <c r="N505" s="22">
        <f t="shared" si="16"/>
        <v>5.208333331393078E-2</v>
      </c>
      <c r="O505" s="19" t="s">
        <v>50</v>
      </c>
      <c r="P505" s="19" t="s">
        <v>3911</v>
      </c>
      <c r="Q505" s="19" t="s">
        <v>3912</v>
      </c>
      <c r="R505" s="19"/>
      <c r="S505" s="19"/>
      <c r="U505" s="19"/>
      <c r="W505" s="19"/>
      <c r="X505" s="19" t="s">
        <v>662</v>
      </c>
      <c r="Y505" s="27" t="s">
        <v>133</v>
      </c>
      <c r="Z505" s="27" t="s">
        <v>1852</v>
      </c>
      <c r="AA505" s="27" t="s">
        <v>3913</v>
      </c>
      <c r="AB505" s="27" t="s">
        <v>3914</v>
      </c>
      <c r="AC505" s="37" t="s">
        <v>3915</v>
      </c>
      <c r="AD505" s="38" t="s">
        <v>3916</v>
      </c>
      <c r="AE505" s="36">
        <v>45871</v>
      </c>
      <c r="AF505" s="19" t="s">
        <v>89</v>
      </c>
      <c r="AG505" s="19" t="s">
        <v>90</v>
      </c>
      <c r="AH505" s="19" t="s">
        <v>62</v>
      </c>
      <c r="AI505" s="19" t="s">
        <v>63</v>
      </c>
      <c r="AJ505" s="19" t="s">
        <v>3917</v>
      </c>
      <c r="AK505" s="19"/>
      <c r="AL505" s="19"/>
      <c r="AM505" s="19"/>
      <c r="AN505" s="19" t="s">
        <v>103</v>
      </c>
      <c r="AO505" s="23">
        <v>45899.3125</v>
      </c>
      <c r="AP505" s="26">
        <f t="shared" si="17"/>
        <v>75</v>
      </c>
    </row>
    <row r="506" spans="1:42" ht="25.5" hidden="1" customHeight="1">
      <c r="A506" s="19" t="s">
        <v>42</v>
      </c>
      <c r="B506" s="19" t="s">
        <v>3327</v>
      </c>
      <c r="C506" s="19" t="s">
        <v>868</v>
      </c>
      <c r="D506" s="19" t="s">
        <v>45</v>
      </c>
      <c r="E506" s="19" t="s">
        <v>46</v>
      </c>
      <c r="F506" s="19" t="s">
        <v>3918</v>
      </c>
      <c r="G506" s="19" t="s">
        <v>48</v>
      </c>
      <c r="H506" s="19" t="s">
        <v>49</v>
      </c>
      <c r="I506" s="20">
        <v>45899.445138888892</v>
      </c>
      <c r="K506" s="19"/>
      <c r="L506" s="20">
        <v>45899.576388888891</v>
      </c>
      <c r="M506" s="19"/>
      <c r="N506" s="22">
        <f t="shared" si="16"/>
        <v>0.13124999999854481</v>
      </c>
      <c r="O506" s="19" t="s">
        <v>63</v>
      </c>
      <c r="P506" s="19" t="s">
        <v>3919</v>
      </c>
      <c r="Q506" s="19" t="s">
        <v>3920</v>
      </c>
      <c r="R506" s="19"/>
      <c r="S506" s="19"/>
      <c r="U506" s="19"/>
      <c r="W506" s="19"/>
      <c r="X506" s="19" t="s">
        <v>746</v>
      </c>
      <c r="Y506" s="27" t="s">
        <v>54</v>
      </c>
      <c r="Z506" s="27" t="s">
        <v>414</v>
      </c>
      <c r="AA506" s="27" t="s">
        <v>3921</v>
      </c>
      <c r="AB506" s="27" t="s">
        <v>3922</v>
      </c>
      <c r="AC506" s="37">
        <v>45899.415972222218</v>
      </c>
      <c r="AD506" s="38">
        <v>45899.429861111108</v>
      </c>
      <c r="AE506" s="36">
        <v>45871</v>
      </c>
      <c r="AF506" s="19" t="s">
        <v>89</v>
      </c>
      <c r="AG506" s="19" t="s">
        <v>90</v>
      </c>
      <c r="AH506" s="19" t="s">
        <v>62</v>
      </c>
      <c r="AI506" s="19" t="s">
        <v>63</v>
      </c>
      <c r="AJ506" s="19" t="s">
        <v>3923</v>
      </c>
      <c r="AK506" s="19"/>
      <c r="AL506" s="19"/>
      <c r="AM506" s="19"/>
      <c r="AN506" s="19" t="s">
        <v>103</v>
      </c>
      <c r="AO506" s="23">
        <v>45899.445138888892</v>
      </c>
      <c r="AP506" s="26">
        <f t="shared" si="17"/>
        <v>189</v>
      </c>
    </row>
    <row r="507" spans="1:42" ht="25.5" hidden="1" customHeight="1">
      <c r="A507" s="19" t="s">
        <v>42</v>
      </c>
      <c r="B507" s="19" t="s">
        <v>470</v>
      </c>
      <c r="C507" s="19" t="s">
        <v>471</v>
      </c>
      <c r="D507" s="19" t="s">
        <v>45</v>
      </c>
      <c r="E507" s="19" t="s">
        <v>967</v>
      </c>
      <c r="F507" s="19" t="s">
        <v>3924</v>
      </c>
      <c r="G507" s="19" t="s">
        <v>48</v>
      </c>
      <c r="H507" s="19" t="s">
        <v>49</v>
      </c>
      <c r="I507" s="20">
        <v>45899.69027777778</v>
      </c>
      <c r="K507" s="19"/>
      <c r="L507" s="20">
        <v>45899.695833333331</v>
      </c>
      <c r="M507" s="19"/>
      <c r="N507" s="22">
        <f t="shared" si="16"/>
        <v>5.5555555518367328E-3</v>
      </c>
      <c r="O507" s="19" t="s">
        <v>50</v>
      </c>
      <c r="P507" s="19" t="s">
        <v>3925</v>
      </c>
      <c r="Q507" s="19" t="s">
        <v>3926</v>
      </c>
      <c r="R507" s="19"/>
      <c r="S507" s="19"/>
      <c r="U507" s="19"/>
      <c r="W507" s="19"/>
      <c r="X507" s="19" t="s">
        <v>475</v>
      </c>
      <c r="Y507" s="27" t="s">
        <v>54</v>
      </c>
      <c r="Z507" s="27" t="s">
        <v>209</v>
      </c>
      <c r="AA507" s="27" t="s">
        <v>3927</v>
      </c>
      <c r="AB507" s="27" t="s">
        <v>3928</v>
      </c>
      <c r="AC507" s="37">
        <v>45899.679861111108</v>
      </c>
      <c r="AD507" s="38">
        <v>45899.69027777778</v>
      </c>
      <c r="AE507" s="36">
        <v>45871</v>
      </c>
      <c r="AF507" s="19" t="s">
        <v>89</v>
      </c>
      <c r="AG507" s="19" t="s">
        <v>90</v>
      </c>
      <c r="AH507" s="19" t="s">
        <v>62</v>
      </c>
      <c r="AI507" s="19" t="s">
        <v>63</v>
      </c>
      <c r="AJ507" s="19" t="s">
        <v>3929</v>
      </c>
      <c r="AK507" s="19"/>
      <c r="AL507" s="19"/>
      <c r="AM507" s="19"/>
      <c r="AN507" s="19" t="s">
        <v>128</v>
      </c>
      <c r="AO507" s="23">
        <v>45899.69027777778</v>
      </c>
      <c r="AP507" s="26">
        <f t="shared" si="17"/>
        <v>8</v>
      </c>
    </row>
    <row r="508" spans="1:42" ht="25.5" hidden="1" customHeight="1">
      <c r="A508" s="19" t="s">
        <v>42</v>
      </c>
      <c r="B508" s="19" t="s">
        <v>3930</v>
      </c>
      <c r="C508" s="19" t="s">
        <v>3931</v>
      </c>
      <c r="D508" s="19" t="s">
        <v>45</v>
      </c>
      <c r="E508" s="19" t="s">
        <v>46</v>
      </c>
      <c r="F508" s="19" t="s">
        <v>3932</v>
      </c>
      <c r="G508" s="19" t="s">
        <v>48</v>
      </c>
      <c r="H508" s="19" t="s">
        <v>49</v>
      </c>
      <c r="I508" s="20">
        <v>45900.163194444453</v>
      </c>
      <c r="K508" s="19"/>
      <c r="L508" s="20">
        <v>45900.267361111109</v>
      </c>
      <c r="M508" s="19"/>
      <c r="N508" s="22">
        <f t="shared" si="16"/>
        <v>0.10416666665696539</v>
      </c>
      <c r="O508" s="19" t="s">
        <v>50</v>
      </c>
      <c r="P508" s="19" t="s">
        <v>3933</v>
      </c>
      <c r="Q508" s="19" t="s">
        <v>3934</v>
      </c>
      <c r="R508" s="19" t="s">
        <v>3935</v>
      </c>
      <c r="S508" s="19" t="s">
        <v>3936</v>
      </c>
      <c r="T508" s="20">
        <v>45900.462824074071</v>
      </c>
      <c r="U508" s="19">
        <v>45903.70208333333</v>
      </c>
      <c r="V508" s="19" t="s">
        <v>157</v>
      </c>
      <c r="W508" s="19"/>
      <c r="X508" s="19" t="s">
        <v>3937</v>
      </c>
      <c r="Y508" s="27" t="s">
        <v>133</v>
      </c>
      <c r="Z508" s="27" t="s">
        <v>3938</v>
      </c>
      <c r="AA508" s="27" t="s">
        <v>3939</v>
      </c>
      <c r="AB508" s="27" t="s">
        <v>3940</v>
      </c>
      <c r="AC508" s="37" t="s">
        <v>3941</v>
      </c>
      <c r="AD508" s="38" t="s">
        <v>3942</v>
      </c>
      <c r="AE508" s="36">
        <v>45871</v>
      </c>
      <c r="AF508" s="19" t="s">
        <v>89</v>
      </c>
      <c r="AG508" s="19" t="s">
        <v>90</v>
      </c>
      <c r="AH508" s="19" t="s">
        <v>62</v>
      </c>
      <c r="AI508" s="19" t="s">
        <v>63</v>
      </c>
      <c r="AJ508" s="19" t="s">
        <v>3943</v>
      </c>
      <c r="AK508" s="19"/>
      <c r="AL508" s="19"/>
      <c r="AM508" s="19"/>
      <c r="AN508" s="19" t="s">
        <v>103</v>
      </c>
      <c r="AO508" s="23">
        <v>45900.163194444453</v>
      </c>
      <c r="AP508" s="26">
        <f t="shared" si="17"/>
        <v>150</v>
      </c>
    </row>
    <row r="509" spans="1:42" ht="25.5" hidden="1" customHeight="1">
      <c r="A509" s="19" t="s">
        <v>116</v>
      </c>
      <c r="B509" s="19" t="s">
        <v>3944</v>
      </c>
      <c r="C509" s="19" t="s">
        <v>3945</v>
      </c>
      <c r="D509" s="19" t="s">
        <v>45</v>
      </c>
      <c r="E509" s="19" t="s">
        <v>46</v>
      </c>
      <c r="F509" s="19" t="s">
        <v>3946</v>
      </c>
      <c r="G509" s="19" t="s">
        <v>48</v>
      </c>
      <c r="H509" s="19" t="s">
        <v>49</v>
      </c>
      <c r="I509" s="20">
        <v>45900.352083333331</v>
      </c>
      <c r="K509" s="19"/>
      <c r="L509" s="20">
        <v>45900.359027777777</v>
      </c>
      <c r="M509" s="19"/>
      <c r="N509" s="22">
        <f t="shared" si="16"/>
        <v>6.9444444452528842E-3</v>
      </c>
      <c r="O509" s="19" t="s">
        <v>50</v>
      </c>
      <c r="P509" s="19" t="s">
        <v>3947</v>
      </c>
      <c r="Q509" s="19" t="s">
        <v>3948</v>
      </c>
      <c r="R509" s="19"/>
      <c r="S509" s="19"/>
      <c r="U509" s="19"/>
      <c r="W509" s="19"/>
      <c r="X509" s="19" t="s">
        <v>109</v>
      </c>
      <c r="Y509" s="27" t="s">
        <v>147</v>
      </c>
      <c r="Z509" s="27" t="s">
        <v>78</v>
      </c>
      <c r="AA509" s="27" t="s">
        <v>78</v>
      </c>
      <c r="AB509" s="27" t="s">
        <v>78</v>
      </c>
      <c r="AC509" s="37" t="s">
        <v>78</v>
      </c>
      <c r="AD509" s="38" t="s">
        <v>78</v>
      </c>
      <c r="AE509" s="36">
        <v>45871</v>
      </c>
      <c r="AF509" s="19" t="s">
        <v>89</v>
      </c>
      <c r="AG509" s="19" t="s">
        <v>90</v>
      </c>
      <c r="AH509" s="19" t="s">
        <v>62</v>
      </c>
      <c r="AI509" s="19" t="s">
        <v>63</v>
      </c>
      <c r="AJ509" s="19" t="s">
        <v>3949</v>
      </c>
      <c r="AK509" s="19"/>
      <c r="AL509" s="19"/>
      <c r="AM509" s="19"/>
      <c r="AN509" s="19" t="s">
        <v>103</v>
      </c>
      <c r="AO509" s="23">
        <v>45900.352083333331</v>
      </c>
      <c r="AP509" s="26">
        <f t="shared" si="17"/>
        <v>10</v>
      </c>
    </row>
    <row r="510" spans="1:42" ht="25.5" hidden="1" customHeight="1">
      <c r="A510" s="19" t="s">
        <v>92</v>
      </c>
      <c r="B510" s="19" t="s">
        <v>202</v>
      </c>
      <c r="C510" s="19" t="s">
        <v>1021</v>
      </c>
      <c r="D510" s="19" t="s">
        <v>45</v>
      </c>
      <c r="E510" s="19" t="s">
        <v>46</v>
      </c>
      <c r="F510" s="19" t="s">
        <v>3950</v>
      </c>
      <c r="G510" s="19" t="s">
        <v>48</v>
      </c>
      <c r="H510" s="19" t="s">
        <v>49</v>
      </c>
      <c r="I510" s="20">
        <v>45901.289583333331</v>
      </c>
      <c r="K510" s="19"/>
      <c r="L510" s="20">
        <v>45901.355555555558</v>
      </c>
      <c r="M510" s="19"/>
      <c r="N510" s="22">
        <f t="shared" si="16"/>
        <v>6.5972222226264421E-2</v>
      </c>
      <c r="O510" s="19" t="s">
        <v>50</v>
      </c>
      <c r="P510" s="19" t="s">
        <v>3383</v>
      </c>
      <c r="Q510" s="19" t="s">
        <v>3951</v>
      </c>
      <c r="R510" s="19"/>
      <c r="S510" s="19"/>
      <c r="U510" s="19"/>
      <c r="W510" s="19"/>
      <c r="X510" s="19" t="s">
        <v>109</v>
      </c>
      <c r="Y510" s="27" t="s">
        <v>133</v>
      </c>
      <c r="Z510" s="27" t="s">
        <v>3952</v>
      </c>
      <c r="AA510" s="27" t="s">
        <v>3953</v>
      </c>
      <c r="AB510" s="27" t="s">
        <v>3954</v>
      </c>
      <c r="AC510" s="37" t="s">
        <v>3955</v>
      </c>
      <c r="AD510" s="38" t="s">
        <v>3956</v>
      </c>
      <c r="AE510" s="36">
        <v>45901</v>
      </c>
      <c r="AF510" s="19" t="s">
        <v>60</v>
      </c>
      <c r="AG510" s="19" t="s">
        <v>78</v>
      </c>
      <c r="AH510" s="19" t="s">
        <v>78</v>
      </c>
      <c r="AI510" s="19" t="s">
        <v>63</v>
      </c>
      <c r="AJ510" s="19" t="s">
        <v>3957</v>
      </c>
      <c r="AK510" s="19"/>
      <c r="AL510" s="19"/>
      <c r="AM510" s="19"/>
      <c r="AN510" s="19" t="s">
        <v>103</v>
      </c>
      <c r="AO510" s="23">
        <v>45901.230555555558</v>
      </c>
      <c r="AP510" s="26">
        <f t="shared" si="17"/>
        <v>95</v>
      </c>
    </row>
    <row r="511" spans="1:42" ht="25.5" hidden="1" customHeight="1">
      <c r="A511" s="19" t="s">
        <v>285</v>
      </c>
      <c r="B511" s="19" t="s">
        <v>3958</v>
      </c>
      <c r="C511" s="19" t="s">
        <v>3959</v>
      </c>
      <c r="D511" s="19" t="s">
        <v>45</v>
      </c>
      <c r="E511" s="19" t="s">
        <v>46</v>
      </c>
      <c r="F511" s="19" t="s">
        <v>3960</v>
      </c>
      <c r="G511" s="19" t="s">
        <v>48</v>
      </c>
      <c r="H511" s="19" t="s">
        <v>49</v>
      </c>
      <c r="I511" s="20">
        <v>45901.365277777782</v>
      </c>
      <c r="K511" s="19"/>
      <c r="L511" s="20">
        <v>45901.400694444441</v>
      </c>
      <c r="M511" s="19"/>
      <c r="N511" s="22">
        <f t="shared" si="16"/>
        <v>3.5416666658420581E-2</v>
      </c>
      <c r="O511" s="19" t="s">
        <v>50</v>
      </c>
      <c r="P511" s="19" t="s">
        <v>3961</v>
      </c>
      <c r="Q511" s="19" t="s">
        <v>3962</v>
      </c>
      <c r="R511" s="19"/>
      <c r="S511" s="19"/>
      <c r="U511" s="19"/>
      <c r="W511" s="19"/>
      <c r="X511" s="19" t="s">
        <v>109</v>
      </c>
      <c r="Y511" s="27" t="s">
        <v>54</v>
      </c>
      <c r="Z511" s="27" t="s">
        <v>414</v>
      </c>
      <c r="AA511" s="27" t="s">
        <v>3963</v>
      </c>
      <c r="AB511" s="27" t="s">
        <v>3964</v>
      </c>
      <c r="AC511" s="37">
        <v>45901.309027777781</v>
      </c>
      <c r="AD511" s="38">
        <v>45901.350694444453</v>
      </c>
      <c r="AE511" s="36">
        <v>45901</v>
      </c>
      <c r="AF511" s="19" t="s">
        <v>89</v>
      </c>
      <c r="AG511" s="19" t="s">
        <v>90</v>
      </c>
      <c r="AH511" s="19" t="s">
        <v>62</v>
      </c>
      <c r="AI511" s="19" t="s">
        <v>63</v>
      </c>
      <c r="AJ511" s="19" t="s">
        <v>3965</v>
      </c>
      <c r="AK511" s="19"/>
      <c r="AL511" s="19"/>
      <c r="AM511" s="19"/>
      <c r="AN511" s="19" t="s">
        <v>103</v>
      </c>
      <c r="AO511" s="23">
        <v>45901.365277777782</v>
      </c>
      <c r="AP511" s="26">
        <f t="shared" si="17"/>
        <v>51</v>
      </c>
    </row>
    <row r="512" spans="1:42" ht="25.5" hidden="1" customHeight="1">
      <c r="A512" s="19" t="s">
        <v>92</v>
      </c>
      <c r="B512" s="19" t="s">
        <v>202</v>
      </c>
      <c r="C512" s="19" t="s">
        <v>1021</v>
      </c>
      <c r="D512" s="19" t="s">
        <v>45</v>
      </c>
      <c r="E512" s="19" t="s">
        <v>46</v>
      </c>
      <c r="F512" s="19" t="s">
        <v>3950</v>
      </c>
      <c r="G512" s="19" t="s">
        <v>226</v>
      </c>
      <c r="H512" s="19" t="s">
        <v>49</v>
      </c>
      <c r="I512" s="20">
        <v>45901.774305555547</v>
      </c>
      <c r="K512" s="19"/>
      <c r="L512" s="20">
        <v>45901.796527777777</v>
      </c>
      <c r="M512" s="19"/>
      <c r="N512" s="22">
        <f t="shared" si="16"/>
        <v>2.2222222229174804E-2</v>
      </c>
      <c r="O512" s="19" t="s">
        <v>50</v>
      </c>
      <c r="P512" s="19" t="s">
        <v>3383</v>
      </c>
      <c r="Q512" s="19" t="s">
        <v>3966</v>
      </c>
      <c r="R512" s="19"/>
      <c r="S512" s="19"/>
      <c r="U512" s="19"/>
      <c r="W512" s="19"/>
      <c r="X512" s="19" t="s">
        <v>109</v>
      </c>
      <c r="Y512" s="27" t="s">
        <v>133</v>
      </c>
      <c r="Z512" s="27" t="s">
        <v>361</v>
      </c>
      <c r="AA512" s="27" t="s">
        <v>3967</v>
      </c>
      <c r="AB512" s="27" t="s">
        <v>3968</v>
      </c>
      <c r="AC512" s="37" t="s">
        <v>3969</v>
      </c>
      <c r="AD512" s="38" t="s">
        <v>3970</v>
      </c>
      <c r="AE512" s="36">
        <v>45901</v>
      </c>
      <c r="AF512" s="19" t="s">
        <v>60</v>
      </c>
      <c r="AG512" s="19" t="s">
        <v>78</v>
      </c>
      <c r="AH512" s="19" t="s">
        <v>78</v>
      </c>
      <c r="AI512" s="19" t="s">
        <v>50</v>
      </c>
      <c r="AJ512" s="19" t="s">
        <v>3971</v>
      </c>
      <c r="AK512" s="19"/>
      <c r="AL512" s="19"/>
      <c r="AM512" s="19"/>
      <c r="AN512" s="19" t="s">
        <v>103</v>
      </c>
      <c r="AO512" s="23">
        <v>45901.777777777781</v>
      </c>
      <c r="AP512" s="26">
        <f t="shared" si="17"/>
        <v>32</v>
      </c>
    </row>
    <row r="513" spans="1:42" ht="25.5" hidden="1" customHeight="1">
      <c r="A513" s="19" t="s">
        <v>92</v>
      </c>
      <c r="B513" s="19" t="s">
        <v>3972</v>
      </c>
      <c r="C513" s="19" t="s">
        <v>2480</v>
      </c>
      <c r="D513" s="19" t="s">
        <v>45</v>
      </c>
      <c r="E513" s="19" t="s">
        <v>46</v>
      </c>
      <c r="F513" s="19" t="s">
        <v>3950</v>
      </c>
      <c r="G513" s="19" t="s">
        <v>226</v>
      </c>
      <c r="H513" s="19" t="s">
        <v>49</v>
      </c>
      <c r="I513" s="20">
        <v>45902.318749999999</v>
      </c>
      <c r="K513" s="19"/>
      <c r="L513" s="20">
        <v>45902.362500000003</v>
      </c>
      <c r="M513" s="19"/>
      <c r="N513" s="22">
        <f t="shared" si="16"/>
        <v>4.3750000004365575E-2</v>
      </c>
      <c r="O513" s="19" t="s">
        <v>50</v>
      </c>
      <c r="P513" s="19" t="s">
        <v>3383</v>
      </c>
      <c r="Q513" s="19" t="s">
        <v>3973</v>
      </c>
      <c r="R513" s="19"/>
      <c r="S513" s="19"/>
      <c r="U513" s="19"/>
      <c r="W513" s="19"/>
      <c r="X513" s="19" t="s">
        <v>109</v>
      </c>
      <c r="Y513" s="27" t="s">
        <v>133</v>
      </c>
      <c r="Z513" s="27" t="s">
        <v>3974</v>
      </c>
      <c r="AA513" s="27" t="s">
        <v>3975</v>
      </c>
      <c r="AB513" s="27" t="s">
        <v>3976</v>
      </c>
      <c r="AC513" s="37" t="s">
        <v>3977</v>
      </c>
      <c r="AD513" s="38" t="s">
        <v>3978</v>
      </c>
      <c r="AE513" s="36">
        <v>45901</v>
      </c>
      <c r="AF513" s="19" t="s">
        <v>60</v>
      </c>
      <c r="AG513" s="19" t="s">
        <v>78</v>
      </c>
      <c r="AH513" s="19" t="s">
        <v>78</v>
      </c>
      <c r="AI513" s="19" t="s">
        <v>50</v>
      </c>
      <c r="AJ513" s="19" t="s">
        <v>3979</v>
      </c>
      <c r="AK513" s="19"/>
      <c r="AL513" s="19"/>
      <c r="AM513" s="19"/>
      <c r="AN513" s="19" t="s">
        <v>103</v>
      </c>
      <c r="AO513" s="23">
        <v>45902.318749999999</v>
      </c>
      <c r="AP513" s="26">
        <f t="shared" si="17"/>
        <v>63</v>
      </c>
    </row>
    <row r="514" spans="1:42" ht="25.5" hidden="1" customHeight="1">
      <c r="A514" s="19" t="s">
        <v>42</v>
      </c>
      <c r="C514" s="19" t="s">
        <v>105</v>
      </c>
      <c r="D514" s="19" t="s">
        <v>45</v>
      </c>
      <c r="E514" s="19" t="s">
        <v>46</v>
      </c>
      <c r="F514" s="19" t="s">
        <v>3980</v>
      </c>
      <c r="G514" s="19" t="s">
        <v>48</v>
      </c>
      <c r="H514" s="19" t="s">
        <v>49</v>
      </c>
      <c r="I514" s="20">
        <v>45902.445138888892</v>
      </c>
      <c r="K514" s="19"/>
      <c r="L514" s="20">
        <v>45902.493055555547</v>
      </c>
      <c r="M514" s="19"/>
      <c r="N514" s="22">
        <f t="shared" si="16"/>
        <v>4.7916666655510198E-2</v>
      </c>
      <c r="O514" s="19" t="s">
        <v>50</v>
      </c>
      <c r="P514" s="19" t="s">
        <v>3981</v>
      </c>
      <c r="Q514" s="19" t="s">
        <v>3982</v>
      </c>
      <c r="R514" s="19"/>
      <c r="S514" s="19"/>
      <c r="U514" s="19"/>
      <c r="W514" s="19"/>
      <c r="X514" s="19" t="s">
        <v>109</v>
      </c>
      <c r="Y514" s="27" t="s">
        <v>147</v>
      </c>
      <c r="Z514" s="27" t="s">
        <v>78</v>
      </c>
      <c r="AA514" s="27" t="s">
        <v>78</v>
      </c>
      <c r="AB514" s="27" t="s">
        <v>78</v>
      </c>
      <c r="AC514" s="37" t="s">
        <v>78</v>
      </c>
      <c r="AD514" s="38" t="s">
        <v>78</v>
      </c>
      <c r="AE514" s="36">
        <v>45901</v>
      </c>
      <c r="AF514" s="19" t="s">
        <v>89</v>
      </c>
      <c r="AG514" s="19" t="s">
        <v>90</v>
      </c>
      <c r="AH514" s="19" t="s">
        <v>62</v>
      </c>
      <c r="AI514" s="19" t="s">
        <v>63</v>
      </c>
      <c r="AJ514" s="19" t="s">
        <v>3983</v>
      </c>
      <c r="AK514" s="19"/>
      <c r="AL514" s="19"/>
      <c r="AM514" s="19"/>
      <c r="AN514" s="19" t="s">
        <v>103</v>
      </c>
      <c r="AO514" s="23">
        <v>45902.445138888892</v>
      </c>
      <c r="AP514" s="26">
        <f t="shared" si="17"/>
        <v>69</v>
      </c>
    </row>
    <row r="515" spans="1:42" ht="25.5" hidden="1" customHeight="1">
      <c r="A515" s="19" t="s">
        <v>42</v>
      </c>
      <c r="C515" s="19" t="s">
        <v>3984</v>
      </c>
      <c r="D515" s="19" t="s">
        <v>45</v>
      </c>
      <c r="E515" s="19" t="s">
        <v>46</v>
      </c>
      <c r="F515" s="19" t="s">
        <v>3985</v>
      </c>
      <c r="G515" s="19" t="s">
        <v>48</v>
      </c>
      <c r="H515" s="19" t="s">
        <v>49</v>
      </c>
      <c r="I515" s="20">
        <v>45902.932638888888</v>
      </c>
      <c r="K515" s="19"/>
      <c r="L515" s="20">
        <v>45903.039583333331</v>
      </c>
      <c r="M515" s="19"/>
      <c r="N515" s="22">
        <f t="shared" si="16"/>
        <v>0.10694444444379769</v>
      </c>
      <c r="O515" s="19" t="s">
        <v>50</v>
      </c>
      <c r="P515" s="19" t="s">
        <v>3986</v>
      </c>
      <c r="Q515" s="19" t="s">
        <v>3987</v>
      </c>
      <c r="R515" s="19"/>
      <c r="S515" s="19"/>
      <c r="U515" s="19"/>
      <c r="W515" s="19"/>
      <c r="X515" s="19" t="s">
        <v>72</v>
      </c>
      <c r="Y515" s="27" t="s">
        <v>147</v>
      </c>
      <c r="Z515" s="27" t="s">
        <v>78</v>
      </c>
      <c r="AA515" s="27" t="s">
        <v>78</v>
      </c>
      <c r="AB515" s="27" t="s">
        <v>78</v>
      </c>
      <c r="AC515" s="37" t="s">
        <v>78</v>
      </c>
      <c r="AD515" s="38" t="s">
        <v>78</v>
      </c>
      <c r="AE515" s="36">
        <v>45901</v>
      </c>
      <c r="AF515" s="19" t="s">
        <v>99</v>
      </c>
      <c r="AG515" s="19" t="s">
        <v>100</v>
      </c>
      <c r="AH515" s="19" t="s">
        <v>62</v>
      </c>
      <c r="AI515" s="19" t="s">
        <v>63</v>
      </c>
      <c r="AJ515" s="19" t="s">
        <v>3988</v>
      </c>
      <c r="AK515" s="19" t="s">
        <v>3989</v>
      </c>
      <c r="AL515" s="19"/>
      <c r="AM515" s="19"/>
      <c r="AN515" s="19" t="s">
        <v>65</v>
      </c>
      <c r="AO515" s="23">
        <v>45902.961805555547</v>
      </c>
      <c r="AP515" s="26">
        <f t="shared" si="17"/>
        <v>154</v>
      </c>
    </row>
    <row r="516" spans="1:42" ht="25.5" hidden="1" customHeight="1">
      <c r="A516" s="19" t="s">
        <v>42</v>
      </c>
      <c r="C516" s="19" t="s">
        <v>3990</v>
      </c>
      <c r="D516" s="19" t="s">
        <v>45</v>
      </c>
      <c r="E516" s="19" t="s">
        <v>46</v>
      </c>
      <c r="F516" s="19" t="s">
        <v>3991</v>
      </c>
      <c r="G516" s="19" t="s">
        <v>48</v>
      </c>
      <c r="H516" s="19" t="s">
        <v>49</v>
      </c>
      <c r="I516" s="20">
        <v>45903.09375</v>
      </c>
      <c r="K516" s="19"/>
      <c r="L516" s="20">
        <v>45903.115277777782</v>
      </c>
      <c r="M516" s="19"/>
      <c r="N516" s="22">
        <f t="shared" si="16"/>
        <v>2.1527777782466728E-2</v>
      </c>
      <c r="O516" s="19" t="s">
        <v>63</v>
      </c>
      <c r="P516" s="19" t="s">
        <v>3992</v>
      </c>
      <c r="Q516" s="19" t="s">
        <v>3993</v>
      </c>
      <c r="R516" s="19"/>
      <c r="S516" s="19"/>
      <c r="U516" s="19"/>
      <c r="W516" s="19"/>
      <c r="X516" s="19" t="s">
        <v>2659</v>
      </c>
      <c r="Y516" s="27" t="s">
        <v>147</v>
      </c>
      <c r="Z516" s="27" t="s">
        <v>78</v>
      </c>
      <c r="AA516" s="27" t="s">
        <v>78</v>
      </c>
      <c r="AB516" s="27" t="s">
        <v>78</v>
      </c>
      <c r="AC516" s="37" t="s">
        <v>78</v>
      </c>
      <c r="AD516" s="38" t="s">
        <v>78</v>
      </c>
      <c r="AE516" s="36">
        <v>45901</v>
      </c>
      <c r="AF516" s="19" t="s">
        <v>89</v>
      </c>
      <c r="AG516" s="19" t="s">
        <v>90</v>
      </c>
      <c r="AH516" s="19" t="s">
        <v>62</v>
      </c>
      <c r="AI516" s="19" t="s">
        <v>63</v>
      </c>
      <c r="AJ516" s="19" t="s">
        <v>3994</v>
      </c>
      <c r="AK516" s="19"/>
      <c r="AL516" s="19"/>
      <c r="AM516" s="19"/>
      <c r="AN516" s="19" t="s">
        <v>65</v>
      </c>
      <c r="AO516" s="23">
        <v>45903.09375</v>
      </c>
      <c r="AP516" s="26">
        <f t="shared" si="17"/>
        <v>31</v>
      </c>
    </row>
    <row r="517" spans="1:42" ht="25.5" hidden="1" customHeight="1">
      <c r="A517" s="19" t="s">
        <v>285</v>
      </c>
      <c r="B517" s="19" t="s">
        <v>599</v>
      </c>
      <c r="C517" s="19" t="s">
        <v>1165</v>
      </c>
      <c r="D517" s="19" t="s">
        <v>45</v>
      </c>
      <c r="E517" s="19" t="s">
        <v>46</v>
      </c>
      <c r="F517" s="19" t="s">
        <v>3995</v>
      </c>
      <c r="G517" s="19" t="s">
        <v>48</v>
      </c>
      <c r="H517" s="19" t="s">
        <v>49</v>
      </c>
      <c r="I517" s="20">
        <v>45903.161111111112</v>
      </c>
      <c r="K517" s="19"/>
      <c r="L517" s="20">
        <v>45903.201388888891</v>
      </c>
      <c r="M517" s="19"/>
      <c r="N517" s="22">
        <f t="shared" si="16"/>
        <v>4.0277777778101154E-2</v>
      </c>
      <c r="O517" s="19" t="s">
        <v>50</v>
      </c>
      <c r="P517" s="19" t="s">
        <v>3996</v>
      </c>
      <c r="Q517" s="19" t="s">
        <v>3997</v>
      </c>
      <c r="R517" s="19"/>
      <c r="S517" s="19"/>
      <c r="U517" s="19"/>
      <c r="W517" s="19"/>
      <c r="X517" s="19" t="s">
        <v>122</v>
      </c>
      <c r="Y517" s="27" t="s">
        <v>54</v>
      </c>
      <c r="Z517" s="27" t="s">
        <v>3998</v>
      </c>
      <c r="AA517" s="27" t="s">
        <v>3999</v>
      </c>
      <c r="AB517" s="27" t="s">
        <v>4000</v>
      </c>
      <c r="AC517" s="37" t="s">
        <v>4001</v>
      </c>
      <c r="AD517" s="38" t="s">
        <v>4002</v>
      </c>
      <c r="AE517" s="36">
        <v>45901</v>
      </c>
      <c r="AF517" s="19" t="s">
        <v>293</v>
      </c>
      <c r="AG517" s="19" t="s">
        <v>556</v>
      </c>
      <c r="AH517" s="19" t="s">
        <v>62</v>
      </c>
      <c r="AI517" s="19" t="s">
        <v>63</v>
      </c>
      <c r="AJ517" s="19" t="s">
        <v>4003</v>
      </c>
      <c r="AK517" s="19"/>
      <c r="AL517" s="19"/>
      <c r="AM517" s="19"/>
      <c r="AN517" s="19" t="s">
        <v>65</v>
      </c>
      <c r="AO517" s="23">
        <v>45903.161111111112</v>
      </c>
      <c r="AP517" s="26">
        <f t="shared" si="17"/>
        <v>58</v>
      </c>
    </row>
    <row r="518" spans="1:42" ht="25.5" hidden="1" customHeight="1">
      <c r="A518" s="19" t="s">
        <v>92</v>
      </c>
      <c r="B518" s="19" t="s">
        <v>403</v>
      </c>
      <c r="C518" s="19" t="s">
        <v>1021</v>
      </c>
      <c r="D518" s="19" t="s">
        <v>45</v>
      </c>
      <c r="E518" s="19" t="s">
        <v>46</v>
      </c>
      <c r="F518" s="19" t="s">
        <v>4004</v>
      </c>
      <c r="G518" s="19" t="s">
        <v>226</v>
      </c>
      <c r="H518" s="19" t="s">
        <v>49</v>
      </c>
      <c r="I518" s="20">
        <v>45903.325694444437</v>
      </c>
      <c r="K518" s="19"/>
      <c r="L518" s="20">
        <v>45903.37222222222</v>
      </c>
      <c r="M518" s="19"/>
      <c r="N518" s="22">
        <f t="shared" si="16"/>
        <v>4.652777778392192E-2</v>
      </c>
      <c r="O518" s="19" t="s">
        <v>50</v>
      </c>
      <c r="P518" s="19" t="s">
        <v>4005</v>
      </c>
      <c r="Q518" s="19" t="s">
        <v>4006</v>
      </c>
      <c r="R518" s="19"/>
      <c r="S518" s="19"/>
      <c r="U518" s="19"/>
      <c r="W518" s="19"/>
      <c r="X518" s="19" t="s">
        <v>109</v>
      </c>
      <c r="Y518" s="27" t="s">
        <v>54</v>
      </c>
      <c r="Z518" s="27" t="s">
        <v>4007</v>
      </c>
      <c r="AA518" s="27" t="s">
        <v>4008</v>
      </c>
      <c r="AB518" s="27" t="s">
        <v>4009</v>
      </c>
      <c r="AC518" s="37" t="s">
        <v>4010</v>
      </c>
      <c r="AD518" s="38" t="s">
        <v>4011</v>
      </c>
      <c r="AE518" s="36">
        <v>45901</v>
      </c>
      <c r="AF518" s="19" t="s">
        <v>60</v>
      </c>
      <c r="AG518" s="19" t="s">
        <v>78</v>
      </c>
      <c r="AH518" s="19" t="s">
        <v>78</v>
      </c>
      <c r="AI518" s="19" t="s">
        <v>50</v>
      </c>
      <c r="AJ518" s="19" t="s">
        <v>4012</v>
      </c>
      <c r="AK518" s="19"/>
      <c r="AL518" s="19"/>
      <c r="AM518" s="19"/>
      <c r="AN518" s="19" t="s">
        <v>103</v>
      </c>
      <c r="AO518" s="23">
        <v>45903.325694444437</v>
      </c>
      <c r="AP518" s="26">
        <f t="shared" si="17"/>
        <v>67</v>
      </c>
    </row>
    <row r="519" spans="1:42" ht="25.5" hidden="1" customHeight="1">
      <c r="A519" s="19" t="s">
        <v>42</v>
      </c>
      <c r="C519" s="19" t="s">
        <v>129</v>
      </c>
      <c r="D519" s="19" t="s">
        <v>45</v>
      </c>
      <c r="E519" s="19" t="s">
        <v>46</v>
      </c>
      <c r="F519" s="19" t="s">
        <v>4013</v>
      </c>
      <c r="G519" s="19" t="s">
        <v>48</v>
      </c>
      <c r="H519" s="19" t="s">
        <v>49</v>
      </c>
      <c r="I519" s="20">
        <v>45903.432638888888</v>
      </c>
      <c r="K519" s="19"/>
      <c r="L519" s="20">
        <v>45903.438194444447</v>
      </c>
      <c r="M519" s="19"/>
      <c r="N519" s="22">
        <f t="shared" si="16"/>
        <v>5.5555555591126904E-3</v>
      </c>
      <c r="O519" s="19" t="s">
        <v>50</v>
      </c>
      <c r="P519" s="19" t="s">
        <v>4014</v>
      </c>
      <c r="Q519" s="19" t="s">
        <v>4015</v>
      </c>
      <c r="R519" s="19"/>
      <c r="S519" s="19"/>
      <c r="U519" s="19"/>
      <c r="W519" s="19"/>
      <c r="X519" s="19" t="s">
        <v>109</v>
      </c>
      <c r="Y519" s="27" t="s">
        <v>54</v>
      </c>
      <c r="Z519" s="27" t="s">
        <v>3963</v>
      </c>
      <c r="AA519" s="27" t="s">
        <v>3963</v>
      </c>
      <c r="AB519" s="27" t="s">
        <v>4016</v>
      </c>
      <c r="AC519" s="37">
        <v>45725.428472222222</v>
      </c>
      <c r="AD519" s="38">
        <v>45725.448611111111</v>
      </c>
      <c r="AE519" s="36">
        <v>45901</v>
      </c>
      <c r="AF519" s="19" t="s">
        <v>89</v>
      </c>
      <c r="AG519" s="19" t="s">
        <v>90</v>
      </c>
      <c r="AH519" s="19" t="s">
        <v>62</v>
      </c>
      <c r="AI519" s="19" t="s">
        <v>63</v>
      </c>
      <c r="AJ519" s="19" t="s">
        <v>4017</v>
      </c>
      <c r="AK519" s="19"/>
      <c r="AL519" s="19"/>
      <c r="AM519" s="19"/>
      <c r="AN519" s="19" t="s">
        <v>103</v>
      </c>
      <c r="AO519" s="23">
        <v>45903.433333333327</v>
      </c>
      <c r="AP519" s="26">
        <f t="shared" si="17"/>
        <v>8</v>
      </c>
    </row>
    <row r="520" spans="1:42" ht="25.5" hidden="1" customHeight="1">
      <c r="A520" s="19" t="s">
        <v>42</v>
      </c>
      <c r="B520" s="19" t="s">
        <v>854</v>
      </c>
      <c r="C520" s="19" t="s">
        <v>855</v>
      </c>
      <c r="D520" s="19" t="s">
        <v>45</v>
      </c>
      <c r="E520" s="19" t="s">
        <v>225</v>
      </c>
      <c r="F520" s="19" t="s">
        <v>4018</v>
      </c>
      <c r="G520" s="19" t="s">
        <v>48</v>
      </c>
      <c r="H520" s="19" t="s">
        <v>49</v>
      </c>
      <c r="I520" s="20">
        <v>45903.446527777778</v>
      </c>
      <c r="K520" s="19"/>
      <c r="L520" s="20">
        <v>45903.552083333343</v>
      </c>
      <c r="M520" s="19"/>
      <c r="N520" s="22">
        <f t="shared" si="16"/>
        <v>0.10555555556493346</v>
      </c>
      <c r="O520" s="19" t="s">
        <v>50</v>
      </c>
      <c r="P520" s="19" t="s">
        <v>4019</v>
      </c>
      <c r="Q520" s="19" t="s">
        <v>4020</v>
      </c>
      <c r="R520" s="19"/>
      <c r="S520" s="19"/>
      <c r="U520" s="19"/>
      <c r="W520" s="19"/>
      <c r="X520" s="19" t="s">
        <v>109</v>
      </c>
      <c r="Y520" s="27" t="s">
        <v>147</v>
      </c>
      <c r="Z520" s="27" t="s">
        <v>78</v>
      </c>
      <c r="AA520" s="27" t="s">
        <v>78</v>
      </c>
      <c r="AB520" s="27" t="s">
        <v>78</v>
      </c>
      <c r="AC520" s="37" t="s">
        <v>78</v>
      </c>
      <c r="AD520" s="38" t="s">
        <v>78</v>
      </c>
      <c r="AE520" s="36">
        <v>45901</v>
      </c>
      <c r="AF520" s="19" t="s">
        <v>89</v>
      </c>
      <c r="AG520" s="19" t="s">
        <v>90</v>
      </c>
      <c r="AH520" s="19" t="s">
        <v>62</v>
      </c>
      <c r="AI520" s="19" t="s">
        <v>63</v>
      </c>
      <c r="AJ520" s="19" t="s">
        <v>4021</v>
      </c>
      <c r="AK520" s="19"/>
      <c r="AL520" s="19"/>
      <c r="AM520" s="19"/>
      <c r="AN520" s="19" t="s">
        <v>65</v>
      </c>
      <c r="AO520" s="23">
        <v>45903.446527777778</v>
      </c>
      <c r="AP520" s="26">
        <f t="shared" si="17"/>
        <v>152</v>
      </c>
    </row>
    <row r="521" spans="1:42" ht="25.5" hidden="1" customHeight="1">
      <c r="A521" s="19" t="s">
        <v>42</v>
      </c>
      <c r="B521" s="19" t="s">
        <v>1273</v>
      </c>
      <c r="C521" s="19" t="s">
        <v>105</v>
      </c>
      <c r="D521" s="19" t="s">
        <v>45</v>
      </c>
      <c r="E521" s="19" t="s">
        <v>46</v>
      </c>
      <c r="F521" s="19" t="s">
        <v>4022</v>
      </c>
      <c r="G521" s="19" t="s">
        <v>48</v>
      </c>
      <c r="H521" s="19" t="s">
        <v>49</v>
      </c>
      <c r="I521" s="20">
        <v>45903.474305555559</v>
      </c>
      <c r="K521" s="19"/>
      <c r="L521" s="20">
        <v>45903.495138888888</v>
      </c>
      <c r="M521" s="19"/>
      <c r="N521" s="22">
        <f t="shared" si="16"/>
        <v>2.0833333328482695E-2</v>
      </c>
      <c r="O521" s="19" t="s">
        <v>50</v>
      </c>
      <c r="P521" s="19" t="s">
        <v>4023</v>
      </c>
      <c r="Q521" s="19" t="s">
        <v>4024</v>
      </c>
      <c r="R521" s="19"/>
      <c r="S521" s="19"/>
      <c r="U521" s="19"/>
      <c r="W521" s="19"/>
      <c r="X521" s="19" t="s">
        <v>109</v>
      </c>
      <c r="Y521" s="27" t="s">
        <v>147</v>
      </c>
      <c r="Z521" s="27" t="s">
        <v>78</v>
      </c>
      <c r="AA521" s="27" t="s">
        <v>78</v>
      </c>
      <c r="AB521" s="27" t="s">
        <v>78</v>
      </c>
      <c r="AC521" s="37" t="s">
        <v>78</v>
      </c>
      <c r="AD521" s="38" t="s">
        <v>78</v>
      </c>
      <c r="AE521" s="36">
        <v>45901</v>
      </c>
      <c r="AF521" s="19" t="s">
        <v>89</v>
      </c>
      <c r="AG521" s="19" t="s">
        <v>90</v>
      </c>
      <c r="AH521" s="19" t="s">
        <v>62</v>
      </c>
      <c r="AI521" s="19" t="s">
        <v>63</v>
      </c>
      <c r="AJ521" s="19" t="s">
        <v>4025</v>
      </c>
      <c r="AK521" s="19"/>
      <c r="AL521" s="19"/>
      <c r="AM521" s="19"/>
      <c r="AN521" s="19" t="s">
        <v>103</v>
      </c>
      <c r="AO521" s="23">
        <v>45903.474305555559</v>
      </c>
      <c r="AP521" s="26">
        <f t="shared" si="17"/>
        <v>30</v>
      </c>
    </row>
    <row r="522" spans="1:42" ht="25.5" hidden="1" customHeight="1">
      <c r="A522" s="19" t="s">
        <v>285</v>
      </c>
      <c r="B522" s="19" t="s">
        <v>93</v>
      </c>
      <c r="C522" s="19" t="s">
        <v>892</v>
      </c>
      <c r="D522" s="19" t="s">
        <v>45</v>
      </c>
      <c r="E522" s="19" t="s">
        <v>46</v>
      </c>
      <c r="F522" s="19" t="s">
        <v>4026</v>
      </c>
      <c r="G522" s="19" t="s">
        <v>48</v>
      </c>
      <c r="H522" s="19" t="s">
        <v>49</v>
      </c>
      <c r="I522" s="20">
        <v>45903.48333333333</v>
      </c>
      <c r="K522" s="19"/>
      <c r="L522" s="20">
        <v>45903.496527777781</v>
      </c>
      <c r="M522" s="19"/>
      <c r="N522" s="22">
        <f t="shared" si="16"/>
        <v>1.319444445107365E-2</v>
      </c>
      <c r="O522" s="19" t="s">
        <v>63</v>
      </c>
      <c r="P522" s="19" t="s">
        <v>4027</v>
      </c>
      <c r="Q522" s="19" t="s">
        <v>4028</v>
      </c>
      <c r="R522" s="19"/>
      <c r="S522" s="19"/>
      <c r="U522" s="19"/>
      <c r="W522" s="19"/>
      <c r="X522" s="19" t="s">
        <v>98</v>
      </c>
      <c r="Y522" s="27" t="s">
        <v>133</v>
      </c>
      <c r="Z522" s="27" t="s">
        <v>811</v>
      </c>
      <c r="AA522" s="27" t="s">
        <v>4029</v>
      </c>
      <c r="AB522" s="27" t="s">
        <v>4030</v>
      </c>
      <c r="AC522" s="37" t="s">
        <v>4031</v>
      </c>
      <c r="AD522" s="38" t="s">
        <v>4032</v>
      </c>
      <c r="AE522" s="36">
        <v>45901</v>
      </c>
      <c r="AF522" s="19" t="s">
        <v>293</v>
      </c>
      <c r="AG522" s="19" t="s">
        <v>294</v>
      </c>
      <c r="AH522" s="19" t="s">
        <v>62</v>
      </c>
      <c r="AI522" s="19" t="s">
        <v>63</v>
      </c>
      <c r="AJ522" s="19" t="s">
        <v>4033</v>
      </c>
      <c r="AK522" s="19"/>
      <c r="AL522" s="19"/>
      <c r="AM522" s="19"/>
      <c r="AN522" s="19" t="s">
        <v>65</v>
      </c>
      <c r="AO522" s="23">
        <v>45903.48333333333</v>
      </c>
      <c r="AP522" s="26">
        <f t="shared" si="17"/>
        <v>19</v>
      </c>
    </row>
    <row r="523" spans="1:42" ht="25.5" hidden="1" customHeight="1">
      <c r="A523" s="19" t="s">
        <v>116</v>
      </c>
      <c r="B523" s="19" t="s">
        <v>599</v>
      </c>
      <c r="C523" s="19" t="s">
        <v>1165</v>
      </c>
      <c r="D523" s="19" t="s">
        <v>45</v>
      </c>
      <c r="E523" s="19" t="s">
        <v>46</v>
      </c>
      <c r="F523" s="19" t="s">
        <v>4034</v>
      </c>
      <c r="G523" s="19" t="s">
        <v>48</v>
      </c>
      <c r="H523" s="19" t="s">
        <v>49</v>
      </c>
      <c r="I523" s="20">
        <v>45903.5</v>
      </c>
      <c r="K523" s="19"/>
      <c r="L523" s="20">
        <v>45903.681250000001</v>
      </c>
      <c r="M523" s="19"/>
      <c r="N523" s="22">
        <f t="shared" si="16"/>
        <v>0.18125000000145519</v>
      </c>
      <c r="O523" s="19" t="s">
        <v>50</v>
      </c>
      <c r="P523" s="19" t="s">
        <v>4035</v>
      </c>
      <c r="Q523" s="19" t="s">
        <v>4036</v>
      </c>
      <c r="R523" s="19"/>
      <c r="S523" s="19"/>
      <c r="U523" s="19"/>
      <c r="W523" s="19"/>
      <c r="X523" s="19" t="s">
        <v>122</v>
      </c>
      <c r="Y523" s="27" t="s">
        <v>147</v>
      </c>
      <c r="Z523" s="27" t="s">
        <v>78</v>
      </c>
      <c r="AA523" s="27" t="s">
        <v>78</v>
      </c>
      <c r="AB523" s="27" t="s">
        <v>78</v>
      </c>
      <c r="AC523" s="37" t="s">
        <v>78</v>
      </c>
      <c r="AD523" s="38" t="s">
        <v>78</v>
      </c>
      <c r="AE523" s="36">
        <v>45901</v>
      </c>
      <c r="AF523" s="19" t="s">
        <v>89</v>
      </c>
      <c r="AG523" s="19" t="s">
        <v>90</v>
      </c>
      <c r="AH523" s="19" t="s">
        <v>62</v>
      </c>
      <c r="AI523" s="19" t="s">
        <v>63</v>
      </c>
      <c r="AJ523" s="19" t="s">
        <v>4037</v>
      </c>
      <c r="AK523" s="19"/>
      <c r="AL523" s="19"/>
      <c r="AM523" s="19"/>
      <c r="AN523" s="19" t="s">
        <v>65</v>
      </c>
      <c r="AO523" s="23">
        <v>45903.5</v>
      </c>
      <c r="AP523" s="26">
        <f t="shared" si="17"/>
        <v>261</v>
      </c>
    </row>
    <row r="524" spans="1:42" ht="25.5" hidden="1" customHeight="1">
      <c r="A524" s="19" t="s">
        <v>42</v>
      </c>
      <c r="B524" s="19" t="s">
        <v>93</v>
      </c>
      <c r="C524" s="19" t="s">
        <v>4038</v>
      </c>
      <c r="D524" s="19" t="s">
        <v>45</v>
      </c>
      <c r="E524" s="19" t="s">
        <v>46</v>
      </c>
      <c r="F524" s="19" t="s">
        <v>4039</v>
      </c>
      <c r="G524" s="19" t="s">
        <v>48</v>
      </c>
      <c r="H524" s="19" t="s">
        <v>49</v>
      </c>
      <c r="I524" s="20">
        <v>45903.628472222219</v>
      </c>
      <c r="K524" s="19"/>
      <c r="L524" s="20">
        <v>45903.635416666657</v>
      </c>
      <c r="M524" s="19"/>
      <c r="N524" s="22">
        <f t="shared" si="16"/>
        <v>6.9444444379769266E-3</v>
      </c>
      <c r="O524" s="19" t="s">
        <v>50</v>
      </c>
      <c r="P524" s="19" t="s">
        <v>4040</v>
      </c>
      <c r="Q524" s="19" t="s">
        <v>4041</v>
      </c>
      <c r="R524" s="19"/>
      <c r="S524" s="19"/>
      <c r="U524" s="19"/>
      <c r="W524" s="19"/>
      <c r="X524" s="19" t="s">
        <v>4042</v>
      </c>
      <c r="Y524" s="27" t="s">
        <v>133</v>
      </c>
      <c r="Z524" s="27" t="s">
        <v>4043</v>
      </c>
      <c r="AA524" s="27" t="s">
        <v>4044</v>
      </c>
      <c r="AB524" s="27" t="s">
        <v>4045</v>
      </c>
      <c r="AC524" s="37" t="s">
        <v>4046</v>
      </c>
      <c r="AD524" s="38" t="s">
        <v>4047</v>
      </c>
      <c r="AE524" s="36">
        <v>45901</v>
      </c>
      <c r="AF524" s="19" t="s">
        <v>89</v>
      </c>
      <c r="AG524" s="19" t="s">
        <v>90</v>
      </c>
      <c r="AH524" s="19" t="s">
        <v>62</v>
      </c>
      <c r="AI524" s="19" t="s">
        <v>63</v>
      </c>
      <c r="AJ524" s="19" t="s">
        <v>4048</v>
      </c>
      <c r="AK524" s="19"/>
      <c r="AL524" s="19"/>
      <c r="AM524" s="19"/>
      <c r="AN524" s="19" t="s">
        <v>65</v>
      </c>
      <c r="AO524" s="23">
        <v>45903.628472222219</v>
      </c>
      <c r="AP524" s="26">
        <f t="shared" si="17"/>
        <v>10</v>
      </c>
    </row>
    <row r="525" spans="1:42" ht="25.5" customHeight="1">
      <c r="A525" s="19" t="s">
        <v>42</v>
      </c>
      <c r="C525" s="19" t="s">
        <v>4049</v>
      </c>
      <c r="D525" s="19" t="s">
        <v>45</v>
      </c>
      <c r="E525" s="19" t="s">
        <v>46</v>
      </c>
      <c r="F525" s="19" t="s">
        <v>4050</v>
      </c>
      <c r="G525" s="19" t="s">
        <v>48</v>
      </c>
      <c r="H525" s="19" t="s">
        <v>144</v>
      </c>
      <c r="I525" s="20">
        <v>45903.8125</v>
      </c>
      <c r="K525" s="19">
        <v>45903.8125</v>
      </c>
      <c r="L525" s="20">
        <v>45903.883333333331</v>
      </c>
      <c r="M525" s="19"/>
      <c r="N525" s="22">
        <f t="shared" si="16"/>
        <v>7.0833333331393078E-2</v>
      </c>
      <c r="O525" s="19" t="s">
        <v>63</v>
      </c>
      <c r="P525" s="19" t="s">
        <v>4051</v>
      </c>
      <c r="Q525" s="19" t="s">
        <v>4052</v>
      </c>
      <c r="R525" s="19"/>
      <c r="S525" s="19"/>
      <c r="U525" s="19"/>
      <c r="W525" s="19"/>
      <c r="X525" s="19" t="s">
        <v>72</v>
      </c>
      <c r="Y525" s="27" t="s">
        <v>147</v>
      </c>
      <c r="Z525" s="27" t="s">
        <v>78</v>
      </c>
      <c r="AA525" s="27" t="s">
        <v>78</v>
      </c>
      <c r="AB525" s="27" t="s">
        <v>78</v>
      </c>
      <c r="AC525" s="37" t="s">
        <v>78</v>
      </c>
      <c r="AD525" s="38" t="s">
        <v>78</v>
      </c>
      <c r="AE525" s="36">
        <v>45901</v>
      </c>
      <c r="AF525" s="19" t="s">
        <v>60</v>
      </c>
      <c r="AG525" s="19" t="s">
        <v>78</v>
      </c>
      <c r="AH525" s="19" t="s">
        <v>62</v>
      </c>
      <c r="AI525" s="19" t="s">
        <v>63</v>
      </c>
      <c r="AJ525" s="19" t="s">
        <v>4053</v>
      </c>
      <c r="AK525" s="19"/>
      <c r="AL525" s="19"/>
      <c r="AM525" s="19"/>
      <c r="AN525" s="19" t="s">
        <v>65</v>
      </c>
      <c r="AO525" s="23">
        <v>45903.847222222219</v>
      </c>
      <c r="AP525" s="26">
        <f t="shared" si="17"/>
        <v>102</v>
      </c>
    </row>
    <row r="526" spans="1:42" ht="25.5" hidden="1" customHeight="1">
      <c r="A526" s="19" t="s">
        <v>42</v>
      </c>
      <c r="B526" s="19" t="s">
        <v>186</v>
      </c>
      <c r="C526" s="19" t="s">
        <v>577</v>
      </c>
      <c r="D526" s="19" t="s">
        <v>45</v>
      </c>
      <c r="E526" s="19" t="s">
        <v>46</v>
      </c>
      <c r="F526" s="19" t="s">
        <v>4054</v>
      </c>
      <c r="G526" s="19" t="s">
        <v>48</v>
      </c>
      <c r="H526" s="19" t="s">
        <v>49</v>
      </c>
      <c r="I526" s="20">
        <v>45904.36041666667</v>
      </c>
      <c r="K526" s="19"/>
      <c r="L526" s="20">
        <v>45904.387499999997</v>
      </c>
      <c r="M526" s="19"/>
      <c r="N526" s="22">
        <f t="shared" si="16"/>
        <v>2.7083333327027503E-2</v>
      </c>
      <c r="O526" s="19" t="s">
        <v>63</v>
      </c>
      <c r="P526" s="19" t="s">
        <v>4055</v>
      </c>
      <c r="Q526" s="19" t="s">
        <v>4056</v>
      </c>
      <c r="R526" s="19"/>
      <c r="S526" s="19"/>
      <c r="U526" s="19"/>
      <c r="W526" s="19"/>
      <c r="X526" s="19" t="s">
        <v>191</v>
      </c>
      <c r="Y526" s="27" t="s">
        <v>147</v>
      </c>
      <c r="Z526" s="27" t="s">
        <v>78</v>
      </c>
      <c r="AA526" s="27" t="s">
        <v>78</v>
      </c>
      <c r="AB526" s="27" t="s">
        <v>78</v>
      </c>
      <c r="AC526" s="37" t="s">
        <v>78</v>
      </c>
      <c r="AD526" s="38" t="s">
        <v>78</v>
      </c>
      <c r="AE526" s="36">
        <v>45901</v>
      </c>
      <c r="AF526" s="19" t="s">
        <v>89</v>
      </c>
      <c r="AG526" s="19" t="s">
        <v>90</v>
      </c>
      <c r="AH526" s="19" t="s">
        <v>62</v>
      </c>
      <c r="AI526" s="19" t="s">
        <v>63</v>
      </c>
      <c r="AJ526" s="19" t="s">
        <v>4057</v>
      </c>
      <c r="AK526" s="19"/>
      <c r="AL526" s="19"/>
      <c r="AM526" s="19"/>
      <c r="AN526" s="19" t="s">
        <v>65</v>
      </c>
      <c r="AO526" s="23">
        <v>45904.36041666667</v>
      </c>
      <c r="AP526" s="26">
        <f t="shared" si="17"/>
        <v>39</v>
      </c>
    </row>
    <row r="527" spans="1:42" ht="25.5" hidden="1" customHeight="1">
      <c r="A527" s="19" t="s">
        <v>42</v>
      </c>
      <c r="B527" s="19" t="s">
        <v>3388</v>
      </c>
      <c r="C527" s="19" t="s">
        <v>1456</v>
      </c>
      <c r="D527" s="19" t="s">
        <v>45</v>
      </c>
      <c r="E527" s="19" t="s">
        <v>46</v>
      </c>
      <c r="F527" s="19" t="s">
        <v>4058</v>
      </c>
      <c r="G527" s="19" t="s">
        <v>48</v>
      </c>
      <c r="H527" s="19" t="s">
        <v>49</v>
      </c>
      <c r="I527" s="20">
        <v>45904.738194444442</v>
      </c>
      <c r="K527" s="19"/>
      <c r="L527" s="20">
        <v>45904.796527777777</v>
      </c>
      <c r="M527" s="19"/>
      <c r="N527" s="22">
        <f t="shared" si="16"/>
        <v>5.8333333334303461E-2</v>
      </c>
      <c r="O527" s="19" t="s">
        <v>50</v>
      </c>
      <c r="P527" s="19" t="s">
        <v>4059</v>
      </c>
      <c r="Q527" s="19" t="s">
        <v>4060</v>
      </c>
      <c r="R527" s="19"/>
      <c r="S527" s="19"/>
      <c r="U527" s="19"/>
      <c r="W527" s="19"/>
      <c r="X527" s="19" t="s">
        <v>53</v>
      </c>
      <c r="Y527" s="27" t="s">
        <v>54</v>
      </c>
      <c r="Z527" s="27" t="s">
        <v>209</v>
      </c>
      <c r="AA527" s="27" t="s">
        <v>4061</v>
      </c>
      <c r="AB527" s="27" t="s">
        <v>4062</v>
      </c>
      <c r="AC527" s="37">
        <v>45904.74722222222</v>
      </c>
      <c r="AD527" s="38">
        <v>45904.759722222218</v>
      </c>
      <c r="AE527" s="36">
        <v>45901</v>
      </c>
      <c r="AF527" s="19" t="s">
        <v>89</v>
      </c>
      <c r="AG527" s="19" t="s">
        <v>90</v>
      </c>
      <c r="AH527" s="19" t="s">
        <v>62</v>
      </c>
      <c r="AI527" s="19" t="s">
        <v>63</v>
      </c>
      <c r="AJ527" s="19" t="s">
        <v>4063</v>
      </c>
      <c r="AK527" s="19"/>
      <c r="AL527" s="19"/>
      <c r="AM527" s="19"/>
      <c r="AN527" s="19" t="s">
        <v>65</v>
      </c>
      <c r="AO527" s="23">
        <v>45904.738194444442</v>
      </c>
      <c r="AP527" s="26">
        <f t="shared" si="17"/>
        <v>84</v>
      </c>
    </row>
    <row r="528" spans="1:42" ht="25.5" hidden="1" customHeight="1">
      <c r="A528" s="19" t="s">
        <v>285</v>
      </c>
      <c r="B528" s="19" t="s">
        <v>4064</v>
      </c>
      <c r="C528" s="19" t="s">
        <v>4065</v>
      </c>
      <c r="D528" s="19" t="s">
        <v>45</v>
      </c>
      <c r="E528" s="19" t="s">
        <v>46</v>
      </c>
      <c r="F528" s="19" t="s">
        <v>4066</v>
      </c>
      <c r="G528" s="19" t="s">
        <v>48</v>
      </c>
      <c r="H528" s="19" t="s">
        <v>49</v>
      </c>
      <c r="I528" s="20">
        <v>45904.747916666667</v>
      </c>
      <c r="K528" s="19"/>
      <c r="L528" s="20">
        <v>45904.763888888891</v>
      </c>
      <c r="M528" s="19"/>
      <c r="N528" s="22">
        <f t="shared" ref="N528:N591" si="18">L528-I528</f>
        <v>1.5972222223354038E-2</v>
      </c>
      <c r="O528" s="19" t="s">
        <v>50</v>
      </c>
      <c r="P528" s="19" t="s">
        <v>4067</v>
      </c>
      <c r="Q528" s="19" t="s">
        <v>4068</v>
      </c>
      <c r="R528" s="19"/>
      <c r="S528" s="19"/>
      <c r="U528" s="19"/>
      <c r="W528" s="19"/>
      <c r="X528" s="19" t="s">
        <v>314</v>
      </c>
      <c r="Y528" s="27" t="s">
        <v>54</v>
      </c>
      <c r="Z528" s="27" t="s">
        <v>4069</v>
      </c>
      <c r="AA528" s="27" t="s">
        <v>4070</v>
      </c>
      <c r="AB528" s="27" t="s">
        <v>4071</v>
      </c>
      <c r="AC528" s="37" t="s">
        <v>4072</v>
      </c>
      <c r="AD528" s="38" t="s">
        <v>4073</v>
      </c>
      <c r="AE528" s="36">
        <v>45901</v>
      </c>
      <c r="AF528" s="19" t="s">
        <v>78</v>
      </c>
      <c r="AG528" s="19" t="s">
        <v>78</v>
      </c>
      <c r="AH528" s="19" t="s">
        <v>78</v>
      </c>
      <c r="AI528" s="19" t="s">
        <v>63</v>
      </c>
      <c r="AJ528" s="19" t="s">
        <v>4074</v>
      </c>
      <c r="AK528" s="19"/>
      <c r="AL528" s="19"/>
      <c r="AM528" s="19"/>
      <c r="AN528" s="19" t="s">
        <v>166</v>
      </c>
      <c r="AO528" s="23">
        <v>45904.747916666667</v>
      </c>
      <c r="AP528" s="26">
        <f t="shared" ref="AP528:AP591" si="19">((HOUR(N528)*60)+MINUTE(N528)+(SECOND(N528)/60))</f>
        <v>23</v>
      </c>
    </row>
    <row r="529" spans="1:42" ht="25.5" hidden="1" customHeight="1">
      <c r="A529" s="19" t="s">
        <v>116</v>
      </c>
      <c r="B529" s="19" t="s">
        <v>4075</v>
      </c>
      <c r="C529" s="19" t="s">
        <v>4076</v>
      </c>
      <c r="D529" s="19" t="s">
        <v>45</v>
      </c>
      <c r="E529" s="19" t="s">
        <v>46</v>
      </c>
      <c r="F529" s="19" t="s">
        <v>4077</v>
      </c>
      <c r="G529" s="19" t="s">
        <v>48</v>
      </c>
      <c r="H529" s="19" t="s">
        <v>49</v>
      </c>
      <c r="I529" s="20">
        <v>45905.057638888888</v>
      </c>
      <c r="K529" s="19"/>
      <c r="L529" s="20">
        <v>45905.090277777781</v>
      </c>
      <c r="M529" s="19"/>
      <c r="N529" s="22">
        <f t="shared" si="18"/>
        <v>3.2638888893416151E-2</v>
      </c>
      <c r="O529" s="19" t="s">
        <v>50</v>
      </c>
      <c r="P529" s="19" t="s">
        <v>4078</v>
      </c>
      <c r="Q529" s="19" t="s">
        <v>4079</v>
      </c>
      <c r="R529" s="19"/>
      <c r="S529" s="19"/>
      <c r="U529" s="19"/>
      <c r="W529" s="19"/>
      <c r="X529" s="19" t="s">
        <v>4080</v>
      </c>
      <c r="Y529" s="27" t="s">
        <v>147</v>
      </c>
      <c r="Z529" s="27" t="s">
        <v>78</v>
      </c>
      <c r="AA529" s="27" t="s">
        <v>78</v>
      </c>
      <c r="AB529" s="27" t="s">
        <v>78</v>
      </c>
      <c r="AC529" s="37" t="s">
        <v>78</v>
      </c>
      <c r="AD529" s="38" t="s">
        <v>78</v>
      </c>
      <c r="AE529" s="36">
        <v>45901</v>
      </c>
      <c r="AF529" s="19" t="s">
        <v>78</v>
      </c>
      <c r="AG529" s="19" t="s">
        <v>78</v>
      </c>
      <c r="AH529" s="19" t="s">
        <v>62</v>
      </c>
      <c r="AI529" s="19" t="s">
        <v>63</v>
      </c>
      <c r="AJ529" s="19" t="s">
        <v>4081</v>
      </c>
      <c r="AK529" s="19"/>
      <c r="AL529" s="19"/>
      <c r="AM529" s="19"/>
      <c r="AN529" s="19" t="s">
        <v>103</v>
      </c>
      <c r="AO529" s="23">
        <v>45905.057638888888</v>
      </c>
      <c r="AP529" s="26">
        <f t="shared" si="19"/>
        <v>47</v>
      </c>
    </row>
    <row r="530" spans="1:42" ht="25.5" hidden="1" customHeight="1">
      <c r="A530" s="19" t="s">
        <v>42</v>
      </c>
      <c r="C530" s="19" t="s">
        <v>2655</v>
      </c>
      <c r="D530" s="19" t="s">
        <v>45</v>
      </c>
      <c r="E530" s="19" t="s">
        <v>46</v>
      </c>
      <c r="F530" s="19" t="s">
        <v>4082</v>
      </c>
      <c r="G530" s="19" t="s">
        <v>48</v>
      </c>
      <c r="H530" s="19" t="s">
        <v>49</v>
      </c>
      <c r="I530" s="20">
        <v>45905.177083333343</v>
      </c>
      <c r="K530" s="19"/>
      <c r="L530" s="20">
        <v>45905.190972222219</v>
      </c>
      <c r="M530" s="19"/>
      <c r="N530" s="22">
        <f t="shared" si="18"/>
        <v>1.3888888875953853E-2</v>
      </c>
      <c r="O530" s="19" t="s">
        <v>63</v>
      </c>
      <c r="P530" s="19" t="s">
        <v>4083</v>
      </c>
      <c r="Q530" s="19" t="s">
        <v>4084</v>
      </c>
      <c r="R530" s="19"/>
      <c r="S530" s="19"/>
      <c r="U530" s="19"/>
      <c r="W530" s="19"/>
      <c r="X530" s="19" t="s">
        <v>2659</v>
      </c>
      <c r="Y530" s="27" t="s">
        <v>147</v>
      </c>
      <c r="Z530" s="27" t="s">
        <v>78</v>
      </c>
      <c r="AA530" s="27" t="s">
        <v>78</v>
      </c>
      <c r="AB530" s="27" t="s">
        <v>78</v>
      </c>
      <c r="AC530" s="37" t="s">
        <v>78</v>
      </c>
      <c r="AD530" s="38" t="s">
        <v>78</v>
      </c>
      <c r="AE530" s="36">
        <v>45901</v>
      </c>
      <c r="AF530" s="19" t="s">
        <v>89</v>
      </c>
      <c r="AG530" s="19" t="s">
        <v>90</v>
      </c>
      <c r="AH530" s="19" t="s">
        <v>62</v>
      </c>
      <c r="AI530" s="19" t="s">
        <v>63</v>
      </c>
      <c r="AJ530" s="19" t="s">
        <v>4085</v>
      </c>
      <c r="AK530" s="19"/>
      <c r="AL530" s="19"/>
      <c r="AM530" s="19"/>
      <c r="AN530" s="19" t="s">
        <v>65</v>
      </c>
      <c r="AO530" s="23">
        <v>45905.177083333343</v>
      </c>
      <c r="AP530" s="26">
        <f t="shared" si="19"/>
        <v>20</v>
      </c>
    </row>
    <row r="531" spans="1:42" ht="25.5" hidden="1" customHeight="1">
      <c r="A531" s="19" t="s">
        <v>42</v>
      </c>
      <c r="B531" s="19" t="s">
        <v>4086</v>
      </c>
      <c r="C531" s="19" t="s">
        <v>4087</v>
      </c>
      <c r="D531" s="19" t="s">
        <v>45</v>
      </c>
      <c r="E531" s="19" t="s">
        <v>46</v>
      </c>
      <c r="F531" s="19" t="s">
        <v>4088</v>
      </c>
      <c r="G531" s="19" t="s">
        <v>48</v>
      </c>
      <c r="H531" s="19" t="s">
        <v>49</v>
      </c>
      <c r="I531" s="20">
        <v>45905.200694444437</v>
      </c>
      <c r="K531" s="19"/>
      <c r="L531" s="20">
        <v>45905.209722222222</v>
      </c>
      <c r="M531" s="19"/>
      <c r="N531" s="22">
        <f t="shared" si="18"/>
        <v>9.0277777853771113E-3</v>
      </c>
      <c r="O531" s="19" t="s">
        <v>50</v>
      </c>
      <c r="P531" s="19" t="s">
        <v>4089</v>
      </c>
      <c r="Q531" s="19" t="s">
        <v>4090</v>
      </c>
      <c r="R531" s="19"/>
      <c r="S531" s="19"/>
      <c r="U531" s="19"/>
      <c r="W531" s="19"/>
      <c r="X531" s="19" t="s">
        <v>314</v>
      </c>
      <c r="Y531" s="27" t="s">
        <v>133</v>
      </c>
      <c r="Z531" s="27" t="s">
        <v>4091</v>
      </c>
      <c r="AA531" s="27" t="s">
        <v>4092</v>
      </c>
      <c r="AB531" s="27" t="s">
        <v>4093</v>
      </c>
      <c r="AC531" s="37" t="s">
        <v>4094</v>
      </c>
      <c r="AD531" s="38" t="s">
        <v>4095</v>
      </c>
      <c r="AE531" s="36">
        <v>45901</v>
      </c>
      <c r="AF531" s="19" t="s">
        <v>99</v>
      </c>
      <c r="AG531" s="19" t="s">
        <v>971</v>
      </c>
      <c r="AH531" s="19" t="s">
        <v>62</v>
      </c>
      <c r="AI531" s="19" t="s">
        <v>63</v>
      </c>
      <c r="AJ531" s="19" t="s">
        <v>4096</v>
      </c>
      <c r="AK531" s="19" t="s">
        <v>4097</v>
      </c>
      <c r="AL531" s="19"/>
      <c r="AM531" s="19"/>
      <c r="AN531" s="19" t="s">
        <v>103</v>
      </c>
      <c r="AO531" s="23">
        <v>45905.200694444437</v>
      </c>
      <c r="AP531" s="26">
        <f t="shared" si="19"/>
        <v>13</v>
      </c>
    </row>
    <row r="532" spans="1:42" ht="25.5" hidden="1" customHeight="1">
      <c r="A532" s="19" t="s">
        <v>42</v>
      </c>
      <c r="B532" s="19" t="s">
        <v>202</v>
      </c>
      <c r="C532" s="19" t="s">
        <v>3818</v>
      </c>
      <c r="D532" s="19" t="s">
        <v>45</v>
      </c>
      <c r="E532" s="19" t="s">
        <v>225</v>
      </c>
      <c r="F532" s="19" t="s">
        <v>4098</v>
      </c>
      <c r="G532" s="19" t="s">
        <v>48</v>
      </c>
      <c r="H532" s="19" t="s">
        <v>49</v>
      </c>
      <c r="I532" s="20">
        <v>45905.379861111112</v>
      </c>
      <c r="K532" s="19"/>
      <c r="L532" s="20">
        <v>45905.429166666669</v>
      </c>
      <c r="M532" s="19"/>
      <c r="N532" s="22">
        <f t="shared" si="18"/>
        <v>4.9305555556202307E-2</v>
      </c>
      <c r="O532" s="19" t="s">
        <v>50</v>
      </c>
      <c r="P532" s="19" t="s">
        <v>4099</v>
      </c>
      <c r="Q532" s="19" t="s">
        <v>4100</v>
      </c>
      <c r="R532" s="19"/>
      <c r="S532" s="19"/>
      <c r="U532" s="19"/>
      <c r="W532" s="19"/>
      <c r="X532" s="19" t="s">
        <v>1589</v>
      </c>
      <c r="Y532" s="27" t="s">
        <v>147</v>
      </c>
      <c r="Z532" s="27" t="s">
        <v>78</v>
      </c>
      <c r="AA532" s="27" t="s">
        <v>78</v>
      </c>
      <c r="AB532" s="27" t="s">
        <v>78</v>
      </c>
      <c r="AC532" s="37" t="s">
        <v>78</v>
      </c>
      <c r="AD532" s="38" t="s">
        <v>78</v>
      </c>
      <c r="AE532" s="36">
        <v>45901</v>
      </c>
      <c r="AF532" s="19" t="s">
        <v>89</v>
      </c>
      <c r="AG532" s="19" t="s">
        <v>90</v>
      </c>
      <c r="AH532" s="19" t="s">
        <v>62</v>
      </c>
      <c r="AI532" s="19" t="s">
        <v>63</v>
      </c>
      <c r="AJ532" s="19" t="s">
        <v>4101</v>
      </c>
      <c r="AK532" s="19"/>
      <c r="AL532" s="19"/>
      <c r="AM532" s="19"/>
      <c r="AN532" s="19" t="s">
        <v>65</v>
      </c>
      <c r="AO532" s="23">
        <v>45905.379861111112</v>
      </c>
      <c r="AP532" s="26">
        <f t="shared" si="19"/>
        <v>71</v>
      </c>
    </row>
    <row r="533" spans="1:42" ht="25.5" hidden="1" customHeight="1">
      <c r="A533" s="19" t="s">
        <v>285</v>
      </c>
      <c r="B533" s="19" t="s">
        <v>4102</v>
      </c>
      <c r="C533" s="19" t="s">
        <v>4065</v>
      </c>
      <c r="D533" s="19" t="s">
        <v>45</v>
      </c>
      <c r="E533" s="19" t="s">
        <v>46</v>
      </c>
      <c r="F533" s="19" t="s">
        <v>4066</v>
      </c>
      <c r="G533" s="19" t="s">
        <v>226</v>
      </c>
      <c r="H533" s="19" t="s">
        <v>49</v>
      </c>
      <c r="I533" s="20">
        <v>45905.444444444453</v>
      </c>
      <c r="K533" s="19"/>
      <c r="L533" s="20">
        <v>45905.452777777777</v>
      </c>
      <c r="M533" s="19"/>
      <c r="N533" s="22">
        <f t="shared" si="18"/>
        <v>8.3333333241171204E-3</v>
      </c>
      <c r="O533" s="19" t="s">
        <v>50</v>
      </c>
      <c r="P533" s="19" t="s">
        <v>4103</v>
      </c>
      <c r="Q533" s="19" t="s">
        <v>4104</v>
      </c>
      <c r="R533" s="19"/>
      <c r="S533" s="19"/>
      <c r="U533" s="19"/>
      <c r="W533" s="19"/>
      <c r="X533" s="19" t="s">
        <v>314</v>
      </c>
      <c r="Y533" s="27" t="s">
        <v>54</v>
      </c>
      <c r="Z533" s="27" t="s">
        <v>4105</v>
      </c>
      <c r="AA533" s="27" t="s">
        <v>4106</v>
      </c>
      <c r="AB533" s="27" t="s">
        <v>4107</v>
      </c>
      <c r="AC533" s="37" t="s">
        <v>4108</v>
      </c>
      <c r="AD533" s="38" t="s">
        <v>4109</v>
      </c>
      <c r="AE533" s="36">
        <v>45901</v>
      </c>
      <c r="AF533" s="19" t="s">
        <v>78</v>
      </c>
      <c r="AG533" s="19" t="s">
        <v>78</v>
      </c>
      <c r="AH533" s="19" t="s">
        <v>78</v>
      </c>
      <c r="AI533" s="19" t="s">
        <v>50</v>
      </c>
      <c r="AJ533" s="19" t="s">
        <v>4110</v>
      </c>
      <c r="AK533" s="19"/>
      <c r="AL533" s="19"/>
      <c r="AM533" s="19"/>
      <c r="AN533" s="19" t="s">
        <v>65</v>
      </c>
      <c r="AO533" s="23">
        <v>45905.444444444453</v>
      </c>
      <c r="AP533" s="26">
        <f t="shared" si="19"/>
        <v>12</v>
      </c>
    </row>
    <row r="534" spans="1:42" ht="25.5" hidden="1" customHeight="1">
      <c r="A534" s="19" t="s">
        <v>116</v>
      </c>
      <c r="B534" s="19" t="s">
        <v>309</v>
      </c>
      <c r="C534" s="19" t="s">
        <v>2907</v>
      </c>
      <c r="D534" s="19" t="s">
        <v>45</v>
      </c>
      <c r="E534" s="19" t="s">
        <v>46</v>
      </c>
      <c r="F534" s="19" t="s">
        <v>4111</v>
      </c>
      <c r="G534" s="19" t="s">
        <v>48</v>
      </c>
      <c r="H534" s="19" t="s">
        <v>49</v>
      </c>
      <c r="I534" s="20">
        <v>45905.722222222219</v>
      </c>
      <c r="K534" s="19"/>
      <c r="L534" s="20">
        <v>45905.734722222223</v>
      </c>
      <c r="M534" s="19"/>
      <c r="N534" s="22">
        <f t="shared" si="18"/>
        <v>1.2500000004365575E-2</v>
      </c>
      <c r="O534" s="19" t="s">
        <v>50</v>
      </c>
      <c r="P534" s="19" t="s">
        <v>4112</v>
      </c>
      <c r="Q534" s="19" t="s">
        <v>4113</v>
      </c>
      <c r="R534" s="19"/>
      <c r="S534" s="19"/>
      <c r="U534" s="19"/>
      <c r="W534" s="19"/>
      <c r="X534" s="19" t="s">
        <v>620</v>
      </c>
      <c r="Y534" s="27" t="s">
        <v>54</v>
      </c>
      <c r="Z534" s="27" t="s">
        <v>55</v>
      </c>
      <c r="AA534" s="27" t="s">
        <v>4114</v>
      </c>
      <c r="AB534" s="27" t="s">
        <v>4115</v>
      </c>
      <c r="AC534" s="37" t="s">
        <v>4116</v>
      </c>
      <c r="AD534" s="38" t="s">
        <v>4117</v>
      </c>
      <c r="AE534" s="36">
        <v>45901</v>
      </c>
      <c r="AF534" s="19" t="s">
        <v>78</v>
      </c>
      <c r="AG534" s="19" t="s">
        <v>78</v>
      </c>
      <c r="AH534" s="19" t="s">
        <v>78</v>
      </c>
      <c r="AI534" s="19" t="s">
        <v>63</v>
      </c>
      <c r="AJ534" s="19" t="s">
        <v>4118</v>
      </c>
      <c r="AK534" s="19"/>
      <c r="AL534" s="19"/>
      <c r="AM534" s="19"/>
      <c r="AN534" s="19" t="s">
        <v>128</v>
      </c>
      <c r="AO534" s="23">
        <v>45905.727083333331</v>
      </c>
      <c r="AP534" s="26">
        <f t="shared" si="19"/>
        <v>18</v>
      </c>
    </row>
    <row r="535" spans="1:42" ht="25.5" hidden="1" customHeight="1">
      <c r="A535" s="19" t="s">
        <v>42</v>
      </c>
      <c r="B535" s="19" t="s">
        <v>3327</v>
      </c>
      <c r="C535" s="19" t="s">
        <v>868</v>
      </c>
      <c r="D535" s="19" t="s">
        <v>45</v>
      </c>
      <c r="E535" s="19" t="s">
        <v>46</v>
      </c>
      <c r="F535" s="19" t="s">
        <v>4119</v>
      </c>
      <c r="G535" s="19" t="s">
        <v>48</v>
      </c>
      <c r="H535" s="19" t="s">
        <v>49</v>
      </c>
      <c r="I535" s="20">
        <v>45905.895833333343</v>
      </c>
      <c r="K535" s="19"/>
      <c r="L535" s="20">
        <v>45905.926388888889</v>
      </c>
      <c r="M535" s="19"/>
      <c r="N535" s="22">
        <f t="shared" si="18"/>
        <v>3.0555555546015967E-2</v>
      </c>
      <c r="O535" s="19" t="s">
        <v>63</v>
      </c>
      <c r="P535" s="19" t="s">
        <v>4120</v>
      </c>
      <c r="Q535" s="19" t="s">
        <v>4121</v>
      </c>
      <c r="R535" s="19"/>
      <c r="S535" s="19"/>
      <c r="U535" s="19"/>
      <c r="W535" s="19"/>
      <c r="X535" s="19" t="s">
        <v>746</v>
      </c>
      <c r="Y535" s="27" t="s">
        <v>54</v>
      </c>
      <c r="Z535" s="27" t="s">
        <v>1691</v>
      </c>
      <c r="AA535" s="27" t="s">
        <v>4122</v>
      </c>
      <c r="AB535" s="27" t="s">
        <v>4123</v>
      </c>
      <c r="AC535" s="37" t="s">
        <v>4124</v>
      </c>
      <c r="AD535" s="38" t="s">
        <v>4125</v>
      </c>
      <c r="AE535" s="36">
        <v>45901</v>
      </c>
      <c r="AF535" s="19" t="s">
        <v>99</v>
      </c>
      <c r="AG535" s="19" t="s">
        <v>1159</v>
      </c>
      <c r="AH535" s="19" t="s">
        <v>62</v>
      </c>
      <c r="AI535" s="19" t="s">
        <v>63</v>
      </c>
      <c r="AJ535" s="19" t="s">
        <v>4126</v>
      </c>
      <c r="AK535" s="19"/>
      <c r="AL535" s="19"/>
      <c r="AM535" s="19"/>
      <c r="AN535" s="19" t="s">
        <v>128</v>
      </c>
      <c r="AO535" s="23">
        <v>45905.895833333343</v>
      </c>
      <c r="AP535" s="26">
        <f t="shared" si="19"/>
        <v>44</v>
      </c>
    </row>
    <row r="536" spans="1:42" ht="25.5" hidden="1" customHeight="1">
      <c r="A536" s="19" t="s">
        <v>42</v>
      </c>
      <c r="C536" s="19" t="s">
        <v>3818</v>
      </c>
      <c r="D536" s="19" t="s">
        <v>45</v>
      </c>
      <c r="E536" s="19" t="s">
        <v>46</v>
      </c>
      <c r="F536" s="19" t="s">
        <v>4127</v>
      </c>
      <c r="G536" s="19" t="s">
        <v>48</v>
      </c>
      <c r="H536" s="19" t="s">
        <v>49</v>
      </c>
      <c r="I536" s="20">
        <v>45906.283333333333</v>
      </c>
      <c r="K536" s="19"/>
      <c r="L536" s="20">
        <v>45906.291666666657</v>
      </c>
      <c r="M536" s="19"/>
      <c r="N536" s="22">
        <f t="shared" si="18"/>
        <v>8.3333333241171204E-3</v>
      </c>
      <c r="O536" s="19" t="s">
        <v>50</v>
      </c>
      <c r="P536" s="19" t="s">
        <v>4128</v>
      </c>
      <c r="Q536" s="19" t="s">
        <v>4129</v>
      </c>
      <c r="R536" s="19"/>
      <c r="S536" s="19"/>
      <c r="U536" s="19"/>
      <c r="W536" s="19"/>
      <c r="X536" s="19" t="s">
        <v>1589</v>
      </c>
      <c r="Y536" s="27" t="s">
        <v>147</v>
      </c>
      <c r="Z536" s="27" t="s">
        <v>78</v>
      </c>
      <c r="AA536" s="27" t="s">
        <v>78</v>
      </c>
      <c r="AB536" s="27" t="s">
        <v>78</v>
      </c>
      <c r="AC536" s="37" t="s">
        <v>78</v>
      </c>
      <c r="AD536" s="38" t="s">
        <v>78</v>
      </c>
      <c r="AE536" s="36">
        <v>45901</v>
      </c>
      <c r="AF536" s="19" t="s">
        <v>89</v>
      </c>
      <c r="AG536" s="19" t="s">
        <v>90</v>
      </c>
      <c r="AH536" s="19" t="s">
        <v>62</v>
      </c>
      <c r="AI536" s="19" t="s">
        <v>63</v>
      </c>
      <c r="AJ536" s="19" t="s">
        <v>4130</v>
      </c>
      <c r="AK536" s="19"/>
      <c r="AL536" s="19"/>
      <c r="AM536" s="19"/>
      <c r="AN536" s="19" t="s">
        <v>65</v>
      </c>
      <c r="AO536" s="23">
        <v>45906.283333333333</v>
      </c>
      <c r="AP536" s="26">
        <f t="shared" si="19"/>
        <v>12</v>
      </c>
    </row>
    <row r="537" spans="1:42" ht="25.5" customHeight="1">
      <c r="A537" s="19" t="s">
        <v>42</v>
      </c>
      <c r="B537" s="19" t="s">
        <v>4131</v>
      </c>
      <c r="C537" s="19" t="s">
        <v>4132</v>
      </c>
      <c r="D537" s="19" t="s">
        <v>45</v>
      </c>
      <c r="E537" s="19" t="s">
        <v>46</v>
      </c>
      <c r="F537" s="19" t="s">
        <v>4133</v>
      </c>
      <c r="G537" s="19" t="s">
        <v>48</v>
      </c>
      <c r="H537" s="19" t="s">
        <v>152</v>
      </c>
      <c r="I537" s="20">
        <v>45906.34652777778</v>
      </c>
      <c r="J537" s="20">
        <v>45906.395833333343</v>
      </c>
      <c r="K537" s="19"/>
      <c r="L537" s="20">
        <v>45906.4375</v>
      </c>
      <c r="M537" s="19"/>
      <c r="N537" s="22">
        <f t="shared" si="18"/>
        <v>9.0972222220443655E-2</v>
      </c>
      <c r="O537" s="19" t="s">
        <v>50</v>
      </c>
      <c r="P537" s="19" t="s">
        <v>4134</v>
      </c>
      <c r="Q537" s="19" t="s">
        <v>4135</v>
      </c>
      <c r="R537" s="19" t="s">
        <v>4136</v>
      </c>
      <c r="S537" s="19" t="s">
        <v>4137</v>
      </c>
      <c r="T537" s="20">
        <v>45906.615127314813</v>
      </c>
      <c r="U537" s="19">
        <v>45915.513888888891</v>
      </c>
      <c r="V537" s="19" t="s">
        <v>157</v>
      </c>
      <c r="W537" s="19"/>
      <c r="X537" s="19" t="s">
        <v>301</v>
      </c>
      <c r="Y537" s="27" t="s">
        <v>54</v>
      </c>
      <c r="Z537" s="27" t="s">
        <v>4138</v>
      </c>
      <c r="AA537" s="27" t="s">
        <v>4139</v>
      </c>
      <c r="AB537" s="27" t="s">
        <v>4140</v>
      </c>
      <c r="AC537" s="37" t="s">
        <v>4141</v>
      </c>
      <c r="AD537" s="38" t="s">
        <v>4142</v>
      </c>
      <c r="AE537" s="36">
        <v>45901</v>
      </c>
      <c r="AF537" s="19" t="s">
        <v>89</v>
      </c>
      <c r="AG537" s="19" t="s">
        <v>90</v>
      </c>
      <c r="AH537" s="19" t="s">
        <v>62</v>
      </c>
      <c r="AI537" s="19" t="s">
        <v>50</v>
      </c>
      <c r="AJ537" s="19" t="s">
        <v>4143</v>
      </c>
      <c r="AK537" s="19"/>
      <c r="AL537" s="19"/>
      <c r="AM537" s="19"/>
      <c r="AN537" s="19" t="s">
        <v>103</v>
      </c>
      <c r="AO537" s="23">
        <v>45906.359027777777</v>
      </c>
      <c r="AP537" s="26">
        <f t="shared" si="19"/>
        <v>131</v>
      </c>
    </row>
    <row r="538" spans="1:42" ht="25.5" customHeight="1">
      <c r="A538" s="19" t="s">
        <v>42</v>
      </c>
      <c r="B538" s="19" t="s">
        <v>4144</v>
      </c>
      <c r="C538" s="19" t="s">
        <v>4145</v>
      </c>
      <c r="D538" s="19" t="s">
        <v>45</v>
      </c>
      <c r="E538" s="19" t="s">
        <v>46</v>
      </c>
      <c r="F538" s="19" t="s">
        <v>4146</v>
      </c>
      <c r="G538" s="19" t="s">
        <v>48</v>
      </c>
      <c r="H538" s="19" t="s">
        <v>152</v>
      </c>
      <c r="I538" s="20">
        <v>45906.350694444453</v>
      </c>
      <c r="J538" s="20">
        <v>45906.474305555559</v>
      </c>
      <c r="K538" s="19"/>
      <c r="L538" s="20">
        <v>45906.645833333343</v>
      </c>
      <c r="M538" s="19"/>
      <c r="N538" s="22">
        <f t="shared" si="18"/>
        <v>0.29513888889050577</v>
      </c>
      <c r="O538" s="19" t="s">
        <v>50</v>
      </c>
      <c r="P538" s="19" t="s">
        <v>4147</v>
      </c>
      <c r="Q538" s="19" t="s">
        <v>4148</v>
      </c>
      <c r="R538" s="19" t="s">
        <v>4149</v>
      </c>
      <c r="S538" s="19" t="s">
        <v>4150</v>
      </c>
      <c r="T538" s="20">
        <v>45906.768842592603</v>
      </c>
      <c r="U538" s="19">
        <v>45923.481944444437</v>
      </c>
      <c r="V538" s="19" t="s">
        <v>157</v>
      </c>
      <c r="W538" s="19"/>
      <c r="X538" s="19" t="s">
        <v>53</v>
      </c>
      <c r="Y538" s="27" t="s">
        <v>133</v>
      </c>
      <c r="Z538" s="27" t="s">
        <v>414</v>
      </c>
      <c r="AA538" s="27" t="s">
        <v>4151</v>
      </c>
      <c r="AB538" s="27" t="s">
        <v>4152</v>
      </c>
      <c r="AC538" s="37">
        <v>45906.248611111107</v>
      </c>
      <c r="AD538" s="38">
        <v>45906.371527777781</v>
      </c>
      <c r="AE538" s="36">
        <v>45901</v>
      </c>
      <c r="AF538" s="19" t="s">
        <v>60</v>
      </c>
      <c r="AG538" s="19" t="s">
        <v>307</v>
      </c>
      <c r="AH538" s="19" t="s">
        <v>164</v>
      </c>
      <c r="AI538" s="19" t="s">
        <v>63</v>
      </c>
      <c r="AJ538" s="19" t="s">
        <v>4153</v>
      </c>
      <c r="AK538" s="19"/>
      <c r="AL538" s="19"/>
      <c r="AM538" s="19"/>
      <c r="AN538" s="19" t="s">
        <v>103</v>
      </c>
      <c r="AO538" s="23">
        <v>45906.350694444453</v>
      </c>
      <c r="AP538" s="26">
        <f t="shared" si="19"/>
        <v>425</v>
      </c>
    </row>
    <row r="539" spans="1:42" ht="25.5" hidden="1" customHeight="1">
      <c r="A539" s="19" t="s">
        <v>42</v>
      </c>
      <c r="C539" s="19" t="s">
        <v>3715</v>
      </c>
      <c r="D539" s="19" t="s">
        <v>45</v>
      </c>
      <c r="E539" s="19" t="s">
        <v>46</v>
      </c>
      <c r="F539" s="19" t="s">
        <v>4154</v>
      </c>
      <c r="G539" s="19" t="s">
        <v>48</v>
      </c>
      <c r="H539" s="19" t="s">
        <v>49</v>
      </c>
      <c r="I539" s="20">
        <v>45906.4375</v>
      </c>
      <c r="K539" s="19"/>
      <c r="L539" s="20">
        <v>45906.479166666657</v>
      </c>
      <c r="M539" s="19"/>
      <c r="N539" s="22">
        <f t="shared" si="18"/>
        <v>4.166666665696539E-2</v>
      </c>
      <c r="O539" s="19" t="s">
        <v>63</v>
      </c>
      <c r="P539" s="19" t="s">
        <v>4155</v>
      </c>
      <c r="Q539" s="19" t="s">
        <v>4156</v>
      </c>
      <c r="R539" s="19"/>
      <c r="S539" s="19"/>
      <c r="U539" s="19"/>
      <c r="W539" s="19"/>
      <c r="X539" s="19" t="s">
        <v>191</v>
      </c>
      <c r="Y539" s="27" t="s">
        <v>147</v>
      </c>
      <c r="Z539" s="27" t="s">
        <v>78</v>
      </c>
      <c r="AA539" s="27" t="s">
        <v>78</v>
      </c>
      <c r="AB539" s="27" t="s">
        <v>78</v>
      </c>
      <c r="AC539" s="37" t="s">
        <v>78</v>
      </c>
      <c r="AD539" s="38" t="s">
        <v>78</v>
      </c>
      <c r="AE539" s="36">
        <v>45901</v>
      </c>
      <c r="AF539" s="19" t="s">
        <v>89</v>
      </c>
      <c r="AG539" s="19" t="s">
        <v>90</v>
      </c>
      <c r="AH539" s="19" t="s">
        <v>62</v>
      </c>
      <c r="AI539" s="19" t="s">
        <v>63</v>
      </c>
      <c r="AJ539" s="19" t="s">
        <v>4157</v>
      </c>
      <c r="AK539" s="19"/>
      <c r="AL539" s="19"/>
      <c r="AM539" s="19"/>
      <c r="AN539" s="19" t="s">
        <v>65</v>
      </c>
      <c r="AO539" s="23">
        <v>45906.4375</v>
      </c>
      <c r="AP539" s="26">
        <f t="shared" si="19"/>
        <v>60</v>
      </c>
    </row>
    <row r="540" spans="1:42" ht="25.5" hidden="1" customHeight="1">
      <c r="A540" s="19" t="s">
        <v>42</v>
      </c>
      <c r="B540" s="19" t="s">
        <v>4131</v>
      </c>
      <c r="C540" s="19" t="s">
        <v>4132</v>
      </c>
      <c r="D540" s="19" t="s">
        <v>45</v>
      </c>
      <c r="E540" s="19" t="s">
        <v>46</v>
      </c>
      <c r="F540" s="19" t="s">
        <v>4133</v>
      </c>
      <c r="G540" s="19" t="s">
        <v>226</v>
      </c>
      <c r="H540" s="19" t="s">
        <v>49</v>
      </c>
      <c r="I540" s="20">
        <v>45906.438194444447</v>
      </c>
      <c r="K540" s="19"/>
      <c r="L540" s="20">
        <v>45906.493055555547</v>
      </c>
      <c r="M540" s="19"/>
      <c r="N540" s="22">
        <f t="shared" si="18"/>
        <v>5.4861111100763083E-2</v>
      </c>
      <c r="O540" s="19" t="s">
        <v>50</v>
      </c>
      <c r="P540" s="19" t="s">
        <v>4134</v>
      </c>
      <c r="Q540" s="19" t="s">
        <v>4158</v>
      </c>
      <c r="R540" s="19" t="s">
        <v>4136</v>
      </c>
      <c r="S540" s="19" t="s">
        <v>4137</v>
      </c>
      <c r="T540" s="20">
        <v>45906.615127314813</v>
      </c>
      <c r="U540" s="19">
        <v>45915.513888888891</v>
      </c>
      <c r="V540" s="19" t="s">
        <v>157</v>
      </c>
      <c r="W540" s="19"/>
      <c r="X540" s="19" t="s">
        <v>301</v>
      </c>
      <c r="Y540" s="27" t="s">
        <v>54</v>
      </c>
      <c r="Z540" s="27" t="s">
        <v>84</v>
      </c>
      <c r="AA540" s="27" t="s">
        <v>4159</v>
      </c>
      <c r="AB540" s="27" t="s">
        <v>4160</v>
      </c>
      <c r="AC540" s="37" t="s">
        <v>4161</v>
      </c>
      <c r="AD540" s="38" t="s">
        <v>4162</v>
      </c>
      <c r="AE540" s="36">
        <v>45901</v>
      </c>
      <c r="AF540" s="19" t="s">
        <v>89</v>
      </c>
      <c r="AG540" s="19" t="s">
        <v>90</v>
      </c>
      <c r="AH540" s="19" t="s">
        <v>62</v>
      </c>
      <c r="AI540" s="19" t="s">
        <v>50</v>
      </c>
      <c r="AJ540" s="19" t="s">
        <v>4143</v>
      </c>
      <c r="AK540" s="19"/>
      <c r="AL540" s="19"/>
      <c r="AM540" s="19"/>
      <c r="AN540" s="19" t="s">
        <v>103</v>
      </c>
      <c r="AO540" s="23">
        <v>45906.359027777777</v>
      </c>
      <c r="AP540" s="26">
        <f t="shared" si="19"/>
        <v>79</v>
      </c>
    </row>
    <row r="541" spans="1:42" ht="25.5" hidden="1" customHeight="1">
      <c r="A541" s="19" t="s">
        <v>42</v>
      </c>
      <c r="B541" s="19" t="s">
        <v>4163</v>
      </c>
      <c r="C541" s="19" t="s">
        <v>4164</v>
      </c>
      <c r="D541" s="19" t="s">
        <v>45</v>
      </c>
      <c r="E541" s="19" t="s">
        <v>46</v>
      </c>
      <c r="F541" s="19" t="s">
        <v>4165</v>
      </c>
      <c r="G541" s="19" t="s">
        <v>48</v>
      </c>
      <c r="H541" s="19" t="s">
        <v>49</v>
      </c>
      <c r="I541" s="20">
        <v>45906.675694444442</v>
      </c>
      <c r="K541" s="19"/>
      <c r="L541" s="20">
        <v>45906.734027777777</v>
      </c>
      <c r="M541" s="19"/>
      <c r="N541" s="22">
        <f t="shared" si="18"/>
        <v>5.8333333334303461E-2</v>
      </c>
      <c r="O541" s="19" t="s">
        <v>50</v>
      </c>
      <c r="P541" s="19" t="s">
        <v>4166</v>
      </c>
      <c r="Q541" s="19" t="s">
        <v>4167</v>
      </c>
      <c r="R541" s="19"/>
      <c r="S541" s="19"/>
      <c r="U541" s="19"/>
      <c r="W541" s="19"/>
      <c r="X541" s="19" t="s">
        <v>109</v>
      </c>
      <c r="Y541" s="27" t="s">
        <v>54</v>
      </c>
      <c r="Z541" s="27" t="s">
        <v>1089</v>
      </c>
      <c r="AA541" s="27" t="s">
        <v>4168</v>
      </c>
      <c r="AB541" s="27" t="s">
        <v>4169</v>
      </c>
      <c r="AC541" s="37" t="s">
        <v>4170</v>
      </c>
      <c r="AD541" s="38" t="s">
        <v>4171</v>
      </c>
      <c r="AE541" s="36">
        <v>45901</v>
      </c>
      <c r="AF541" s="19" t="s">
        <v>78</v>
      </c>
      <c r="AG541" s="19" t="s">
        <v>78</v>
      </c>
      <c r="AH541" s="19" t="s">
        <v>78</v>
      </c>
      <c r="AI541" s="19" t="s">
        <v>63</v>
      </c>
      <c r="AJ541" s="19" t="s">
        <v>4172</v>
      </c>
      <c r="AK541" s="19"/>
      <c r="AL541" s="19"/>
      <c r="AM541" s="19"/>
      <c r="AN541" s="19" t="s">
        <v>128</v>
      </c>
      <c r="AO541" s="23">
        <v>45906.675694444442</v>
      </c>
      <c r="AP541" s="26">
        <f t="shared" si="19"/>
        <v>84</v>
      </c>
    </row>
    <row r="542" spans="1:42" ht="25.5" hidden="1" customHeight="1">
      <c r="A542" s="19" t="s">
        <v>42</v>
      </c>
      <c r="B542" s="19" t="s">
        <v>383</v>
      </c>
      <c r="C542" s="19" t="s">
        <v>2019</v>
      </c>
      <c r="D542" s="19" t="s">
        <v>45</v>
      </c>
      <c r="E542" s="19" t="s">
        <v>46</v>
      </c>
      <c r="F542" s="19" t="s">
        <v>4173</v>
      </c>
      <c r="G542" s="19" t="s">
        <v>48</v>
      </c>
      <c r="H542" s="19" t="s">
        <v>49</v>
      </c>
      <c r="I542" s="20">
        <v>45906.734027777777</v>
      </c>
      <c r="K542" s="19"/>
      <c r="L542" s="20">
        <v>45906.811111111107</v>
      </c>
      <c r="M542" s="19"/>
      <c r="N542" s="22">
        <f t="shared" si="18"/>
        <v>7.7083333329937886E-2</v>
      </c>
      <c r="O542" s="19" t="s">
        <v>63</v>
      </c>
      <c r="P542" s="19" t="s">
        <v>4174</v>
      </c>
      <c r="Q542" s="19" t="s">
        <v>4175</v>
      </c>
      <c r="R542" s="19"/>
      <c r="S542" s="19"/>
      <c r="U542" s="19"/>
      <c r="W542" s="19"/>
      <c r="X542" s="19" t="s">
        <v>109</v>
      </c>
      <c r="Y542" s="27" t="s">
        <v>133</v>
      </c>
      <c r="Z542" s="27" t="s">
        <v>1988</v>
      </c>
      <c r="AA542" s="27" t="s">
        <v>4176</v>
      </c>
      <c r="AB542" s="27" t="s">
        <v>4177</v>
      </c>
      <c r="AC542" s="37" t="s">
        <v>4178</v>
      </c>
      <c r="AD542" s="38" t="s">
        <v>4179</v>
      </c>
      <c r="AE542" s="36">
        <v>45901</v>
      </c>
      <c r="AF542" s="19" t="s">
        <v>60</v>
      </c>
      <c r="AG542" s="19" t="s">
        <v>78</v>
      </c>
      <c r="AH542" s="19" t="s">
        <v>78</v>
      </c>
      <c r="AI542" s="19" t="s">
        <v>63</v>
      </c>
      <c r="AJ542" s="19" t="s">
        <v>4180</v>
      </c>
      <c r="AK542" s="19"/>
      <c r="AL542" s="19"/>
      <c r="AM542" s="19"/>
      <c r="AN542" s="19" t="s">
        <v>103</v>
      </c>
      <c r="AO542" s="23">
        <v>45906.734027777777</v>
      </c>
      <c r="AP542" s="26">
        <f t="shared" si="19"/>
        <v>111</v>
      </c>
    </row>
    <row r="543" spans="1:42" ht="25.5" hidden="1" customHeight="1">
      <c r="A543" s="19" t="s">
        <v>42</v>
      </c>
      <c r="B543" s="19" t="s">
        <v>4163</v>
      </c>
      <c r="C543" s="19" t="s">
        <v>4164</v>
      </c>
      <c r="D543" s="19" t="s">
        <v>45</v>
      </c>
      <c r="E543" s="19" t="s">
        <v>46</v>
      </c>
      <c r="F543" s="19" t="s">
        <v>4165</v>
      </c>
      <c r="G543" s="19" t="s">
        <v>226</v>
      </c>
      <c r="H543" s="19" t="s">
        <v>49</v>
      </c>
      <c r="I543" s="20">
        <v>45906.861111111109</v>
      </c>
      <c r="K543" s="19"/>
      <c r="L543" s="20">
        <v>45906.871527777781</v>
      </c>
      <c r="M543" s="19"/>
      <c r="N543" s="22">
        <f t="shared" si="18"/>
        <v>1.0416666671517305E-2</v>
      </c>
      <c r="O543" s="19" t="s">
        <v>50</v>
      </c>
      <c r="P543" s="19" t="s">
        <v>4181</v>
      </c>
      <c r="Q543" s="19" t="s">
        <v>4182</v>
      </c>
      <c r="R543" s="19"/>
      <c r="S543" s="19"/>
      <c r="U543" s="19"/>
      <c r="W543" s="19"/>
      <c r="X543" s="19" t="s">
        <v>109</v>
      </c>
      <c r="Y543" s="27" t="s">
        <v>54</v>
      </c>
      <c r="Z543" s="27" t="s">
        <v>209</v>
      </c>
      <c r="AA543" s="27" t="s">
        <v>4183</v>
      </c>
      <c r="AB543" s="27" t="s">
        <v>4184</v>
      </c>
      <c r="AC543" s="37">
        <v>45906.848611111112</v>
      </c>
      <c r="AD543" s="38">
        <v>45906.862500000003</v>
      </c>
      <c r="AE543" s="36">
        <v>45901</v>
      </c>
      <c r="AF543" s="19" t="s">
        <v>78</v>
      </c>
      <c r="AG543" s="19" t="s">
        <v>78</v>
      </c>
      <c r="AH543" s="19" t="s">
        <v>78</v>
      </c>
      <c r="AI543" s="19" t="s">
        <v>50</v>
      </c>
      <c r="AJ543" s="19" t="s">
        <v>4185</v>
      </c>
      <c r="AK543" s="19"/>
      <c r="AL543" s="19"/>
      <c r="AM543" s="19"/>
      <c r="AN543" s="19" t="s">
        <v>65</v>
      </c>
      <c r="AO543" s="23">
        <v>45906.869444444441</v>
      </c>
      <c r="AP543" s="26">
        <f t="shared" si="19"/>
        <v>15</v>
      </c>
    </row>
    <row r="544" spans="1:42" ht="25.5" hidden="1" customHeight="1">
      <c r="A544" s="19" t="s">
        <v>42</v>
      </c>
      <c r="B544" s="19" t="s">
        <v>242</v>
      </c>
      <c r="C544" s="19" t="s">
        <v>4186</v>
      </c>
      <c r="D544" s="19" t="s">
        <v>45</v>
      </c>
      <c r="E544" s="19" t="s">
        <v>46</v>
      </c>
      <c r="F544" s="19" t="s">
        <v>4187</v>
      </c>
      <c r="G544" s="19" t="s">
        <v>48</v>
      </c>
      <c r="H544" s="19" t="s">
        <v>49</v>
      </c>
      <c r="I544" s="20">
        <v>45908.422222222223</v>
      </c>
      <c r="K544" s="19"/>
      <c r="L544" s="20">
        <v>45908.560416666667</v>
      </c>
      <c r="M544" s="19"/>
      <c r="N544" s="22">
        <f t="shared" si="18"/>
        <v>0.13819444444379769</v>
      </c>
      <c r="O544" s="19" t="s">
        <v>63</v>
      </c>
      <c r="P544" s="19" t="s">
        <v>4188</v>
      </c>
      <c r="Q544" s="19" t="s">
        <v>4189</v>
      </c>
      <c r="R544" s="19"/>
      <c r="S544" s="19"/>
      <c r="U544" s="19"/>
      <c r="W544" s="19"/>
      <c r="X544" s="19" t="s">
        <v>109</v>
      </c>
      <c r="Y544" s="27" t="s">
        <v>147</v>
      </c>
      <c r="Z544" s="27" t="s">
        <v>78</v>
      </c>
      <c r="AA544" s="27" t="s">
        <v>78</v>
      </c>
      <c r="AB544" s="27" t="s">
        <v>78</v>
      </c>
      <c r="AC544" s="37" t="s">
        <v>78</v>
      </c>
      <c r="AD544" s="38" t="s">
        <v>78</v>
      </c>
      <c r="AE544" s="36">
        <v>45901</v>
      </c>
      <c r="AF544" s="19" t="s">
        <v>89</v>
      </c>
      <c r="AG544" s="19" t="s">
        <v>90</v>
      </c>
      <c r="AH544" s="19" t="s">
        <v>62</v>
      </c>
      <c r="AI544" s="19" t="s">
        <v>63</v>
      </c>
      <c r="AJ544" s="19" t="s">
        <v>4190</v>
      </c>
      <c r="AK544" s="19"/>
      <c r="AL544" s="19"/>
      <c r="AM544" s="19"/>
      <c r="AN544" s="19" t="s">
        <v>65</v>
      </c>
      <c r="AO544" s="23">
        <v>45908.422222222223</v>
      </c>
      <c r="AP544" s="26">
        <f t="shared" si="19"/>
        <v>199</v>
      </c>
    </row>
    <row r="545" spans="1:42" ht="25.5" hidden="1" customHeight="1">
      <c r="A545" s="19" t="s">
        <v>42</v>
      </c>
      <c r="B545" s="19" t="s">
        <v>410</v>
      </c>
      <c r="C545" s="19" t="s">
        <v>4191</v>
      </c>
      <c r="D545" s="19" t="s">
        <v>45</v>
      </c>
      <c r="E545" s="19" t="s">
        <v>46</v>
      </c>
      <c r="F545" s="19" t="s">
        <v>4192</v>
      </c>
      <c r="G545" s="19" t="s">
        <v>48</v>
      </c>
      <c r="H545" s="19" t="s">
        <v>49</v>
      </c>
      <c r="I545" s="20">
        <v>45908.6875</v>
      </c>
      <c r="K545" s="19"/>
      <c r="L545" s="20">
        <v>45908.715277777781</v>
      </c>
      <c r="M545" s="19"/>
      <c r="N545" s="22">
        <f t="shared" si="18"/>
        <v>2.7777777781011537E-2</v>
      </c>
      <c r="O545" s="19" t="s">
        <v>50</v>
      </c>
      <c r="P545" s="19" t="s">
        <v>4193</v>
      </c>
      <c r="Q545" s="19" t="s">
        <v>4194</v>
      </c>
      <c r="R545" s="19"/>
      <c r="S545" s="19"/>
      <c r="U545" s="19"/>
      <c r="W545" s="19"/>
      <c r="X545" s="19" t="s">
        <v>1589</v>
      </c>
      <c r="Y545" s="27" t="s">
        <v>54</v>
      </c>
      <c r="Z545" s="27" t="s">
        <v>838</v>
      </c>
      <c r="AA545" s="27" t="s">
        <v>4195</v>
      </c>
      <c r="AB545" s="27" t="s">
        <v>4196</v>
      </c>
      <c r="AC545" s="37" t="s">
        <v>4197</v>
      </c>
      <c r="AD545" s="38" t="s">
        <v>4198</v>
      </c>
      <c r="AE545" s="36">
        <v>45901</v>
      </c>
      <c r="AF545" s="19" t="s">
        <v>89</v>
      </c>
      <c r="AG545" s="19" t="s">
        <v>90</v>
      </c>
      <c r="AH545" s="19" t="s">
        <v>62</v>
      </c>
      <c r="AI545" s="19" t="s">
        <v>63</v>
      </c>
      <c r="AJ545" s="19" t="s">
        <v>4199</v>
      </c>
      <c r="AK545" s="19"/>
      <c r="AL545" s="19"/>
      <c r="AM545" s="19"/>
      <c r="AN545" s="19" t="s">
        <v>103</v>
      </c>
      <c r="AO545" s="23">
        <v>45908.708333333343</v>
      </c>
      <c r="AP545" s="26">
        <f t="shared" si="19"/>
        <v>40</v>
      </c>
    </row>
    <row r="546" spans="1:42" ht="25.5" hidden="1" customHeight="1">
      <c r="A546" s="19" t="s">
        <v>42</v>
      </c>
      <c r="B546" s="19" t="s">
        <v>186</v>
      </c>
      <c r="C546" s="19" t="s">
        <v>577</v>
      </c>
      <c r="D546" s="19" t="s">
        <v>45</v>
      </c>
      <c r="E546" s="19" t="s">
        <v>46</v>
      </c>
      <c r="F546" s="19" t="s">
        <v>4200</v>
      </c>
      <c r="G546" s="19" t="s">
        <v>48</v>
      </c>
      <c r="H546" s="19" t="s">
        <v>49</v>
      </c>
      <c r="I546" s="20">
        <v>45908.897916666669</v>
      </c>
      <c r="K546" s="19"/>
      <c r="L546" s="20">
        <v>45908.927083333343</v>
      </c>
      <c r="M546" s="19"/>
      <c r="N546" s="22">
        <f t="shared" si="18"/>
        <v>2.9166666674427688E-2</v>
      </c>
      <c r="O546" s="19" t="s">
        <v>50</v>
      </c>
      <c r="P546" s="19" t="s">
        <v>4201</v>
      </c>
      <c r="Q546" s="19" t="s">
        <v>4202</v>
      </c>
      <c r="R546" s="19"/>
      <c r="S546" s="19"/>
      <c r="U546" s="19"/>
      <c r="W546" s="19"/>
      <c r="X546" s="19" t="s">
        <v>191</v>
      </c>
      <c r="Y546" s="27" t="s">
        <v>133</v>
      </c>
      <c r="Z546" s="27" t="s">
        <v>123</v>
      </c>
      <c r="AA546" s="27" t="s">
        <v>4203</v>
      </c>
      <c r="AB546" s="27" t="s">
        <v>4204</v>
      </c>
      <c r="AC546" s="37">
        <v>45908.855555555558</v>
      </c>
      <c r="AD546" s="38" t="s">
        <v>513</v>
      </c>
      <c r="AE546" s="36">
        <v>45901</v>
      </c>
      <c r="AF546" s="19" t="s">
        <v>89</v>
      </c>
      <c r="AG546" s="19" t="s">
        <v>90</v>
      </c>
      <c r="AH546" s="19" t="s">
        <v>62</v>
      </c>
      <c r="AI546" s="19" t="s">
        <v>63</v>
      </c>
      <c r="AJ546" s="19" t="s">
        <v>4205</v>
      </c>
      <c r="AK546" s="19"/>
      <c r="AL546" s="19"/>
      <c r="AM546" s="19"/>
      <c r="AN546" s="19" t="s">
        <v>65</v>
      </c>
      <c r="AO546" s="23">
        <v>45908.897916666669</v>
      </c>
      <c r="AP546" s="26">
        <f t="shared" si="19"/>
        <v>42</v>
      </c>
    </row>
    <row r="547" spans="1:42" ht="25.5" hidden="1" customHeight="1">
      <c r="A547" s="19" t="s">
        <v>42</v>
      </c>
      <c r="B547" s="19" t="s">
        <v>186</v>
      </c>
      <c r="C547" s="19" t="s">
        <v>4206</v>
      </c>
      <c r="D547" s="19" t="s">
        <v>45</v>
      </c>
      <c r="E547" s="19" t="s">
        <v>46</v>
      </c>
      <c r="F547" s="19" t="s">
        <v>4207</v>
      </c>
      <c r="G547" s="19" t="s">
        <v>48</v>
      </c>
      <c r="H547" s="19" t="s">
        <v>49</v>
      </c>
      <c r="I547" s="20">
        <v>45909.390277777777</v>
      </c>
      <c r="K547" s="19"/>
      <c r="L547" s="20">
        <v>45909.413194444453</v>
      </c>
      <c r="M547" s="19"/>
      <c r="N547" s="22">
        <f t="shared" si="18"/>
        <v>2.291666667588288E-2</v>
      </c>
      <c r="O547" s="19" t="s">
        <v>63</v>
      </c>
      <c r="P547" s="19" t="s">
        <v>4208</v>
      </c>
      <c r="Q547" s="19" t="s">
        <v>4209</v>
      </c>
      <c r="R547" s="19"/>
      <c r="S547" s="19"/>
      <c r="U547" s="19"/>
      <c r="W547" s="19"/>
      <c r="X547" s="19" t="s">
        <v>4210</v>
      </c>
      <c r="Y547" s="27" t="s">
        <v>147</v>
      </c>
      <c r="Z547" s="27" t="s">
        <v>78</v>
      </c>
      <c r="AA547" s="27" t="s">
        <v>78</v>
      </c>
      <c r="AB547" s="27" t="s">
        <v>78</v>
      </c>
      <c r="AC547" s="37" t="s">
        <v>78</v>
      </c>
      <c r="AD547" s="38" t="s">
        <v>78</v>
      </c>
      <c r="AE547" s="36">
        <v>45901</v>
      </c>
      <c r="AF547" s="19" t="s">
        <v>89</v>
      </c>
      <c r="AG547" s="19" t="s">
        <v>90</v>
      </c>
      <c r="AH547" s="19" t="s">
        <v>62</v>
      </c>
      <c r="AI547" s="19" t="s">
        <v>63</v>
      </c>
      <c r="AJ547" s="19" t="s">
        <v>4211</v>
      </c>
      <c r="AK547" s="19"/>
      <c r="AL547" s="19"/>
      <c r="AM547" s="19"/>
      <c r="AN547" s="19" t="s">
        <v>103</v>
      </c>
      <c r="AO547" s="23">
        <v>45909.390277777777</v>
      </c>
      <c r="AP547" s="26">
        <f t="shared" si="19"/>
        <v>33</v>
      </c>
    </row>
    <row r="548" spans="1:42" ht="25.5" customHeight="1">
      <c r="A548" s="19" t="s">
        <v>42</v>
      </c>
      <c r="C548" s="19" t="s">
        <v>752</v>
      </c>
      <c r="D548" s="19" t="s">
        <v>45</v>
      </c>
      <c r="E548" s="19" t="s">
        <v>46</v>
      </c>
      <c r="F548" s="19" t="s">
        <v>4212</v>
      </c>
      <c r="G548" s="19" t="s">
        <v>48</v>
      </c>
      <c r="H548" s="19" t="s">
        <v>69</v>
      </c>
      <c r="I548" s="20">
        <v>45910.291666666657</v>
      </c>
      <c r="J548" s="20">
        <v>45910.333333333343</v>
      </c>
      <c r="K548" s="19">
        <v>45910.375</v>
      </c>
      <c r="L548" s="20">
        <v>45910.5625</v>
      </c>
      <c r="M548" s="19"/>
      <c r="N548" s="22">
        <f t="shared" si="18"/>
        <v>0.27083333334303461</v>
      </c>
      <c r="O548" s="19" t="s">
        <v>50</v>
      </c>
      <c r="P548" s="19" t="s">
        <v>4213</v>
      </c>
      <c r="Q548" s="19" t="s">
        <v>4214</v>
      </c>
      <c r="R548" s="19"/>
      <c r="S548" s="19"/>
      <c r="U548" s="19"/>
      <c r="W548" s="19"/>
      <c r="X548" s="19" t="s">
        <v>72</v>
      </c>
      <c r="Y548" s="27" t="s">
        <v>147</v>
      </c>
      <c r="Z548" s="27" t="s">
        <v>78</v>
      </c>
      <c r="AA548" s="27" t="s">
        <v>78</v>
      </c>
      <c r="AB548" s="27" t="s">
        <v>78</v>
      </c>
      <c r="AC548" s="37" t="s">
        <v>78</v>
      </c>
      <c r="AD548" s="38" t="s">
        <v>78</v>
      </c>
      <c r="AE548" s="36">
        <v>45901</v>
      </c>
      <c r="AF548" s="19" t="s">
        <v>89</v>
      </c>
      <c r="AG548" s="19" t="s">
        <v>61</v>
      </c>
      <c r="AH548" s="19" t="s">
        <v>62</v>
      </c>
      <c r="AI548" s="19" t="s">
        <v>63</v>
      </c>
      <c r="AJ548" s="19" t="s">
        <v>4215</v>
      </c>
      <c r="AK548" s="19"/>
      <c r="AL548" s="19"/>
      <c r="AM548" s="19"/>
      <c r="AN548" s="19" t="s">
        <v>65</v>
      </c>
      <c r="AO548" s="23">
        <v>45910.291666666657</v>
      </c>
      <c r="AP548" s="26">
        <f t="shared" si="19"/>
        <v>390</v>
      </c>
    </row>
    <row r="549" spans="1:42" ht="25.5" hidden="1" customHeight="1">
      <c r="A549" s="19" t="s">
        <v>42</v>
      </c>
      <c r="B549" s="19" t="s">
        <v>410</v>
      </c>
      <c r="C549" s="19" t="s">
        <v>105</v>
      </c>
      <c r="D549" s="19" t="s">
        <v>45</v>
      </c>
      <c r="E549" s="19" t="s">
        <v>46</v>
      </c>
      <c r="F549" s="19" t="s">
        <v>4216</v>
      </c>
      <c r="G549" s="19" t="s">
        <v>48</v>
      </c>
      <c r="H549" s="19" t="s">
        <v>49</v>
      </c>
      <c r="I549" s="20">
        <v>45910.386111111111</v>
      </c>
      <c r="K549" s="19"/>
      <c r="L549" s="20">
        <v>45910.42291666667</v>
      </c>
      <c r="M549" s="19"/>
      <c r="N549" s="22">
        <f t="shared" si="18"/>
        <v>3.680555555911269E-2</v>
      </c>
      <c r="O549" s="19" t="s">
        <v>50</v>
      </c>
      <c r="P549" s="19" t="s">
        <v>4217</v>
      </c>
      <c r="Q549" s="19" t="s">
        <v>4218</v>
      </c>
      <c r="R549" s="19"/>
      <c r="S549" s="19"/>
      <c r="U549" s="19"/>
      <c r="W549" s="19"/>
      <c r="X549" s="19" t="s">
        <v>109</v>
      </c>
      <c r="Y549" s="27" t="s">
        <v>54</v>
      </c>
      <c r="Z549" s="27" t="s">
        <v>414</v>
      </c>
      <c r="AA549" s="27" t="s">
        <v>3963</v>
      </c>
      <c r="AB549" s="27" t="s">
        <v>4219</v>
      </c>
      <c r="AC549" s="37" t="s">
        <v>4220</v>
      </c>
      <c r="AD549" s="38" t="s">
        <v>4221</v>
      </c>
      <c r="AE549" s="36">
        <v>45901</v>
      </c>
      <c r="AF549" s="19" t="s">
        <v>89</v>
      </c>
      <c r="AG549" s="19" t="s">
        <v>90</v>
      </c>
      <c r="AH549" s="19" t="s">
        <v>62</v>
      </c>
      <c r="AI549" s="19" t="s">
        <v>63</v>
      </c>
      <c r="AJ549" s="19" t="s">
        <v>4222</v>
      </c>
      <c r="AK549" s="19" t="s">
        <v>4223</v>
      </c>
      <c r="AL549" s="19"/>
      <c r="AM549" s="19"/>
      <c r="AN549" s="19" t="s">
        <v>103</v>
      </c>
      <c r="AO549" s="23">
        <v>45910.386111111111</v>
      </c>
      <c r="AP549" s="26">
        <f t="shared" si="19"/>
        <v>53</v>
      </c>
    </row>
    <row r="550" spans="1:42" ht="25.5" hidden="1" customHeight="1">
      <c r="A550" s="19" t="s">
        <v>42</v>
      </c>
      <c r="B550" s="19" t="s">
        <v>93</v>
      </c>
      <c r="C550" s="19" t="s">
        <v>3504</v>
      </c>
      <c r="D550" s="19" t="s">
        <v>45</v>
      </c>
      <c r="E550" s="19" t="s">
        <v>46</v>
      </c>
      <c r="F550" s="19" t="s">
        <v>4224</v>
      </c>
      <c r="G550" s="19" t="s">
        <v>48</v>
      </c>
      <c r="H550" s="19" t="s">
        <v>49</v>
      </c>
      <c r="I550" s="20">
        <v>45910.482638888891</v>
      </c>
      <c r="K550" s="19"/>
      <c r="L550" s="20">
        <v>45910.491666666669</v>
      </c>
      <c r="M550" s="19"/>
      <c r="N550" s="22">
        <f t="shared" si="18"/>
        <v>9.0277777781011537E-3</v>
      </c>
      <c r="O550" s="19" t="s">
        <v>63</v>
      </c>
      <c r="P550" s="19" t="s">
        <v>3506</v>
      </c>
      <c r="Q550" s="19" t="s">
        <v>4225</v>
      </c>
      <c r="R550" s="19"/>
      <c r="S550" s="19"/>
      <c r="U550" s="19"/>
      <c r="W550" s="19"/>
      <c r="X550" s="19" t="s">
        <v>314</v>
      </c>
      <c r="Y550" s="27" t="s">
        <v>147</v>
      </c>
      <c r="Z550" s="27" t="s">
        <v>78</v>
      </c>
      <c r="AA550" s="27" t="s">
        <v>78</v>
      </c>
      <c r="AB550" s="27" t="s">
        <v>78</v>
      </c>
      <c r="AC550" s="37" t="s">
        <v>78</v>
      </c>
      <c r="AD550" s="38" t="s">
        <v>78</v>
      </c>
      <c r="AE550" s="36">
        <v>45901</v>
      </c>
      <c r="AF550" s="19" t="s">
        <v>60</v>
      </c>
      <c r="AG550" s="19" t="s">
        <v>61</v>
      </c>
      <c r="AH550" s="19" t="s">
        <v>62</v>
      </c>
      <c r="AI550" s="19" t="s">
        <v>63</v>
      </c>
      <c r="AJ550" s="19" t="s">
        <v>3508</v>
      </c>
      <c r="AK550" s="19"/>
      <c r="AL550" s="19"/>
      <c r="AM550" s="19"/>
      <c r="AN550" s="19" t="s">
        <v>103</v>
      </c>
      <c r="AO550" s="23">
        <v>45910.482638888891</v>
      </c>
      <c r="AP550" s="26">
        <f t="shared" si="19"/>
        <v>13</v>
      </c>
    </row>
    <row r="551" spans="1:42" ht="25.5" hidden="1" customHeight="1">
      <c r="A551" s="19" t="s">
        <v>42</v>
      </c>
      <c r="B551" s="19" t="s">
        <v>3843</v>
      </c>
      <c r="C551" s="19" t="s">
        <v>336</v>
      </c>
      <c r="D551" s="19" t="s">
        <v>45</v>
      </c>
      <c r="E551" s="19" t="s">
        <v>46</v>
      </c>
      <c r="F551" s="19" t="s">
        <v>4226</v>
      </c>
      <c r="G551" s="19" t="s">
        <v>48</v>
      </c>
      <c r="H551" s="19" t="s">
        <v>49</v>
      </c>
      <c r="I551" s="20">
        <v>45910.65902777778</v>
      </c>
      <c r="K551" s="19"/>
      <c r="L551" s="20">
        <v>45910.672222222223</v>
      </c>
      <c r="M551" s="19"/>
      <c r="N551" s="22">
        <f t="shared" si="18"/>
        <v>1.3194444443797693E-2</v>
      </c>
      <c r="O551" s="19" t="s">
        <v>50</v>
      </c>
      <c r="P551" s="19" t="s">
        <v>4227</v>
      </c>
      <c r="Q551" s="19" t="s">
        <v>4228</v>
      </c>
      <c r="R551" s="19" t="s">
        <v>4229</v>
      </c>
      <c r="S551" s="19" t="s">
        <v>4230</v>
      </c>
      <c r="T551" s="20">
        <v>45911.561111111107</v>
      </c>
      <c r="U551" s="19">
        <v>45918.664583333331</v>
      </c>
      <c r="V551" s="19" t="s">
        <v>157</v>
      </c>
      <c r="W551" s="19"/>
      <c r="X551" s="19" t="s">
        <v>314</v>
      </c>
      <c r="Y551" s="27" t="s">
        <v>54</v>
      </c>
      <c r="Z551" s="27" t="s">
        <v>123</v>
      </c>
      <c r="AA551" s="27" t="s">
        <v>4231</v>
      </c>
      <c r="AB551" s="27" t="s">
        <v>4232</v>
      </c>
      <c r="AC551" s="37" t="s">
        <v>4233</v>
      </c>
      <c r="AD551" s="38" t="s">
        <v>4234</v>
      </c>
      <c r="AE551" s="36">
        <v>45901</v>
      </c>
      <c r="AF551" s="19" t="s">
        <v>78</v>
      </c>
      <c r="AG551" s="19" t="s">
        <v>78</v>
      </c>
      <c r="AH551" s="19" t="s">
        <v>78</v>
      </c>
      <c r="AI551" s="19" t="s">
        <v>63</v>
      </c>
      <c r="AJ551" s="19" t="s">
        <v>4235</v>
      </c>
      <c r="AK551" s="19"/>
      <c r="AL551" s="19"/>
      <c r="AM551" s="19"/>
      <c r="AN551" s="19" t="s">
        <v>103</v>
      </c>
      <c r="AO551" s="23">
        <v>45910.65902777778</v>
      </c>
      <c r="AP551" s="26">
        <f t="shared" si="19"/>
        <v>19</v>
      </c>
    </row>
    <row r="552" spans="1:42" ht="25.5" hidden="1" customHeight="1">
      <c r="A552" s="19" t="s">
        <v>42</v>
      </c>
      <c r="B552" s="19" t="s">
        <v>4236</v>
      </c>
      <c r="C552" s="19" t="s">
        <v>658</v>
      </c>
      <c r="D552" s="19" t="s">
        <v>45</v>
      </c>
      <c r="E552" s="19" t="s">
        <v>46</v>
      </c>
      <c r="F552" s="19" t="s">
        <v>4237</v>
      </c>
      <c r="G552" s="19" t="s">
        <v>48</v>
      </c>
      <c r="H552" s="19" t="s">
        <v>49</v>
      </c>
      <c r="I552" s="20">
        <v>45910.875</v>
      </c>
      <c r="K552" s="19"/>
      <c r="L552" s="20">
        <v>45910.899305555547</v>
      </c>
      <c r="M552" s="19"/>
      <c r="N552" s="22">
        <f t="shared" si="18"/>
        <v>2.4305555547471158E-2</v>
      </c>
      <c r="O552" s="19" t="s">
        <v>63</v>
      </c>
      <c r="P552" s="19" t="s">
        <v>4238</v>
      </c>
      <c r="Q552" s="19" t="s">
        <v>4239</v>
      </c>
      <c r="R552" s="19"/>
      <c r="S552" s="19"/>
      <c r="U552" s="19"/>
      <c r="W552" s="19"/>
      <c r="X552" s="19" t="s">
        <v>1069</v>
      </c>
      <c r="Y552" s="27" t="s">
        <v>54</v>
      </c>
      <c r="Z552" s="27" t="s">
        <v>123</v>
      </c>
      <c r="AA552" s="27" t="s">
        <v>4240</v>
      </c>
      <c r="AB552" s="27" t="s">
        <v>4241</v>
      </c>
      <c r="AC552" s="37" t="s">
        <v>4242</v>
      </c>
      <c r="AD552" s="38" t="s">
        <v>4243</v>
      </c>
      <c r="AE552" s="36">
        <v>45901</v>
      </c>
      <c r="AF552" s="19" t="s">
        <v>89</v>
      </c>
      <c r="AG552" s="19" t="s">
        <v>61</v>
      </c>
      <c r="AH552" s="19" t="s">
        <v>62</v>
      </c>
      <c r="AI552" s="19" t="s">
        <v>63</v>
      </c>
      <c r="AJ552" s="19" t="s">
        <v>4244</v>
      </c>
      <c r="AK552" s="19"/>
      <c r="AL552" s="19"/>
      <c r="AM552" s="19"/>
      <c r="AN552" s="19" t="s">
        <v>103</v>
      </c>
      <c r="AO552" s="23">
        <v>45910.875</v>
      </c>
      <c r="AP552" s="26">
        <f t="shared" si="19"/>
        <v>35</v>
      </c>
    </row>
    <row r="553" spans="1:42" ht="25.5" customHeight="1">
      <c r="A553" s="19" t="s">
        <v>42</v>
      </c>
      <c r="C553" s="19" t="s">
        <v>4245</v>
      </c>
      <c r="D553" s="19" t="s">
        <v>45</v>
      </c>
      <c r="E553" s="19" t="s">
        <v>46</v>
      </c>
      <c r="F553" s="19" t="s">
        <v>4246</v>
      </c>
      <c r="G553" s="19" t="s">
        <v>48</v>
      </c>
      <c r="H553" s="19" t="s">
        <v>144</v>
      </c>
      <c r="I553" s="20">
        <v>45911.25</v>
      </c>
      <c r="K553" s="19">
        <v>45911.450694444437</v>
      </c>
      <c r="L553" s="20">
        <v>45911.503472222219</v>
      </c>
      <c r="M553" s="19"/>
      <c r="N553" s="22">
        <f t="shared" si="18"/>
        <v>0.25347222221898846</v>
      </c>
      <c r="O553" s="19" t="s">
        <v>63</v>
      </c>
      <c r="P553" s="19" t="s">
        <v>4247</v>
      </c>
      <c r="Q553" s="19" t="s">
        <v>4248</v>
      </c>
      <c r="R553" s="19"/>
      <c r="S553" s="19"/>
      <c r="U553" s="19"/>
      <c r="W553" s="19"/>
      <c r="X553" s="19" t="s">
        <v>72</v>
      </c>
      <c r="Y553" s="27" t="s">
        <v>147</v>
      </c>
      <c r="Z553" s="27" t="s">
        <v>78</v>
      </c>
      <c r="AA553" s="27" t="s">
        <v>78</v>
      </c>
      <c r="AB553" s="27" t="s">
        <v>78</v>
      </c>
      <c r="AC553" s="37" t="s">
        <v>78</v>
      </c>
      <c r="AD553" s="38" t="s">
        <v>78</v>
      </c>
      <c r="AE553" s="36">
        <v>45901</v>
      </c>
      <c r="AF553" s="19" t="s">
        <v>60</v>
      </c>
      <c r="AG553" s="19" t="s">
        <v>61</v>
      </c>
      <c r="AH553" s="19" t="s">
        <v>62</v>
      </c>
      <c r="AI553" s="19" t="s">
        <v>63</v>
      </c>
      <c r="AJ553" s="19" t="s">
        <v>4249</v>
      </c>
      <c r="AK553" s="19"/>
      <c r="AL553" s="19"/>
      <c r="AM553" s="19"/>
      <c r="AN553" s="19" t="s">
        <v>65</v>
      </c>
      <c r="AO553" s="23">
        <v>45911.25</v>
      </c>
      <c r="AP553" s="26">
        <f t="shared" si="19"/>
        <v>365</v>
      </c>
    </row>
    <row r="554" spans="1:42" ht="25.5" hidden="1" customHeight="1">
      <c r="A554" s="19" t="s">
        <v>42</v>
      </c>
      <c r="B554" s="19" t="s">
        <v>2605</v>
      </c>
      <c r="C554" s="19" t="s">
        <v>2606</v>
      </c>
      <c r="D554" s="19" t="s">
        <v>45</v>
      </c>
      <c r="E554" s="19" t="s">
        <v>46</v>
      </c>
      <c r="F554" s="19" t="s">
        <v>4250</v>
      </c>
      <c r="G554" s="19" t="s">
        <v>48</v>
      </c>
      <c r="H554" s="19" t="s">
        <v>49</v>
      </c>
      <c r="I554" s="20">
        <v>45911.451388888891</v>
      </c>
      <c r="K554" s="19"/>
      <c r="L554" s="20">
        <v>45911.458333333343</v>
      </c>
      <c r="M554" s="19"/>
      <c r="N554" s="22">
        <f t="shared" si="18"/>
        <v>6.9444444525288418E-3</v>
      </c>
      <c r="O554" s="19" t="s">
        <v>50</v>
      </c>
      <c r="P554" s="19" t="s">
        <v>4251</v>
      </c>
      <c r="Q554" s="19" t="s">
        <v>4252</v>
      </c>
      <c r="R554" s="19"/>
      <c r="S554" s="19"/>
      <c r="U554" s="19"/>
      <c r="W554" s="19"/>
      <c r="X554" s="19" t="s">
        <v>1412</v>
      </c>
      <c r="Y554" s="27" t="s">
        <v>133</v>
      </c>
      <c r="Z554" s="27" t="s">
        <v>4253</v>
      </c>
      <c r="AA554" s="27" t="s">
        <v>4254</v>
      </c>
      <c r="AB554" s="27" t="s">
        <v>4255</v>
      </c>
      <c r="AC554" s="37" t="s">
        <v>4256</v>
      </c>
      <c r="AD554" s="38" t="s">
        <v>4257</v>
      </c>
      <c r="AE554" s="36">
        <v>45901</v>
      </c>
      <c r="AF554" s="19" t="s">
        <v>89</v>
      </c>
      <c r="AG554" s="19" t="s">
        <v>90</v>
      </c>
      <c r="AH554" s="19" t="s">
        <v>62</v>
      </c>
      <c r="AI554" s="19" t="s">
        <v>63</v>
      </c>
      <c r="AJ554" s="19" t="s">
        <v>4258</v>
      </c>
      <c r="AK554" s="19"/>
      <c r="AL554" s="19"/>
      <c r="AM554" s="19"/>
      <c r="AN554" s="19" t="s">
        <v>128</v>
      </c>
      <c r="AO554" s="23">
        <v>45911.970138888893</v>
      </c>
      <c r="AP554" s="26">
        <f t="shared" si="19"/>
        <v>10</v>
      </c>
    </row>
    <row r="555" spans="1:42" ht="25.5" hidden="1" customHeight="1">
      <c r="A555" s="19" t="s">
        <v>285</v>
      </c>
      <c r="B555" s="19" t="s">
        <v>186</v>
      </c>
      <c r="C555" s="19" t="s">
        <v>577</v>
      </c>
      <c r="D555" s="19" t="s">
        <v>45</v>
      </c>
      <c r="E555" s="19" t="s">
        <v>46</v>
      </c>
      <c r="F555" s="19" t="s">
        <v>4259</v>
      </c>
      <c r="G555" s="19" t="s">
        <v>48</v>
      </c>
      <c r="H555" s="19" t="s">
        <v>49</v>
      </c>
      <c r="I555" s="20">
        <v>45911.501388888893</v>
      </c>
      <c r="K555" s="19"/>
      <c r="L555" s="20">
        <v>45911.519444444442</v>
      </c>
      <c r="M555" s="19"/>
      <c r="N555" s="22">
        <f t="shared" si="18"/>
        <v>1.805555554892635E-2</v>
      </c>
      <c r="O555" s="19" t="s">
        <v>50</v>
      </c>
      <c r="P555" s="19" t="s">
        <v>4260</v>
      </c>
      <c r="Q555" s="19" t="s">
        <v>4261</v>
      </c>
      <c r="R555" s="19"/>
      <c r="S555" s="19"/>
      <c r="U555" s="19"/>
      <c r="W555" s="19"/>
      <c r="X555" s="19" t="s">
        <v>191</v>
      </c>
      <c r="Y555" s="27" t="s">
        <v>147</v>
      </c>
      <c r="Z555" s="27" t="s">
        <v>78</v>
      </c>
      <c r="AA555" s="27" t="s">
        <v>78</v>
      </c>
      <c r="AB555" s="27" t="s">
        <v>78</v>
      </c>
      <c r="AC555" s="37" t="s">
        <v>78</v>
      </c>
      <c r="AD555" s="38" t="s">
        <v>78</v>
      </c>
      <c r="AE555" s="36">
        <v>45901</v>
      </c>
      <c r="AF555" s="19" t="s">
        <v>78</v>
      </c>
      <c r="AG555" s="19" t="s">
        <v>78</v>
      </c>
      <c r="AH555" s="19" t="s">
        <v>78</v>
      </c>
      <c r="AI555" s="19" t="s">
        <v>63</v>
      </c>
      <c r="AJ555" s="19" t="s">
        <v>4262</v>
      </c>
      <c r="AK555" s="19"/>
      <c r="AL555" s="19"/>
      <c r="AM555" s="19"/>
      <c r="AN555" s="19" t="s">
        <v>65</v>
      </c>
      <c r="AO555" s="23">
        <v>45911.501388888893</v>
      </c>
      <c r="AP555" s="26">
        <f t="shared" si="19"/>
        <v>26</v>
      </c>
    </row>
    <row r="556" spans="1:42" ht="25.5" hidden="1" customHeight="1">
      <c r="A556" s="19" t="s">
        <v>42</v>
      </c>
      <c r="B556" s="19" t="s">
        <v>4075</v>
      </c>
      <c r="C556" s="19" t="s">
        <v>336</v>
      </c>
      <c r="D556" s="19" t="s">
        <v>45</v>
      </c>
      <c r="E556" s="19" t="s">
        <v>46</v>
      </c>
      <c r="F556" s="19" t="s">
        <v>4263</v>
      </c>
      <c r="G556" s="19" t="s">
        <v>48</v>
      </c>
      <c r="H556" s="19" t="s">
        <v>49</v>
      </c>
      <c r="I556" s="20">
        <v>45911.515277777777</v>
      </c>
      <c r="K556" s="19"/>
      <c r="L556" s="20">
        <v>45911.522916666669</v>
      </c>
      <c r="M556" s="19"/>
      <c r="N556" s="22">
        <f t="shared" si="18"/>
        <v>7.6388888919609599E-3</v>
      </c>
      <c r="O556" s="19" t="s">
        <v>50</v>
      </c>
      <c r="P556" s="19" t="s">
        <v>4264</v>
      </c>
      <c r="Q556" s="19" t="s">
        <v>4265</v>
      </c>
      <c r="R556" s="19"/>
      <c r="S556" s="19"/>
      <c r="U556" s="19"/>
      <c r="W556" s="19"/>
      <c r="X556" s="19" t="s">
        <v>314</v>
      </c>
      <c r="Y556" s="27" t="s">
        <v>54</v>
      </c>
      <c r="Z556" s="27" t="s">
        <v>811</v>
      </c>
      <c r="AA556" s="27" t="s">
        <v>4266</v>
      </c>
      <c r="AB556" s="27" t="s">
        <v>4267</v>
      </c>
      <c r="AC556" s="37" t="s">
        <v>4268</v>
      </c>
      <c r="AD556" s="38" t="s">
        <v>4269</v>
      </c>
      <c r="AE556" s="36">
        <v>45901</v>
      </c>
      <c r="AF556" s="19" t="s">
        <v>60</v>
      </c>
      <c r="AG556" s="19" t="s">
        <v>78</v>
      </c>
      <c r="AH556" s="19" t="s">
        <v>78</v>
      </c>
      <c r="AI556" s="19" t="s">
        <v>63</v>
      </c>
      <c r="AJ556" s="19" t="s">
        <v>4270</v>
      </c>
      <c r="AK556" s="19"/>
      <c r="AL556" s="19"/>
      <c r="AM556" s="19"/>
      <c r="AN556" s="19" t="s">
        <v>166</v>
      </c>
      <c r="AO556" s="23">
        <v>45911.515277777777</v>
      </c>
      <c r="AP556" s="26">
        <f t="shared" si="19"/>
        <v>11</v>
      </c>
    </row>
    <row r="557" spans="1:42" ht="25.5" hidden="1" customHeight="1">
      <c r="A557" s="19" t="s">
        <v>42</v>
      </c>
      <c r="B557" s="19" t="s">
        <v>4075</v>
      </c>
      <c r="C557" s="19" t="s">
        <v>336</v>
      </c>
      <c r="D557" s="19" t="s">
        <v>45</v>
      </c>
      <c r="E557" s="19" t="s">
        <v>46</v>
      </c>
      <c r="F557" s="19" t="s">
        <v>4263</v>
      </c>
      <c r="G557" s="19" t="s">
        <v>226</v>
      </c>
      <c r="H557" s="19" t="s">
        <v>49</v>
      </c>
      <c r="I557" s="20">
        <v>45911.541666666657</v>
      </c>
      <c r="K557" s="19"/>
      <c r="L557" s="20">
        <v>45911.5625</v>
      </c>
      <c r="M557" s="19"/>
      <c r="N557" s="22">
        <f t="shared" si="18"/>
        <v>2.083333334303461E-2</v>
      </c>
      <c r="O557" s="19" t="s">
        <v>50</v>
      </c>
      <c r="P557" s="19" t="s">
        <v>4264</v>
      </c>
      <c r="Q557" s="19" t="s">
        <v>4271</v>
      </c>
      <c r="R557" s="19"/>
      <c r="S557" s="19"/>
      <c r="U557" s="19"/>
      <c r="W557" s="19"/>
      <c r="X557" s="19" t="s">
        <v>314</v>
      </c>
      <c r="Y557" s="27" t="s">
        <v>54</v>
      </c>
      <c r="Z557" s="27" t="s">
        <v>1691</v>
      </c>
      <c r="AA557" s="27" t="s">
        <v>4272</v>
      </c>
      <c r="AB557" s="27" t="s">
        <v>4273</v>
      </c>
      <c r="AC557" s="37" t="s">
        <v>4274</v>
      </c>
      <c r="AD557" s="38" t="s">
        <v>4275</v>
      </c>
      <c r="AE557" s="36">
        <v>45901</v>
      </c>
      <c r="AF557" s="19" t="s">
        <v>60</v>
      </c>
      <c r="AG557" s="19" t="s">
        <v>78</v>
      </c>
      <c r="AH557" s="19" t="s">
        <v>78</v>
      </c>
      <c r="AI557" s="19" t="s">
        <v>50</v>
      </c>
      <c r="AJ557" s="19" t="s">
        <v>4276</v>
      </c>
      <c r="AK557" s="19"/>
      <c r="AL557" s="19"/>
      <c r="AM557" s="19"/>
      <c r="AN557" s="19" t="s">
        <v>166</v>
      </c>
      <c r="AO557" s="23">
        <v>45911.541666666657</v>
      </c>
      <c r="AP557" s="26">
        <f t="shared" si="19"/>
        <v>30</v>
      </c>
    </row>
    <row r="558" spans="1:42" ht="25.5" hidden="1" customHeight="1">
      <c r="A558" s="19" t="s">
        <v>42</v>
      </c>
      <c r="B558" s="19" t="s">
        <v>4277</v>
      </c>
      <c r="C558" s="19" t="s">
        <v>4278</v>
      </c>
      <c r="D558" s="19" t="s">
        <v>45</v>
      </c>
      <c r="E558" s="19" t="s">
        <v>46</v>
      </c>
      <c r="F558" s="19" t="s">
        <v>4279</v>
      </c>
      <c r="G558" s="19" t="s">
        <v>48</v>
      </c>
      <c r="H558" s="19" t="s">
        <v>49</v>
      </c>
      <c r="I558" s="20">
        <v>45911.790277777778</v>
      </c>
      <c r="K558" s="19"/>
      <c r="L558" s="20">
        <v>45911.796527777777</v>
      </c>
      <c r="M558" s="19"/>
      <c r="N558" s="22">
        <f t="shared" si="18"/>
        <v>6.2499999985448085E-3</v>
      </c>
      <c r="O558" s="19" t="s">
        <v>50</v>
      </c>
      <c r="P558" s="19" t="s">
        <v>4280</v>
      </c>
      <c r="Q558" s="19" t="s">
        <v>4281</v>
      </c>
      <c r="R558" s="19"/>
      <c r="S558" s="19"/>
      <c r="U558" s="19"/>
      <c r="W558" s="19"/>
      <c r="X558" s="19" t="s">
        <v>4282</v>
      </c>
      <c r="Y558" s="27" t="s">
        <v>133</v>
      </c>
      <c r="Z558" s="27" t="s">
        <v>4283</v>
      </c>
      <c r="AA558" s="27" t="s">
        <v>4284</v>
      </c>
      <c r="AB558" s="27" t="s">
        <v>4285</v>
      </c>
      <c r="AC558" s="37" t="s">
        <v>4286</v>
      </c>
      <c r="AD558" s="38" t="s">
        <v>4287</v>
      </c>
      <c r="AE558" s="36">
        <v>45901</v>
      </c>
      <c r="AF558" s="19" t="s">
        <v>60</v>
      </c>
      <c r="AG558" s="19" t="s">
        <v>307</v>
      </c>
      <c r="AH558" s="19" t="s">
        <v>62</v>
      </c>
      <c r="AI558" s="19" t="s">
        <v>63</v>
      </c>
      <c r="AJ558" s="19" t="s">
        <v>4288</v>
      </c>
      <c r="AK558" s="19"/>
      <c r="AL558" s="19"/>
      <c r="AM558" s="19"/>
      <c r="AN558" s="19" t="s">
        <v>128</v>
      </c>
      <c r="AO558" s="23">
        <v>45911.790277777778</v>
      </c>
      <c r="AP558" s="26">
        <f t="shared" si="19"/>
        <v>9</v>
      </c>
    </row>
    <row r="559" spans="1:42" ht="25.5" hidden="1" customHeight="1">
      <c r="A559" s="19" t="s">
        <v>42</v>
      </c>
      <c r="B559" s="19" t="s">
        <v>4289</v>
      </c>
      <c r="C559" s="19" t="s">
        <v>4290</v>
      </c>
      <c r="D559" s="19" t="s">
        <v>45</v>
      </c>
      <c r="E559" s="19" t="s">
        <v>46</v>
      </c>
      <c r="F559" s="19" t="s">
        <v>4291</v>
      </c>
      <c r="G559" s="19" t="s">
        <v>48</v>
      </c>
      <c r="H559" s="19" t="s">
        <v>49</v>
      </c>
      <c r="I559" s="20">
        <v>45912.441666666673</v>
      </c>
      <c r="K559" s="19"/>
      <c r="L559" s="20">
        <v>45912.444444444453</v>
      </c>
      <c r="M559" s="19"/>
      <c r="N559" s="22">
        <f t="shared" si="18"/>
        <v>2.7777777795563452E-3</v>
      </c>
      <c r="O559" s="19" t="s">
        <v>50</v>
      </c>
      <c r="P559" s="19" t="s">
        <v>4292</v>
      </c>
      <c r="Q559" s="19" t="s">
        <v>4293</v>
      </c>
      <c r="R559" s="19"/>
      <c r="S559" s="19"/>
      <c r="U559" s="19"/>
      <c r="W559" s="19"/>
      <c r="X559" s="19" t="s">
        <v>762</v>
      </c>
      <c r="Y559" s="27" t="s">
        <v>54</v>
      </c>
      <c r="Z559" s="27" t="s">
        <v>4294</v>
      </c>
      <c r="AA559" s="27" t="s">
        <v>4295</v>
      </c>
      <c r="AB559" s="27" t="s">
        <v>4296</v>
      </c>
      <c r="AC559" s="37" t="s">
        <v>4297</v>
      </c>
      <c r="AD559" s="38" t="s">
        <v>4298</v>
      </c>
      <c r="AE559" s="36">
        <v>45901</v>
      </c>
      <c r="AF559" s="19" t="s">
        <v>89</v>
      </c>
      <c r="AG559" s="19" t="s">
        <v>90</v>
      </c>
      <c r="AH559" s="19" t="s">
        <v>62</v>
      </c>
      <c r="AI559" s="19" t="s">
        <v>63</v>
      </c>
      <c r="AJ559" s="19" t="s">
        <v>4299</v>
      </c>
      <c r="AK559" s="19"/>
      <c r="AL559" s="19"/>
      <c r="AM559" s="19"/>
      <c r="AN559" s="19" t="s">
        <v>65</v>
      </c>
      <c r="AO559" s="23">
        <v>45912.441666666673</v>
      </c>
      <c r="AP559" s="26">
        <f t="shared" si="19"/>
        <v>4</v>
      </c>
    </row>
    <row r="560" spans="1:42" ht="25.5" hidden="1" customHeight="1">
      <c r="A560" s="19" t="s">
        <v>42</v>
      </c>
      <c r="C560" s="19" t="s">
        <v>3818</v>
      </c>
      <c r="D560" s="19" t="s">
        <v>45</v>
      </c>
      <c r="E560" s="19" t="s">
        <v>46</v>
      </c>
      <c r="F560" s="19" t="s">
        <v>4300</v>
      </c>
      <c r="G560" s="19" t="s">
        <v>48</v>
      </c>
      <c r="H560" s="19" t="s">
        <v>49</v>
      </c>
      <c r="I560" s="20">
        <v>45912.443749999999</v>
      </c>
      <c r="K560" s="19"/>
      <c r="L560" s="20">
        <v>45912.46875</v>
      </c>
      <c r="M560" s="19"/>
      <c r="N560" s="22">
        <f t="shared" si="18"/>
        <v>2.5000000001455192E-2</v>
      </c>
      <c r="O560" s="19" t="s">
        <v>50</v>
      </c>
      <c r="P560" s="19" t="s">
        <v>4301</v>
      </c>
      <c r="Q560" s="19" t="s">
        <v>4302</v>
      </c>
      <c r="R560" s="19"/>
      <c r="S560" s="19"/>
      <c r="U560" s="19"/>
      <c r="W560" s="19"/>
      <c r="X560" s="19" t="s">
        <v>1589</v>
      </c>
      <c r="Y560" s="27" t="s">
        <v>147</v>
      </c>
      <c r="Z560" s="27" t="s">
        <v>78</v>
      </c>
      <c r="AA560" s="27" t="s">
        <v>78</v>
      </c>
      <c r="AB560" s="27" t="s">
        <v>78</v>
      </c>
      <c r="AC560" s="37" t="s">
        <v>78</v>
      </c>
      <c r="AD560" s="38" t="s">
        <v>78</v>
      </c>
      <c r="AE560" s="36">
        <v>45901</v>
      </c>
      <c r="AF560" s="19" t="s">
        <v>78</v>
      </c>
      <c r="AG560" s="19" t="s">
        <v>78</v>
      </c>
      <c r="AH560" s="19" t="s">
        <v>78</v>
      </c>
      <c r="AI560" s="19" t="s">
        <v>63</v>
      </c>
      <c r="AJ560" s="19" t="s">
        <v>4303</v>
      </c>
      <c r="AK560" s="19"/>
      <c r="AL560" s="19"/>
      <c r="AM560" s="19"/>
      <c r="AN560" s="19" t="s">
        <v>65</v>
      </c>
      <c r="AO560" s="23">
        <v>45912.443749999999</v>
      </c>
      <c r="AP560" s="26">
        <f t="shared" si="19"/>
        <v>36</v>
      </c>
    </row>
    <row r="561" spans="1:42" ht="25.5" hidden="1" customHeight="1">
      <c r="A561" s="19" t="s">
        <v>42</v>
      </c>
      <c r="B561" s="19" t="s">
        <v>4289</v>
      </c>
      <c r="C561" s="19" t="s">
        <v>4290</v>
      </c>
      <c r="D561" s="19" t="s">
        <v>45</v>
      </c>
      <c r="E561" s="19" t="s">
        <v>46</v>
      </c>
      <c r="F561" s="19" t="s">
        <v>4291</v>
      </c>
      <c r="G561" s="19" t="s">
        <v>226</v>
      </c>
      <c r="H561" s="19" t="s">
        <v>49</v>
      </c>
      <c r="I561" s="20">
        <v>45912.46875</v>
      </c>
      <c r="K561" s="19"/>
      <c r="L561" s="20">
        <v>45912.493055555547</v>
      </c>
      <c r="M561" s="19"/>
      <c r="N561" s="22">
        <f t="shared" si="18"/>
        <v>2.4305555547471158E-2</v>
      </c>
      <c r="O561" s="19" t="s">
        <v>50</v>
      </c>
      <c r="P561" s="19" t="s">
        <v>4292</v>
      </c>
      <c r="Q561" s="19" t="s">
        <v>4304</v>
      </c>
      <c r="R561" s="19"/>
      <c r="S561" s="19"/>
      <c r="U561" s="19"/>
      <c r="W561" s="19"/>
      <c r="X561" s="19" t="s">
        <v>762</v>
      </c>
      <c r="Y561" s="27" t="s">
        <v>54</v>
      </c>
      <c r="Z561" s="27" t="s">
        <v>4305</v>
      </c>
      <c r="AA561" s="27" t="s">
        <v>4306</v>
      </c>
      <c r="AB561" s="27" t="s">
        <v>4307</v>
      </c>
      <c r="AC561" s="37" t="s">
        <v>4308</v>
      </c>
      <c r="AD561" s="38" t="s">
        <v>4309</v>
      </c>
      <c r="AE561" s="36">
        <v>45901</v>
      </c>
      <c r="AF561" s="19" t="s">
        <v>89</v>
      </c>
      <c r="AG561" s="19" t="s">
        <v>90</v>
      </c>
      <c r="AH561" s="19" t="s">
        <v>62</v>
      </c>
      <c r="AI561" s="19" t="s">
        <v>63</v>
      </c>
      <c r="AJ561" s="19" t="s">
        <v>4310</v>
      </c>
      <c r="AK561" s="19"/>
      <c r="AL561" s="19"/>
      <c r="AM561" s="19"/>
      <c r="AN561" s="19" t="s">
        <v>65</v>
      </c>
      <c r="AO561" s="23">
        <v>45912.46875</v>
      </c>
      <c r="AP561" s="26">
        <f t="shared" si="19"/>
        <v>35</v>
      </c>
    </row>
    <row r="562" spans="1:42" ht="25.5" hidden="1" customHeight="1">
      <c r="A562" s="19" t="s">
        <v>285</v>
      </c>
      <c r="C562" s="19" t="s">
        <v>4311</v>
      </c>
      <c r="D562" s="19" t="s">
        <v>45</v>
      </c>
      <c r="E562" s="19" t="s">
        <v>46</v>
      </c>
      <c r="F562" s="19" t="s">
        <v>4312</v>
      </c>
      <c r="G562" s="19" t="s">
        <v>48</v>
      </c>
      <c r="H562" s="19" t="s">
        <v>49</v>
      </c>
      <c r="I562" s="20">
        <v>45912.630555555559</v>
      </c>
      <c r="K562" s="19"/>
      <c r="L562" s="20">
        <v>45912.657638888893</v>
      </c>
      <c r="M562" s="19"/>
      <c r="N562" s="22">
        <f t="shared" si="18"/>
        <v>2.7083333334303461E-2</v>
      </c>
      <c r="O562" s="19" t="s">
        <v>63</v>
      </c>
      <c r="P562" s="19" t="s">
        <v>4313</v>
      </c>
      <c r="Q562" s="19" t="s">
        <v>4314</v>
      </c>
      <c r="R562" s="19"/>
      <c r="S562" s="19"/>
      <c r="U562" s="19"/>
      <c r="W562" s="19"/>
      <c r="X562" s="19" t="s">
        <v>4315</v>
      </c>
      <c r="Y562" s="27" t="s">
        <v>133</v>
      </c>
      <c r="Z562" s="27" t="s">
        <v>999</v>
      </c>
      <c r="AA562" s="27" t="s">
        <v>4316</v>
      </c>
      <c r="AB562" s="27" t="s">
        <v>4317</v>
      </c>
      <c r="AC562" s="37" t="s">
        <v>4318</v>
      </c>
      <c r="AD562" s="38" t="s">
        <v>4319</v>
      </c>
      <c r="AE562" s="36">
        <v>45901</v>
      </c>
      <c r="AF562" s="19" t="s">
        <v>293</v>
      </c>
      <c r="AG562" s="19" t="s">
        <v>307</v>
      </c>
      <c r="AH562" s="19" t="s">
        <v>164</v>
      </c>
      <c r="AI562" s="19" t="s">
        <v>63</v>
      </c>
      <c r="AJ562" s="19" t="s">
        <v>4320</v>
      </c>
      <c r="AK562" s="19"/>
      <c r="AL562" s="19"/>
      <c r="AM562" s="19"/>
      <c r="AN562" s="19" t="s">
        <v>128</v>
      </c>
      <c r="AO562" s="23">
        <v>45912.630555555559</v>
      </c>
      <c r="AP562" s="26">
        <f t="shared" si="19"/>
        <v>39</v>
      </c>
    </row>
    <row r="563" spans="1:42" ht="25.5" hidden="1" customHeight="1">
      <c r="A563" s="19" t="s">
        <v>42</v>
      </c>
      <c r="B563" s="19" t="s">
        <v>3327</v>
      </c>
      <c r="C563" s="19" t="s">
        <v>701</v>
      </c>
      <c r="D563" s="19" t="s">
        <v>45</v>
      </c>
      <c r="E563" s="19" t="s">
        <v>46</v>
      </c>
      <c r="F563" s="19" t="s">
        <v>4321</v>
      </c>
      <c r="G563" s="19" t="s">
        <v>48</v>
      </c>
      <c r="H563" s="19" t="s">
        <v>49</v>
      </c>
      <c r="I563" s="20">
        <v>45912.756944444453</v>
      </c>
      <c r="K563" s="19"/>
      <c r="L563" s="20">
        <v>45912.770833333343</v>
      </c>
      <c r="M563" s="19"/>
      <c r="N563" s="22">
        <f t="shared" si="18"/>
        <v>1.3888888890505768E-2</v>
      </c>
      <c r="O563" s="19" t="s">
        <v>63</v>
      </c>
      <c r="P563" s="19" t="s">
        <v>4322</v>
      </c>
      <c r="Q563" s="19" t="s">
        <v>4323</v>
      </c>
      <c r="R563" s="19"/>
      <c r="S563" s="19"/>
      <c r="U563" s="19"/>
      <c r="W563" s="19"/>
      <c r="X563" s="19" t="s">
        <v>746</v>
      </c>
      <c r="Y563" s="27" t="s">
        <v>54</v>
      </c>
      <c r="Z563" s="27" t="s">
        <v>2884</v>
      </c>
      <c r="AA563" s="27" t="s">
        <v>4324</v>
      </c>
      <c r="AB563" s="27" t="s">
        <v>4325</v>
      </c>
      <c r="AC563" s="37" t="s">
        <v>4326</v>
      </c>
      <c r="AD563" s="38" t="s">
        <v>4327</v>
      </c>
      <c r="AE563" s="36">
        <v>45901</v>
      </c>
      <c r="AF563" s="19" t="s">
        <v>89</v>
      </c>
      <c r="AG563" s="19" t="s">
        <v>90</v>
      </c>
      <c r="AH563" s="19" t="s">
        <v>62</v>
      </c>
      <c r="AI563" s="19" t="s">
        <v>63</v>
      </c>
      <c r="AJ563" s="19" t="s">
        <v>4328</v>
      </c>
      <c r="AK563" s="19"/>
      <c r="AL563" s="19"/>
      <c r="AM563" s="19"/>
      <c r="AN563" s="19" t="s">
        <v>103</v>
      </c>
      <c r="AO563" s="23">
        <v>45912.756944444453</v>
      </c>
      <c r="AP563" s="26">
        <f t="shared" si="19"/>
        <v>20</v>
      </c>
    </row>
    <row r="564" spans="1:42" ht="25.5" customHeight="1">
      <c r="A564" s="19" t="s">
        <v>42</v>
      </c>
      <c r="C564" s="19" t="s">
        <v>4329</v>
      </c>
      <c r="D564" s="19" t="s">
        <v>45</v>
      </c>
      <c r="E564" s="19" t="s">
        <v>46</v>
      </c>
      <c r="F564" s="19" t="s">
        <v>4330</v>
      </c>
      <c r="G564" s="19" t="s">
        <v>48</v>
      </c>
      <c r="H564" s="19" t="s">
        <v>144</v>
      </c>
      <c r="I564" s="20">
        <v>45913.065972222219</v>
      </c>
      <c r="K564" s="19">
        <v>45913.320833333331</v>
      </c>
      <c r="L564" s="20">
        <v>45913.339583333327</v>
      </c>
      <c r="M564" s="19"/>
      <c r="N564" s="22">
        <f t="shared" si="18"/>
        <v>0.27361111110803904</v>
      </c>
      <c r="O564" s="19" t="s">
        <v>63</v>
      </c>
      <c r="P564" s="19" t="s">
        <v>4331</v>
      </c>
      <c r="Q564" s="19" t="s">
        <v>4332</v>
      </c>
      <c r="R564" s="19"/>
      <c r="S564" s="19"/>
      <c r="U564" s="19"/>
      <c r="W564" s="19"/>
      <c r="X564" s="19" t="s">
        <v>72</v>
      </c>
      <c r="Y564" s="27" t="s">
        <v>147</v>
      </c>
      <c r="Z564" s="27" t="s">
        <v>78</v>
      </c>
      <c r="AA564" s="27" t="s">
        <v>78</v>
      </c>
      <c r="AB564" s="27" t="s">
        <v>78</v>
      </c>
      <c r="AC564" s="37" t="s">
        <v>78</v>
      </c>
      <c r="AD564" s="38" t="s">
        <v>78</v>
      </c>
      <c r="AE564" s="36">
        <v>45901</v>
      </c>
      <c r="AF564" s="19" t="s">
        <v>60</v>
      </c>
      <c r="AG564" s="19" t="s">
        <v>78</v>
      </c>
      <c r="AH564" s="19" t="s">
        <v>62</v>
      </c>
      <c r="AI564" s="19" t="s">
        <v>63</v>
      </c>
      <c r="AJ564" s="19" t="s">
        <v>4333</v>
      </c>
      <c r="AK564" s="19"/>
      <c r="AL564" s="19"/>
      <c r="AM564" s="19"/>
      <c r="AN564" s="19" t="s">
        <v>65</v>
      </c>
      <c r="AO564" s="23">
        <v>45913.320833333331</v>
      </c>
      <c r="AP564" s="26">
        <f t="shared" si="19"/>
        <v>394</v>
      </c>
    </row>
    <row r="565" spans="1:42" ht="25.5" hidden="1" customHeight="1">
      <c r="A565" s="19" t="s">
        <v>42</v>
      </c>
      <c r="B565" s="19" t="s">
        <v>3327</v>
      </c>
      <c r="C565" s="19" t="s">
        <v>4334</v>
      </c>
      <c r="D565" s="19" t="s">
        <v>45</v>
      </c>
      <c r="E565" s="19" t="s">
        <v>46</v>
      </c>
      <c r="F565" s="19" t="s">
        <v>4335</v>
      </c>
      <c r="G565" s="19" t="s">
        <v>48</v>
      </c>
      <c r="H565" s="19" t="s">
        <v>49</v>
      </c>
      <c r="I565" s="20">
        <v>45913.423611111109</v>
      </c>
      <c r="K565" s="19"/>
      <c r="L565" s="20">
        <v>45913.4375</v>
      </c>
      <c r="M565" s="19"/>
      <c r="N565" s="22">
        <f t="shared" si="18"/>
        <v>1.3888888890505768E-2</v>
      </c>
      <c r="O565" s="19" t="s">
        <v>63</v>
      </c>
      <c r="P565" s="19" t="s">
        <v>4336</v>
      </c>
      <c r="Q565" s="19" t="s">
        <v>4337</v>
      </c>
      <c r="R565" s="19"/>
      <c r="S565" s="19"/>
      <c r="U565" s="19"/>
      <c r="W565" s="19"/>
      <c r="X565" s="19" t="s">
        <v>491</v>
      </c>
      <c r="Y565" s="27" t="s">
        <v>54</v>
      </c>
      <c r="Z565" s="27" t="s">
        <v>4338</v>
      </c>
      <c r="AA565" s="27" t="s">
        <v>4339</v>
      </c>
      <c r="AB565" s="27" t="s">
        <v>4340</v>
      </c>
      <c r="AC565" s="37" t="s">
        <v>4341</v>
      </c>
      <c r="AD565" s="38" t="s">
        <v>4342</v>
      </c>
      <c r="AE565" s="36">
        <v>45901</v>
      </c>
      <c r="AF565" s="19" t="s">
        <v>89</v>
      </c>
      <c r="AG565" s="19" t="s">
        <v>90</v>
      </c>
      <c r="AH565" s="19" t="s">
        <v>62</v>
      </c>
      <c r="AI565" s="19" t="s">
        <v>63</v>
      </c>
      <c r="AJ565" s="19" t="s">
        <v>4343</v>
      </c>
      <c r="AK565" s="19"/>
      <c r="AL565" s="19"/>
      <c r="AM565" s="19"/>
      <c r="AN565" s="19" t="s">
        <v>622</v>
      </c>
      <c r="AO565" s="23">
        <v>45913.423611111109</v>
      </c>
      <c r="AP565" s="26">
        <f t="shared" si="19"/>
        <v>20</v>
      </c>
    </row>
    <row r="566" spans="1:42" ht="25.5" hidden="1" customHeight="1">
      <c r="A566" s="19" t="s">
        <v>42</v>
      </c>
      <c r="C566" s="19" t="s">
        <v>4344</v>
      </c>
      <c r="D566" s="19" t="s">
        <v>45</v>
      </c>
      <c r="E566" s="19" t="s">
        <v>46</v>
      </c>
      <c r="F566" s="19" t="s">
        <v>4345</v>
      </c>
      <c r="G566" s="19" t="s">
        <v>48</v>
      </c>
      <c r="H566" s="19" t="s">
        <v>49</v>
      </c>
      <c r="I566" s="20">
        <v>45913.429166666669</v>
      </c>
      <c r="K566" s="19"/>
      <c r="L566" s="20">
        <v>45915.475694444453</v>
      </c>
      <c r="M566" s="19"/>
      <c r="N566" s="22">
        <f t="shared" si="18"/>
        <v>2.0465277777839219</v>
      </c>
      <c r="O566" s="19" t="s">
        <v>63</v>
      </c>
      <c r="P566" s="19" t="s">
        <v>4346</v>
      </c>
      <c r="Q566" s="19" t="s">
        <v>4347</v>
      </c>
      <c r="R566" s="19"/>
      <c r="S566" s="19"/>
      <c r="U566" s="19"/>
      <c r="W566" s="19"/>
      <c r="X566" s="19" t="s">
        <v>72</v>
      </c>
      <c r="Y566" s="27" t="s">
        <v>147</v>
      </c>
      <c r="Z566" s="27" t="s">
        <v>78</v>
      </c>
      <c r="AA566" s="27" t="s">
        <v>78</v>
      </c>
      <c r="AB566" s="27" t="s">
        <v>78</v>
      </c>
      <c r="AC566" s="37" t="s">
        <v>78</v>
      </c>
      <c r="AD566" s="38" t="s">
        <v>78</v>
      </c>
      <c r="AE566" s="36">
        <v>45901</v>
      </c>
      <c r="AF566" s="19" t="s">
        <v>89</v>
      </c>
      <c r="AG566" s="19" t="s">
        <v>90</v>
      </c>
      <c r="AH566" s="19" t="s">
        <v>62</v>
      </c>
      <c r="AI566" s="19" t="s">
        <v>63</v>
      </c>
      <c r="AJ566" s="19" t="s">
        <v>4348</v>
      </c>
      <c r="AK566" s="19"/>
      <c r="AL566" s="19"/>
      <c r="AM566" s="19"/>
      <c r="AN566" s="19" t="s">
        <v>65</v>
      </c>
      <c r="AO566" s="23">
        <v>45915.438888888893</v>
      </c>
      <c r="AP566" s="26">
        <f t="shared" si="19"/>
        <v>67</v>
      </c>
    </row>
    <row r="567" spans="1:42" ht="25.5" hidden="1" customHeight="1">
      <c r="A567" s="19" t="s">
        <v>42</v>
      </c>
      <c r="C567" s="19" t="s">
        <v>3818</v>
      </c>
      <c r="D567" s="19" t="s">
        <v>45</v>
      </c>
      <c r="E567" s="19" t="s">
        <v>225</v>
      </c>
      <c r="F567" s="19" t="s">
        <v>4349</v>
      </c>
      <c r="G567" s="19" t="s">
        <v>48</v>
      </c>
      <c r="H567" s="19" t="s">
        <v>49</v>
      </c>
      <c r="I567" s="20">
        <v>45913.554861111108</v>
      </c>
      <c r="K567" s="19"/>
      <c r="L567" s="20">
        <v>45913.758333333331</v>
      </c>
      <c r="M567" s="19"/>
      <c r="N567" s="22">
        <f t="shared" si="18"/>
        <v>0.20347222222335404</v>
      </c>
      <c r="O567" s="19" t="s">
        <v>50</v>
      </c>
      <c r="P567" s="19" t="s">
        <v>4350</v>
      </c>
      <c r="Q567" s="19" t="s">
        <v>4351</v>
      </c>
      <c r="R567" s="19"/>
      <c r="S567" s="19"/>
      <c r="U567" s="19"/>
      <c r="W567" s="19"/>
      <c r="X567" s="19" t="s">
        <v>1589</v>
      </c>
      <c r="Y567" s="27" t="s">
        <v>147</v>
      </c>
      <c r="Z567" s="27" t="s">
        <v>78</v>
      </c>
      <c r="AA567" s="27" t="s">
        <v>78</v>
      </c>
      <c r="AB567" s="27" t="s">
        <v>78</v>
      </c>
      <c r="AC567" s="37" t="s">
        <v>78</v>
      </c>
      <c r="AD567" s="38" t="s">
        <v>78</v>
      </c>
      <c r="AE567" s="36">
        <v>45901</v>
      </c>
      <c r="AF567" s="19" t="s">
        <v>60</v>
      </c>
      <c r="AG567" s="19" t="s">
        <v>78</v>
      </c>
      <c r="AH567" s="19" t="s">
        <v>78</v>
      </c>
      <c r="AI567" s="19" t="s">
        <v>63</v>
      </c>
      <c r="AJ567" s="19" t="s">
        <v>4352</v>
      </c>
      <c r="AK567" s="19"/>
      <c r="AL567" s="19"/>
      <c r="AM567" s="19"/>
      <c r="AN567" s="19" t="s">
        <v>65</v>
      </c>
      <c r="AO567" s="23">
        <v>45913.554861111108</v>
      </c>
      <c r="AP567" s="26">
        <f t="shared" si="19"/>
        <v>293</v>
      </c>
    </row>
    <row r="568" spans="1:42" ht="25.5" hidden="1" customHeight="1">
      <c r="A568" s="19" t="s">
        <v>92</v>
      </c>
      <c r="B568" s="19" t="s">
        <v>403</v>
      </c>
      <c r="C568" s="19" t="s">
        <v>1021</v>
      </c>
      <c r="D568" s="19" t="s">
        <v>45</v>
      </c>
      <c r="E568" s="19" t="s">
        <v>46</v>
      </c>
      <c r="F568" s="19" t="s">
        <v>4353</v>
      </c>
      <c r="G568" s="19" t="s">
        <v>48</v>
      </c>
      <c r="H568" s="19" t="s">
        <v>49</v>
      </c>
      <c r="I568" s="20">
        <v>45913.881944444453</v>
      </c>
      <c r="K568" s="19"/>
      <c r="L568" s="20">
        <v>45913.902777777781</v>
      </c>
      <c r="M568" s="19"/>
      <c r="N568" s="22">
        <f t="shared" si="18"/>
        <v>2.0833333328482695E-2</v>
      </c>
      <c r="O568" s="19" t="s">
        <v>50</v>
      </c>
      <c r="P568" s="19" t="s">
        <v>4005</v>
      </c>
      <c r="Q568" s="19" t="s">
        <v>4354</v>
      </c>
      <c r="R568" s="19"/>
      <c r="S568" s="19"/>
      <c r="U568" s="19"/>
      <c r="W568" s="19"/>
      <c r="X568" s="19" t="s">
        <v>109</v>
      </c>
      <c r="Y568" s="27" t="s">
        <v>133</v>
      </c>
      <c r="Z568" s="27" t="s">
        <v>4355</v>
      </c>
      <c r="AA568" s="27" t="s">
        <v>4356</v>
      </c>
      <c r="AB568" s="27" t="s">
        <v>4357</v>
      </c>
      <c r="AC568" s="37" t="s">
        <v>4358</v>
      </c>
      <c r="AD568" s="38" t="s">
        <v>4359</v>
      </c>
      <c r="AE568" s="36">
        <v>45901</v>
      </c>
      <c r="AF568" s="19" t="s">
        <v>60</v>
      </c>
      <c r="AG568" s="19" t="s">
        <v>78</v>
      </c>
      <c r="AH568" s="19" t="s">
        <v>78</v>
      </c>
      <c r="AI568" s="19" t="s">
        <v>63</v>
      </c>
      <c r="AJ568" s="19" t="s">
        <v>4360</v>
      </c>
      <c r="AK568" s="19"/>
      <c r="AL568" s="19"/>
      <c r="AM568" s="19"/>
      <c r="AN568" s="19" t="s">
        <v>103</v>
      </c>
      <c r="AO568" s="23">
        <v>45913.888888888891</v>
      </c>
      <c r="AP568" s="26">
        <f t="shared" si="19"/>
        <v>30</v>
      </c>
    </row>
    <row r="569" spans="1:42" ht="25.5" hidden="1" customHeight="1">
      <c r="A569" s="19" t="s">
        <v>42</v>
      </c>
      <c r="B569" s="19" t="s">
        <v>3843</v>
      </c>
      <c r="C569" s="19" t="s">
        <v>336</v>
      </c>
      <c r="D569" s="19" t="s">
        <v>45</v>
      </c>
      <c r="E569" s="19" t="s">
        <v>46</v>
      </c>
      <c r="F569" s="19" t="s">
        <v>4361</v>
      </c>
      <c r="G569" s="19" t="s">
        <v>48</v>
      </c>
      <c r="H569" s="19" t="s">
        <v>49</v>
      </c>
      <c r="I569" s="20">
        <v>45913.890972222223</v>
      </c>
      <c r="K569" s="19"/>
      <c r="L569" s="20">
        <v>45913.904166666667</v>
      </c>
      <c r="M569" s="19"/>
      <c r="N569" s="22">
        <f t="shared" si="18"/>
        <v>1.3194444443797693E-2</v>
      </c>
      <c r="O569" s="19" t="s">
        <v>50</v>
      </c>
      <c r="P569" s="19" t="s">
        <v>4362</v>
      </c>
      <c r="Q569" s="19" t="s">
        <v>4363</v>
      </c>
      <c r="R569" s="19"/>
      <c r="S569" s="19"/>
      <c r="U569" s="19"/>
      <c r="W569" s="19"/>
      <c r="X569" s="19" t="s">
        <v>314</v>
      </c>
      <c r="Y569" s="27" t="s">
        <v>54</v>
      </c>
      <c r="Z569" s="27" t="s">
        <v>1852</v>
      </c>
      <c r="AA569" s="27" t="s">
        <v>4364</v>
      </c>
      <c r="AB569" s="27" t="s">
        <v>4365</v>
      </c>
      <c r="AC569" s="37" t="s">
        <v>4366</v>
      </c>
      <c r="AD569" s="38" t="s">
        <v>4367</v>
      </c>
      <c r="AE569" s="36">
        <v>45901</v>
      </c>
      <c r="AF569" s="19" t="s">
        <v>89</v>
      </c>
      <c r="AG569" s="19" t="s">
        <v>90</v>
      </c>
      <c r="AH569" s="19" t="s">
        <v>62</v>
      </c>
      <c r="AI569" s="19" t="s">
        <v>63</v>
      </c>
      <c r="AJ569" s="19" t="s">
        <v>4368</v>
      </c>
      <c r="AK569" s="19"/>
      <c r="AL569" s="19"/>
      <c r="AM569" s="19"/>
      <c r="AN569" s="19" t="s">
        <v>103</v>
      </c>
      <c r="AO569" s="23">
        <v>45913.890972222223</v>
      </c>
      <c r="AP569" s="26">
        <f t="shared" si="19"/>
        <v>19</v>
      </c>
    </row>
    <row r="570" spans="1:42" ht="25.5" customHeight="1">
      <c r="A570" s="19" t="s">
        <v>42</v>
      </c>
      <c r="B570" s="19" t="s">
        <v>4236</v>
      </c>
      <c r="C570" s="19" t="s">
        <v>1069</v>
      </c>
      <c r="D570" s="19" t="s">
        <v>45</v>
      </c>
      <c r="E570" s="19" t="s">
        <v>46</v>
      </c>
      <c r="F570" s="19" t="s">
        <v>4369</v>
      </c>
      <c r="G570" s="19" t="s">
        <v>48</v>
      </c>
      <c r="H570" s="19" t="s">
        <v>152</v>
      </c>
      <c r="I570" s="20">
        <v>45914.859027777777</v>
      </c>
      <c r="J570" s="20">
        <v>45914.892361111109</v>
      </c>
      <c r="K570" s="19"/>
      <c r="L570" s="20">
        <v>45914.929166666669</v>
      </c>
      <c r="M570" s="19"/>
      <c r="N570" s="22">
        <f t="shared" si="18"/>
        <v>7.013888889196096E-2</v>
      </c>
      <c r="O570" s="19" t="s">
        <v>63</v>
      </c>
      <c r="P570" s="19" t="s">
        <v>4370</v>
      </c>
      <c r="Q570" s="19" t="s">
        <v>4371</v>
      </c>
      <c r="R570" s="19" t="s">
        <v>4372</v>
      </c>
      <c r="S570" s="19" t="s">
        <v>4373</v>
      </c>
      <c r="T570" s="20">
        <v>45915.57708333333</v>
      </c>
      <c r="U570" s="19">
        <v>45918.5</v>
      </c>
      <c r="V570" s="19" t="s">
        <v>157</v>
      </c>
      <c r="W570" s="19"/>
      <c r="X570" s="19" t="s">
        <v>1069</v>
      </c>
      <c r="Y570" s="27" t="s">
        <v>54</v>
      </c>
      <c r="Z570" s="27" t="s">
        <v>414</v>
      </c>
      <c r="AA570" s="27" t="s">
        <v>3963</v>
      </c>
      <c r="AB570" s="27" t="s">
        <v>4374</v>
      </c>
      <c r="AC570" s="37">
        <v>45913.8125</v>
      </c>
      <c r="AD570" s="38" t="s">
        <v>1116</v>
      </c>
      <c r="AE570" s="36">
        <v>45901</v>
      </c>
      <c r="AF570" s="19" t="s">
        <v>293</v>
      </c>
      <c r="AG570" s="19" t="s">
        <v>556</v>
      </c>
      <c r="AH570" s="19" t="s">
        <v>62</v>
      </c>
      <c r="AI570" s="19" t="s">
        <v>63</v>
      </c>
      <c r="AJ570" s="19" t="s">
        <v>4375</v>
      </c>
      <c r="AK570" s="19"/>
      <c r="AL570" s="19"/>
      <c r="AM570" s="19"/>
      <c r="AN570" s="19" t="s">
        <v>103</v>
      </c>
      <c r="AO570" s="23">
        <v>45914.859027777777</v>
      </c>
      <c r="AP570" s="26">
        <f t="shared" si="19"/>
        <v>101</v>
      </c>
    </row>
    <row r="571" spans="1:42" ht="25.5" customHeight="1">
      <c r="A571" s="19" t="s">
        <v>42</v>
      </c>
      <c r="C571" s="19" t="s">
        <v>4376</v>
      </c>
      <c r="D571" s="19" t="s">
        <v>45</v>
      </c>
      <c r="E571" s="19" t="s">
        <v>46</v>
      </c>
      <c r="F571" s="19" t="s">
        <v>4377</v>
      </c>
      <c r="G571" s="19" t="s">
        <v>48</v>
      </c>
      <c r="H571" s="19" t="s">
        <v>144</v>
      </c>
      <c r="I571" s="20">
        <v>45914.878472222219</v>
      </c>
      <c r="K571" s="19">
        <v>45914.895833333343</v>
      </c>
      <c r="L571" s="20">
        <v>45914.910416666673</v>
      </c>
      <c r="M571" s="19"/>
      <c r="N571" s="22">
        <f t="shared" si="18"/>
        <v>3.1944444453984033E-2</v>
      </c>
      <c r="O571" s="19" t="s">
        <v>50</v>
      </c>
      <c r="P571" s="19" t="s">
        <v>4378</v>
      </c>
      <c r="Q571" s="19" t="s">
        <v>4379</v>
      </c>
      <c r="R571" s="19"/>
      <c r="S571" s="19"/>
      <c r="U571" s="19"/>
      <c r="W571" s="19"/>
      <c r="X571" s="19" t="s">
        <v>72</v>
      </c>
      <c r="Y571" s="27" t="s">
        <v>147</v>
      </c>
      <c r="Z571" s="27" t="s">
        <v>78</v>
      </c>
      <c r="AA571" s="27" t="s">
        <v>78</v>
      </c>
      <c r="AB571" s="27" t="s">
        <v>78</v>
      </c>
      <c r="AC571" s="37" t="s">
        <v>78</v>
      </c>
      <c r="AD571" s="38" t="s">
        <v>78</v>
      </c>
      <c r="AE571" s="36">
        <v>45901</v>
      </c>
      <c r="AF571" s="19" t="s">
        <v>89</v>
      </c>
      <c r="AG571" s="19" t="s">
        <v>90</v>
      </c>
      <c r="AH571" s="19" t="s">
        <v>62</v>
      </c>
      <c r="AI571" s="19" t="s">
        <v>63</v>
      </c>
      <c r="AJ571" s="19" t="s">
        <v>4380</v>
      </c>
      <c r="AK571" s="19"/>
      <c r="AL571" s="19"/>
      <c r="AM571" s="19"/>
      <c r="AN571" s="19" t="s">
        <v>65</v>
      </c>
      <c r="AO571" s="23">
        <v>45914.878472222219</v>
      </c>
      <c r="AP571" s="26">
        <f t="shared" si="19"/>
        <v>46</v>
      </c>
    </row>
    <row r="572" spans="1:42" ht="25.5" hidden="1" customHeight="1">
      <c r="A572" s="19" t="s">
        <v>42</v>
      </c>
      <c r="C572" s="19" t="s">
        <v>4381</v>
      </c>
      <c r="D572" s="19" t="s">
        <v>45</v>
      </c>
      <c r="E572" s="19" t="s">
        <v>46</v>
      </c>
      <c r="F572" s="19" t="s">
        <v>4382</v>
      </c>
      <c r="G572" s="19" t="s">
        <v>48</v>
      </c>
      <c r="H572" s="19" t="s">
        <v>49</v>
      </c>
      <c r="I572" s="20">
        <v>45915.436111111107</v>
      </c>
      <c r="K572" s="19"/>
      <c r="L572" s="20">
        <v>45915.442361111112</v>
      </c>
      <c r="M572" s="19"/>
      <c r="N572" s="22">
        <f t="shared" si="18"/>
        <v>6.2500000058207661E-3</v>
      </c>
      <c r="O572" s="19" t="s">
        <v>63</v>
      </c>
      <c r="P572" s="19" t="s">
        <v>4383</v>
      </c>
      <c r="Q572" s="19" t="s">
        <v>4384</v>
      </c>
      <c r="R572" s="19"/>
      <c r="S572" s="19"/>
      <c r="U572" s="19"/>
      <c r="W572" s="19"/>
      <c r="X572" s="19" t="s">
        <v>314</v>
      </c>
      <c r="Y572" s="27" t="s">
        <v>133</v>
      </c>
      <c r="Z572" s="27" t="s">
        <v>1852</v>
      </c>
      <c r="AA572" s="27" t="s">
        <v>4385</v>
      </c>
      <c r="AB572" s="27" t="s">
        <v>4386</v>
      </c>
      <c r="AC572" s="37" t="s">
        <v>4387</v>
      </c>
      <c r="AD572" s="38" t="s">
        <v>4388</v>
      </c>
      <c r="AE572" s="36">
        <v>45901</v>
      </c>
      <c r="AF572" s="19" t="s">
        <v>89</v>
      </c>
      <c r="AG572" s="19" t="s">
        <v>90</v>
      </c>
      <c r="AH572" s="19" t="s">
        <v>62</v>
      </c>
      <c r="AI572" s="19" t="s">
        <v>63</v>
      </c>
      <c r="AJ572" s="19" t="s">
        <v>4389</v>
      </c>
      <c r="AK572" s="19"/>
      <c r="AL572" s="19"/>
      <c r="AM572" s="19"/>
      <c r="AN572" s="19" t="s">
        <v>103</v>
      </c>
      <c r="AO572" s="23">
        <v>45915.436805555553</v>
      </c>
      <c r="AP572" s="26">
        <f t="shared" si="19"/>
        <v>9</v>
      </c>
    </row>
    <row r="573" spans="1:42" ht="25.5" hidden="1" customHeight="1">
      <c r="A573" s="19" t="s">
        <v>42</v>
      </c>
      <c r="B573" s="19" t="s">
        <v>3388</v>
      </c>
      <c r="C573" s="19" t="s">
        <v>2019</v>
      </c>
      <c r="D573" s="19" t="s">
        <v>45</v>
      </c>
      <c r="E573" s="19" t="s">
        <v>46</v>
      </c>
      <c r="F573" s="19" t="s">
        <v>4390</v>
      </c>
      <c r="G573" s="19" t="s">
        <v>48</v>
      </c>
      <c r="H573" s="19" t="s">
        <v>49</v>
      </c>
      <c r="I573" s="20">
        <v>45915.56527777778</v>
      </c>
      <c r="K573" s="19"/>
      <c r="L573" s="20">
        <v>45915.59375</v>
      </c>
      <c r="M573" s="19"/>
      <c r="N573" s="22">
        <f t="shared" si="18"/>
        <v>2.8472222220443655E-2</v>
      </c>
      <c r="O573" s="19" t="s">
        <v>63</v>
      </c>
      <c r="P573" s="19" t="s">
        <v>4391</v>
      </c>
      <c r="Q573" s="19" t="s">
        <v>4392</v>
      </c>
      <c r="R573" s="19"/>
      <c r="S573" s="19"/>
      <c r="U573" s="19"/>
      <c r="W573" s="19"/>
      <c r="X573" s="19" t="s">
        <v>109</v>
      </c>
      <c r="Y573" s="27" t="s">
        <v>133</v>
      </c>
      <c r="Z573" s="27" t="s">
        <v>414</v>
      </c>
      <c r="AA573" s="27" t="s">
        <v>4393</v>
      </c>
      <c r="AB573" s="27" t="s">
        <v>4394</v>
      </c>
      <c r="AC573" s="37">
        <v>45915.588888888888</v>
      </c>
      <c r="AD573" s="38">
        <v>45915.602777777778</v>
      </c>
      <c r="AE573" s="36">
        <v>45901</v>
      </c>
      <c r="AF573" s="19" t="s">
        <v>60</v>
      </c>
      <c r="AG573" s="19" t="s">
        <v>78</v>
      </c>
      <c r="AH573" s="19" t="s">
        <v>78</v>
      </c>
      <c r="AI573" s="19" t="s">
        <v>63</v>
      </c>
      <c r="AJ573" s="19" t="s">
        <v>4395</v>
      </c>
      <c r="AK573" s="19"/>
      <c r="AL573" s="19"/>
      <c r="AM573" s="19"/>
      <c r="AN573" s="19" t="s">
        <v>622</v>
      </c>
      <c r="AO573" s="23">
        <v>45915.577777777777</v>
      </c>
      <c r="AP573" s="26">
        <f t="shared" si="19"/>
        <v>41</v>
      </c>
    </row>
    <row r="574" spans="1:42" ht="25.5" hidden="1" customHeight="1">
      <c r="A574" s="19" t="s">
        <v>42</v>
      </c>
      <c r="B574" s="19" t="s">
        <v>3388</v>
      </c>
      <c r="C574" s="19" t="s">
        <v>1456</v>
      </c>
      <c r="D574" s="19" t="s">
        <v>45</v>
      </c>
      <c r="E574" s="19" t="s">
        <v>46</v>
      </c>
      <c r="F574" s="19" t="s">
        <v>4396</v>
      </c>
      <c r="G574" s="19" t="s">
        <v>48</v>
      </c>
      <c r="H574" s="19" t="s">
        <v>49</v>
      </c>
      <c r="I574" s="20">
        <v>45915.725694444453</v>
      </c>
      <c r="K574" s="19"/>
      <c r="L574" s="20">
        <v>45915.743055555547</v>
      </c>
      <c r="M574" s="19"/>
      <c r="N574" s="22">
        <f t="shared" si="18"/>
        <v>1.7361111094942316E-2</v>
      </c>
      <c r="O574" s="19" t="s">
        <v>50</v>
      </c>
      <c r="P574" s="19" t="s">
        <v>4397</v>
      </c>
      <c r="Q574" s="19" t="s">
        <v>4398</v>
      </c>
      <c r="R574" s="19"/>
      <c r="S574" s="19"/>
      <c r="U574" s="19"/>
      <c r="W574" s="19"/>
      <c r="X574" s="19" t="s">
        <v>620</v>
      </c>
      <c r="Y574" s="27" t="s">
        <v>133</v>
      </c>
      <c r="Z574" s="27" t="s">
        <v>838</v>
      </c>
      <c r="AA574" s="27" t="s">
        <v>4399</v>
      </c>
      <c r="AB574" s="27" t="s">
        <v>4400</v>
      </c>
      <c r="AC574" s="37" t="s">
        <v>4401</v>
      </c>
      <c r="AD574" s="38" t="s">
        <v>4402</v>
      </c>
      <c r="AE574" s="36">
        <v>45901</v>
      </c>
      <c r="AF574" s="19" t="s">
        <v>60</v>
      </c>
      <c r="AG574" s="19" t="s">
        <v>78</v>
      </c>
      <c r="AH574" s="19" t="s">
        <v>78</v>
      </c>
      <c r="AI574" s="19" t="s">
        <v>63</v>
      </c>
      <c r="AJ574" s="19" t="s">
        <v>4403</v>
      </c>
      <c r="AK574" s="19"/>
      <c r="AL574" s="19"/>
      <c r="AM574" s="19"/>
      <c r="AN574" s="19" t="s">
        <v>65</v>
      </c>
      <c r="AO574" s="23">
        <v>45915.725694444453</v>
      </c>
      <c r="AP574" s="26">
        <f t="shared" si="19"/>
        <v>25</v>
      </c>
    </row>
    <row r="575" spans="1:42" ht="25.5" hidden="1" customHeight="1">
      <c r="A575" s="19" t="s">
        <v>116</v>
      </c>
      <c r="B575" s="19" t="s">
        <v>4075</v>
      </c>
      <c r="C575" s="19" t="s">
        <v>94</v>
      </c>
      <c r="D575" s="19" t="s">
        <v>45</v>
      </c>
      <c r="E575" s="19" t="s">
        <v>46</v>
      </c>
      <c r="F575" s="19" t="s">
        <v>4404</v>
      </c>
      <c r="G575" s="19" t="s">
        <v>48</v>
      </c>
      <c r="H575" s="19" t="s">
        <v>49</v>
      </c>
      <c r="I575" s="20">
        <v>45916.688888888893</v>
      </c>
      <c r="K575" s="19"/>
      <c r="L575" s="20">
        <v>45916.692361111112</v>
      </c>
      <c r="M575" s="19"/>
      <c r="N575" s="22">
        <f t="shared" si="18"/>
        <v>3.4722222189884633E-3</v>
      </c>
      <c r="O575" s="19" t="s">
        <v>50</v>
      </c>
      <c r="P575" s="19" t="s">
        <v>4405</v>
      </c>
      <c r="Q575" s="19" t="s">
        <v>4406</v>
      </c>
      <c r="R575" s="19"/>
      <c r="S575" s="19"/>
      <c r="U575" s="19"/>
      <c r="W575" s="19"/>
      <c r="X575" s="19" t="s">
        <v>98</v>
      </c>
      <c r="Y575" s="27" t="s">
        <v>133</v>
      </c>
      <c r="Z575" s="27" t="s">
        <v>209</v>
      </c>
      <c r="AA575" s="27" t="s">
        <v>4404</v>
      </c>
      <c r="AB575" s="27" t="s">
        <v>4407</v>
      </c>
      <c r="AC575" s="37">
        <v>45916.67291666667</v>
      </c>
      <c r="AD575" s="38">
        <v>45916.683333333327</v>
      </c>
      <c r="AE575" s="36">
        <v>45901</v>
      </c>
      <c r="AF575" s="19" t="s">
        <v>78</v>
      </c>
      <c r="AG575" s="19" t="s">
        <v>78</v>
      </c>
      <c r="AH575" s="19" t="s">
        <v>62</v>
      </c>
      <c r="AI575" s="19" t="s">
        <v>63</v>
      </c>
      <c r="AJ575" s="19" t="s">
        <v>4408</v>
      </c>
      <c r="AK575" s="19"/>
      <c r="AL575" s="19"/>
      <c r="AM575" s="19"/>
      <c r="AN575" s="19" t="s">
        <v>103</v>
      </c>
      <c r="AO575" s="23">
        <v>45916.688888888893</v>
      </c>
      <c r="AP575" s="26">
        <f t="shared" si="19"/>
        <v>5</v>
      </c>
    </row>
    <row r="576" spans="1:42" ht="25.5" customHeight="1">
      <c r="A576" s="19" t="s">
        <v>42</v>
      </c>
      <c r="C576" s="19" t="s">
        <v>4409</v>
      </c>
      <c r="D576" s="19" t="s">
        <v>45</v>
      </c>
      <c r="E576" s="19" t="s">
        <v>46</v>
      </c>
      <c r="F576" s="19" t="s">
        <v>4410</v>
      </c>
      <c r="G576" s="19" t="s">
        <v>48</v>
      </c>
      <c r="H576" s="19" t="s">
        <v>69</v>
      </c>
      <c r="I576" s="20">
        <v>45916.870833333327</v>
      </c>
      <c r="K576" s="19">
        <v>45916.875</v>
      </c>
      <c r="L576" s="20">
        <v>45916.887499999997</v>
      </c>
      <c r="M576" s="19"/>
      <c r="N576" s="22">
        <f t="shared" si="18"/>
        <v>1.6666666670062114E-2</v>
      </c>
      <c r="O576" s="19" t="s">
        <v>50</v>
      </c>
      <c r="P576" s="19" t="s">
        <v>4411</v>
      </c>
      <c r="Q576" s="19" t="s">
        <v>4412</v>
      </c>
      <c r="R576" s="19"/>
      <c r="S576" s="19"/>
      <c r="U576" s="19"/>
      <c r="W576" s="19"/>
      <c r="X576" s="19" t="s">
        <v>72</v>
      </c>
      <c r="Y576" s="27" t="s">
        <v>54</v>
      </c>
      <c r="Z576" s="27" t="s">
        <v>414</v>
      </c>
      <c r="AA576" s="27" t="s">
        <v>4413</v>
      </c>
      <c r="AB576" s="27" t="s">
        <v>4414</v>
      </c>
      <c r="AC576" s="37">
        <v>45916.881944444453</v>
      </c>
      <c r="AD576" s="38">
        <v>45916.892361111109</v>
      </c>
      <c r="AE576" s="36">
        <v>45901</v>
      </c>
      <c r="AF576" s="19" t="s">
        <v>89</v>
      </c>
      <c r="AG576" s="19" t="s">
        <v>90</v>
      </c>
      <c r="AH576" s="19" t="s">
        <v>62</v>
      </c>
      <c r="AI576" s="19" t="s">
        <v>63</v>
      </c>
      <c r="AJ576" s="19" t="s">
        <v>4415</v>
      </c>
      <c r="AK576" s="19"/>
      <c r="AL576" s="19"/>
      <c r="AM576" s="19"/>
      <c r="AN576" s="19" t="s">
        <v>65</v>
      </c>
      <c r="AO576" s="23">
        <v>45916.945138888892</v>
      </c>
      <c r="AP576" s="26">
        <f t="shared" si="19"/>
        <v>24</v>
      </c>
    </row>
    <row r="577" spans="1:42" ht="25.5" hidden="1" customHeight="1">
      <c r="A577" s="19" t="s">
        <v>42</v>
      </c>
      <c r="B577" s="19" t="s">
        <v>451</v>
      </c>
      <c r="C577" s="19" t="s">
        <v>452</v>
      </c>
      <c r="D577" s="19" t="s">
        <v>45</v>
      </c>
      <c r="E577" s="19" t="s">
        <v>46</v>
      </c>
      <c r="F577" s="19" t="s">
        <v>4416</v>
      </c>
      <c r="G577" s="19" t="s">
        <v>48</v>
      </c>
      <c r="H577" s="19" t="s">
        <v>49</v>
      </c>
      <c r="I577" s="20">
        <v>45917.267361111109</v>
      </c>
      <c r="K577" s="19"/>
      <c r="L577" s="20">
        <v>45917.322916666657</v>
      </c>
      <c r="M577" s="19"/>
      <c r="N577" s="22">
        <f t="shared" si="18"/>
        <v>5.5555555547471158E-2</v>
      </c>
      <c r="O577" s="19" t="s">
        <v>50</v>
      </c>
      <c r="P577" s="19" t="s">
        <v>4417</v>
      </c>
      <c r="Q577" s="19" t="s">
        <v>4418</v>
      </c>
      <c r="R577" s="19"/>
      <c r="S577" s="19"/>
      <c r="U577" s="19"/>
      <c r="W577" s="19"/>
      <c r="X577" s="19" t="s">
        <v>122</v>
      </c>
      <c r="Y577" s="27" t="s">
        <v>54</v>
      </c>
      <c r="Z577" s="27" t="s">
        <v>4419</v>
      </c>
      <c r="AA577" s="27" t="s">
        <v>4420</v>
      </c>
      <c r="AB577" s="27" t="s">
        <v>4419</v>
      </c>
      <c r="AC577" s="37" t="s">
        <v>4421</v>
      </c>
      <c r="AD577" s="38" t="s">
        <v>4422</v>
      </c>
      <c r="AE577" s="36">
        <v>45901</v>
      </c>
      <c r="AF577" s="19" t="s">
        <v>89</v>
      </c>
      <c r="AG577" s="19" t="s">
        <v>90</v>
      </c>
      <c r="AH577" s="19" t="s">
        <v>62</v>
      </c>
      <c r="AI577" s="19" t="s">
        <v>63</v>
      </c>
      <c r="AJ577" s="19" t="s">
        <v>4423</v>
      </c>
      <c r="AK577" s="19"/>
      <c r="AL577" s="19"/>
      <c r="AM577" s="19"/>
      <c r="AN577" s="19" t="s">
        <v>65</v>
      </c>
      <c r="AO577" s="23">
        <v>45917.267361111109</v>
      </c>
      <c r="AP577" s="26">
        <f t="shared" si="19"/>
        <v>80</v>
      </c>
    </row>
    <row r="578" spans="1:42" ht="25.5" hidden="1" customHeight="1">
      <c r="A578" s="19" t="s">
        <v>42</v>
      </c>
      <c r="C578" s="19" t="s">
        <v>4424</v>
      </c>
      <c r="D578" s="19" t="s">
        <v>45</v>
      </c>
      <c r="E578" s="19" t="s">
        <v>46</v>
      </c>
      <c r="F578" s="19" t="s">
        <v>4425</v>
      </c>
      <c r="G578" s="19" t="s">
        <v>48</v>
      </c>
      <c r="H578" s="19" t="s">
        <v>49</v>
      </c>
      <c r="I578" s="20">
        <v>45917.793749999997</v>
      </c>
      <c r="K578" s="19"/>
      <c r="L578" s="20">
        <v>45917.894444444442</v>
      </c>
      <c r="M578" s="19"/>
      <c r="N578" s="22">
        <f t="shared" si="18"/>
        <v>0.10069444444525288</v>
      </c>
      <c r="O578" s="19" t="s">
        <v>63</v>
      </c>
      <c r="P578" s="19" t="s">
        <v>4426</v>
      </c>
      <c r="Q578" s="19" t="s">
        <v>4427</v>
      </c>
      <c r="R578" s="19"/>
      <c r="S578" s="19"/>
      <c r="U578" s="19"/>
      <c r="W578" s="19"/>
      <c r="X578" s="19" t="s">
        <v>509</v>
      </c>
      <c r="Y578" s="27" t="s">
        <v>147</v>
      </c>
      <c r="Z578" s="27" t="s">
        <v>78</v>
      </c>
      <c r="AA578" s="27" t="s">
        <v>78</v>
      </c>
      <c r="AB578" s="27" t="s">
        <v>78</v>
      </c>
      <c r="AC578" s="37" t="s">
        <v>78</v>
      </c>
      <c r="AD578" s="38" t="s">
        <v>78</v>
      </c>
      <c r="AE578" s="36">
        <v>45901</v>
      </c>
      <c r="AF578" s="19" t="s">
        <v>89</v>
      </c>
      <c r="AG578" s="19" t="s">
        <v>90</v>
      </c>
      <c r="AH578" s="19" t="s">
        <v>62</v>
      </c>
      <c r="AI578" s="19" t="s">
        <v>63</v>
      </c>
      <c r="AJ578" s="19" t="s">
        <v>4428</v>
      </c>
      <c r="AK578" s="19"/>
      <c r="AL578" s="19"/>
      <c r="AM578" s="19"/>
      <c r="AN578" s="19" t="s">
        <v>65</v>
      </c>
      <c r="AO578" s="23">
        <v>45917.793749999997</v>
      </c>
      <c r="AP578" s="26">
        <f t="shared" si="19"/>
        <v>145</v>
      </c>
    </row>
    <row r="579" spans="1:42" ht="25.5" customHeight="1">
      <c r="A579" s="19" t="s">
        <v>42</v>
      </c>
      <c r="C579" s="19" t="s">
        <v>752</v>
      </c>
      <c r="D579" s="19" t="s">
        <v>45</v>
      </c>
      <c r="E579" s="19" t="s">
        <v>46</v>
      </c>
      <c r="F579" s="19" t="s">
        <v>4429</v>
      </c>
      <c r="G579" s="19" t="s">
        <v>48</v>
      </c>
      <c r="H579" s="19" t="s">
        <v>69</v>
      </c>
      <c r="I579" s="20">
        <v>45918.291666666657</v>
      </c>
      <c r="K579" s="19">
        <v>45918.347222222219</v>
      </c>
      <c r="L579" s="20">
        <v>45918.361111111109</v>
      </c>
      <c r="M579" s="19"/>
      <c r="N579" s="22">
        <f t="shared" si="18"/>
        <v>6.9444444452528842E-2</v>
      </c>
      <c r="O579" s="19" t="s">
        <v>50</v>
      </c>
      <c r="P579" s="19" t="s">
        <v>4430</v>
      </c>
      <c r="Q579" s="19" t="s">
        <v>4431</v>
      </c>
      <c r="R579" s="19"/>
      <c r="S579" s="19"/>
      <c r="U579" s="19"/>
      <c r="W579" s="19"/>
      <c r="X579" s="19" t="s">
        <v>72</v>
      </c>
      <c r="Y579" s="27" t="s">
        <v>147</v>
      </c>
      <c r="Z579" s="27" t="s">
        <v>78</v>
      </c>
      <c r="AA579" s="27" t="s">
        <v>78</v>
      </c>
      <c r="AB579" s="27" t="s">
        <v>78</v>
      </c>
      <c r="AC579" s="37" t="s">
        <v>78</v>
      </c>
      <c r="AD579" s="38" t="s">
        <v>78</v>
      </c>
      <c r="AE579" s="36">
        <v>45901</v>
      </c>
      <c r="AF579" s="19" t="s">
        <v>89</v>
      </c>
      <c r="AG579" s="19" t="s">
        <v>90</v>
      </c>
      <c r="AH579" s="19" t="s">
        <v>62</v>
      </c>
      <c r="AI579" s="19" t="s">
        <v>63</v>
      </c>
      <c r="AJ579" s="19" t="s">
        <v>4432</v>
      </c>
      <c r="AK579" s="19" t="s">
        <v>4433</v>
      </c>
      <c r="AL579" s="19"/>
      <c r="AM579" s="19"/>
      <c r="AN579" s="19" t="s">
        <v>65</v>
      </c>
      <c r="AO579" s="23">
        <v>45918.291666666657</v>
      </c>
      <c r="AP579" s="26">
        <f t="shared" si="19"/>
        <v>100</v>
      </c>
    </row>
    <row r="580" spans="1:42" ht="25.5" hidden="1" customHeight="1">
      <c r="A580" s="19" t="s">
        <v>42</v>
      </c>
      <c r="C580" s="19" t="s">
        <v>4434</v>
      </c>
      <c r="D580" s="19" t="s">
        <v>45</v>
      </c>
      <c r="E580" s="19" t="s">
        <v>46</v>
      </c>
      <c r="F580" s="19" t="s">
        <v>4435</v>
      </c>
      <c r="G580" s="19" t="s">
        <v>48</v>
      </c>
      <c r="H580" s="19" t="s">
        <v>49</v>
      </c>
      <c r="I580" s="20">
        <v>45918.315972222219</v>
      </c>
      <c r="K580" s="19"/>
      <c r="L580" s="20">
        <v>45918.34375</v>
      </c>
      <c r="M580" s="19"/>
      <c r="N580" s="22">
        <f t="shared" si="18"/>
        <v>2.7777777781011537E-2</v>
      </c>
      <c r="O580" s="19" t="s">
        <v>50</v>
      </c>
      <c r="P580" s="19" t="s">
        <v>4436</v>
      </c>
      <c r="Q580" s="19" t="s">
        <v>4437</v>
      </c>
      <c r="R580" s="19"/>
      <c r="S580" s="19"/>
      <c r="U580" s="19"/>
      <c r="W580" s="19"/>
      <c r="X580" s="19" t="s">
        <v>72</v>
      </c>
      <c r="Y580" s="27" t="s">
        <v>54</v>
      </c>
      <c r="Z580" s="27" t="s">
        <v>1852</v>
      </c>
      <c r="AA580" s="27" t="s">
        <v>4438</v>
      </c>
      <c r="AB580" s="27" t="s">
        <v>4439</v>
      </c>
      <c r="AC580" s="37" t="s">
        <v>4440</v>
      </c>
      <c r="AD580" s="38" t="s">
        <v>4441</v>
      </c>
      <c r="AE580" s="36">
        <v>45901</v>
      </c>
      <c r="AF580" s="19" t="s">
        <v>89</v>
      </c>
      <c r="AG580" s="19" t="s">
        <v>90</v>
      </c>
      <c r="AH580" s="19" t="s">
        <v>62</v>
      </c>
      <c r="AI580" s="19" t="s">
        <v>63</v>
      </c>
      <c r="AJ580" s="19" t="s">
        <v>4442</v>
      </c>
      <c r="AK580" s="19"/>
      <c r="AL580" s="19"/>
      <c r="AM580" s="19"/>
      <c r="AN580" s="19" t="s">
        <v>65</v>
      </c>
      <c r="AO580" s="23">
        <v>45918.315972222219</v>
      </c>
      <c r="AP580" s="26">
        <f t="shared" si="19"/>
        <v>40</v>
      </c>
    </row>
    <row r="581" spans="1:42" ht="25.5" hidden="1" customHeight="1">
      <c r="A581" s="19" t="s">
        <v>42</v>
      </c>
      <c r="B581" s="19" t="s">
        <v>3972</v>
      </c>
      <c r="C581" s="19" t="s">
        <v>4443</v>
      </c>
      <c r="D581" s="19" t="s">
        <v>45</v>
      </c>
      <c r="E581" s="19" t="s">
        <v>46</v>
      </c>
      <c r="F581" s="19" t="s">
        <v>4444</v>
      </c>
      <c r="G581" s="19" t="s">
        <v>48</v>
      </c>
      <c r="H581" s="19" t="s">
        <v>49</v>
      </c>
      <c r="I581" s="20">
        <v>45918.459722222222</v>
      </c>
      <c r="K581" s="19"/>
      <c r="L581" s="20">
        <v>45918.486111111109</v>
      </c>
      <c r="M581" s="19"/>
      <c r="N581" s="22">
        <f t="shared" si="18"/>
        <v>2.6388888887595385E-2</v>
      </c>
      <c r="O581" s="19" t="s">
        <v>50</v>
      </c>
      <c r="P581" s="19" t="s">
        <v>4445</v>
      </c>
      <c r="Q581" s="19" t="s">
        <v>4446</v>
      </c>
      <c r="R581" s="19"/>
      <c r="S581" s="19"/>
      <c r="U581" s="19"/>
      <c r="W581" s="19"/>
      <c r="X581" s="19" t="s">
        <v>475</v>
      </c>
      <c r="Y581" s="27" t="s">
        <v>54</v>
      </c>
      <c r="Z581" s="27" t="s">
        <v>259</v>
      </c>
      <c r="AA581" s="27" t="s">
        <v>4447</v>
      </c>
      <c r="AB581" s="27" t="s">
        <v>4448</v>
      </c>
      <c r="AC581" s="37" t="s">
        <v>4449</v>
      </c>
      <c r="AD581" s="38" t="s">
        <v>4450</v>
      </c>
      <c r="AE581" s="36">
        <v>45901</v>
      </c>
      <c r="AF581" s="19" t="s">
        <v>60</v>
      </c>
      <c r="AG581" s="19" t="s">
        <v>78</v>
      </c>
      <c r="AH581" s="19" t="s">
        <v>78</v>
      </c>
      <c r="AI581" s="19" t="s">
        <v>63</v>
      </c>
      <c r="AJ581" s="19" t="s">
        <v>4451</v>
      </c>
      <c r="AK581" s="19"/>
      <c r="AL581" s="19"/>
      <c r="AM581" s="19"/>
      <c r="AN581" s="19" t="s">
        <v>103</v>
      </c>
      <c r="AO581" s="23">
        <v>45918.459722222222</v>
      </c>
      <c r="AP581" s="26">
        <f t="shared" si="19"/>
        <v>38</v>
      </c>
    </row>
    <row r="582" spans="1:42" ht="25.5" hidden="1" customHeight="1">
      <c r="A582" s="19" t="s">
        <v>42</v>
      </c>
      <c r="B582" s="19" t="s">
        <v>1273</v>
      </c>
      <c r="C582" s="19" t="s">
        <v>232</v>
      </c>
      <c r="D582" s="19" t="s">
        <v>45</v>
      </c>
      <c r="E582" s="19" t="s">
        <v>46</v>
      </c>
      <c r="F582" s="19" t="s">
        <v>4452</v>
      </c>
      <c r="G582" s="19" t="s">
        <v>48</v>
      </c>
      <c r="H582" s="19" t="s">
        <v>49</v>
      </c>
      <c r="I582" s="20">
        <v>45918.620833333327</v>
      </c>
      <c r="K582" s="19"/>
      <c r="L582" s="20">
        <v>45918.638888888891</v>
      </c>
      <c r="M582" s="19"/>
      <c r="N582" s="22">
        <f t="shared" si="18"/>
        <v>1.8055555563478265E-2</v>
      </c>
      <c r="O582" s="19" t="s">
        <v>50</v>
      </c>
      <c r="P582" s="19" t="s">
        <v>4453</v>
      </c>
      <c r="Q582" s="19" t="s">
        <v>4454</v>
      </c>
      <c r="R582" s="19"/>
      <c r="S582" s="19"/>
      <c r="U582" s="19"/>
      <c r="W582" s="19"/>
      <c r="X582" s="19" t="s">
        <v>2044</v>
      </c>
      <c r="Y582" s="27" t="s">
        <v>54</v>
      </c>
      <c r="Z582" s="27" t="s">
        <v>123</v>
      </c>
      <c r="AA582" s="27" t="s">
        <v>4455</v>
      </c>
      <c r="AB582" s="27" t="s">
        <v>4456</v>
      </c>
      <c r="AC582" s="37">
        <v>45918.531944444447</v>
      </c>
      <c r="AD582" s="38">
        <v>45918.543749999997</v>
      </c>
      <c r="AE582" s="36">
        <v>45901</v>
      </c>
      <c r="AF582" s="19" t="s">
        <v>99</v>
      </c>
      <c r="AG582" s="19" t="s">
        <v>971</v>
      </c>
      <c r="AH582" s="19" t="s">
        <v>62</v>
      </c>
      <c r="AI582" s="19" t="s">
        <v>63</v>
      </c>
      <c r="AJ582" s="19" t="s">
        <v>4457</v>
      </c>
      <c r="AK582" s="19" t="s">
        <v>4458</v>
      </c>
      <c r="AL582" s="19"/>
      <c r="AM582" s="19"/>
      <c r="AN582" s="19" t="s">
        <v>65</v>
      </c>
      <c r="AO582" s="23">
        <v>45918.620833333327</v>
      </c>
      <c r="AP582" s="26">
        <f t="shared" si="19"/>
        <v>26</v>
      </c>
    </row>
    <row r="583" spans="1:42" ht="25.5" hidden="1" customHeight="1">
      <c r="A583" s="19" t="s">
        <v>42</v>
      </c>
      <c r="B583" s="19" t="s">
        <v>3972</v>
      </c>
      <c r="C583" s="19" t="s">
        <v>3725</v>
      </c>
      <c r="D583" s="19" t="s">
        <v>45</v>
      </c>
      <c r="E583" s="19" t="s">
        <v>46</v>
      </c>
      <c r="F583" s="19" t="s">
        <v>4444</v>
      </c>
      <c r="G583" s="19" t="s">
        <v>226</v>
      </c>
      <c r="H583" s="19" t="s">
        <v>49</v>
      </c>
      <c r="I583" s="20">
        <v>45918.657638888893</v>
      </c>
      <c r="K583" s="19"/>
      <c r="L583" s="20">
        <v>45918.661111111112</v>
      </c>
      <c r="M583" s="19"/>
      <c r="N583" s="22">
        <f t="shared" si="18"/>
        <v>3.4722222189884633E-3</v>
      </c>
      <c r="O583" s="19" t="s">
        <v>50</v>
      </c>
      <c r="P583" s="19" t="s">
        <v>4445</v>
      </c>
      <c r="Q583" s="19" t="s">
        <v>4459</v>
      </c>
      <c r="R583" s="19"/>
      <c r="S583" s="19"/>
      <c r="U583" s="19"/>
      <c r="W583" s="19"/>
      <c r="X583" s="19" t="s">
        <v>475</v>
      </c>
      <c r="Y583" s="27" t="s">
        <v>54</v>
      </c>
      <c r="Z583" s="27" t="s">
        <v>259</v>
      </c>
      <c r="AA583" s="27" t="s">
        <v>4460</v>
      </c>
      <c r="AB583" s="27" t="s">
        <v>4461</v>
      </c>
      <c r="AC583" s="37" t="s">
        <v>4462</v>
      </c>
      <c r="AD583" s="38" t="s">
        <v>4463</v>
      </c>
      <c r="AE583" s="36">
        <v>45901</v>
      </c>
      <c r="AF583" s="19" t="s">
        <v>60</v>
      </c>
      <c r="AG583" s="19" t="s">
        <v>78</v>
      </c>
      <c r="AH583" s="19" t="s">
        <v>78</v>
      </c>
      <c r="AI583" s="19" t="s">
        <v>50</v>
      </c>
      <c r="AJ583" s="19" t="s">
        <v>4464</v>
      </c>
      <c r="AK583" s="19"/>
      <c r="AL583" s="19"/>
      <c r="AM583" s="19"/>
      <c r="AN583" s="19" t="s">
        <v>103</v>
      </c>
      <c r="AO583" s="23">
        <v>45918.657638888893</v>
      </c>
      <c r="AP583" s="26">
        <f t="shared" si="19"/>
        <v>5</v>
      </c>
    </row>
    <row r="584" spans="1:42" ht="25.5" hidden="1" customHeight="1">
      <c r="A584" s="19" t="s">
        <v>92</v>
      </c>
      <c r="B584" s="19" t="s">
        <v>4465</v>
      </c>
      <c r="C584" s="19" t="s">
        <v>2907</v>
      </c>
      <c r="D584" s="19" t="s">
        <v>45</v>
      </c>
      <c r="E584" s="19" t="s">
        <v>46</v>
      </c>
      <c r="F584" s="19" t="s">
        <v>4466</v>
      </c>
      <c r="G584" s="19" t="s">
        <v>48</v>
      </c>
      <c r="H584" s="19" t="s">
        <v>49</v>
      </c>
      <c r="I584" s="20">
        <v>45919.512499999997</v>
      </c>
      <c r="K584" s="19"/>
      <c r="L584" s="20">
        <v>45919.529166666667</v>
      </c>
      <c r="M584" s="19"/>
      <c r="N584" s="22">
        <f t="shared" si="18"/>
        <v>1.6666666670062114E-2</v>
      </c>
      <c r="O584" s="19" t="s">
        <v>50</v>
      </c>
      <c r="P584" s="19" t="s">
        <v>4467</v>
      </c>
      <c r="Q584" s="19" t="s">
        <v>4468</v>
      </c>
      <c r="R584" s="19"/>
      <c r="S584" s="19"/>
      <c r="U584" s="19"/>
      <c r="W584" s="19"/>
      <c r="X584" s="19" t="s">
        <v>53</v>
      </c>
      <c r="Y584" s="27" t="s">
        <v>147</v>
      </c>
      <c r="Z584" s="27" t="s">
        <v>78</v>
      </c>
      <c r="AA584" s="27" t="s">
        <v>78</v>
      </c>
      <c r="AB584" s="27" t="s">
        <v>78</v>
      </c>
      <c r="AC584" s="37" t="s">
        <v>78</v>
      </c>
      <c r="AD584" s="38" t="s">
        <v>78</v>
      </c>
      <c r="AE584" s="36">
        <v>45901</v>
      </c>
      <c r="AF584" s="19" t="s">
        <v>89</v>
      </c>
      <c r="AG584" s="19" t="s">
        <v>90</v>
      </c>
      <c r="AH584" s="19" t="s">
        <v>62</v>
      </c>
      <c r="AI584" s="19" t="s">
        <v>63</v>
      </c>
      <c r="AJ584" s="19" t="s">
        <v>4469</v>
      </c>
      <c r="AK584" s="19"/>
      <c r="AL584" s="19"/>
      <c r="AM584" s="19"/>
      <c r="AN584" s="19" t="s">
        <v>65</v>
      </c>
      <c r="AO584" s="23">
        <v>45919.512499999997</v>
      </c>
      <c r="AP584" s="26">
        <f t="shared" si="19"/>
        <v>24</v>
      </c>
    </row>
    <row r="585" spans="1:42" ht="25.5" hidden="1" customHeight="1">
      <c r="A585" s="19" t="s">
        <v>42</v>
      </c>
      <c r="B585" s="19" t="s">
        <v>599</v>
      </c>
      <c r="C585" s="19" t="s">
        <v>4470</v>
      </c>
      <c r="D585" s="19" t="s">
        <v>45</v>
      </c>
      <c r="E585" s="19" t="s">
        <v>46</v>
      </c>
      <c r="F585" s="19" t="s">
        <v>4471</v>
      </c>
      <c r="G585" s="19" t="s">
        <v>48</v>
      </c>
      <c r="H585" s="19" t="s">
        <v>49</v>
      </c>
      <c r="I585" s="20">
        <v>45919.640972222223</v>
      </c>
      <c r="K585" s="19"/>
      <c r="L585" s="20">
        <v>45920.020833333343</v>
      </c>
      <c r="M585" s="19"/>
      <c r="N585" s="22">
        <f t="shared" si="18"/>
        <v>0.37986111111968057</v>
      </c>
      <c r="O585" s="19" t="s">
        <v>50</v>
      </c>
      <c r="P585" s="19" t="s">
        <v>4472</v>
      </c>
      <c r="Q585" s="19" t="s">
        <v>4473</v>
      </c>
      <c r="R585" s="19"/>
      <c r="S585" s="19"/>
      <c r="U585" s="19"/>
      <c r="W585" s="19"/>
      <c r="X585" s="19" t="s">
        <v>122</v>
      </c>
      <c r="Y585" s="27" t="s">
        <v>54</v>
      </c>
      <c r="Z585" s="27" t="s">
        <v>209</v>
      </c>
      <c r="AA585" s="27" t="s">
        <v>4474</v>
      </c>
      <c r="AB585" s="27" t="s">
        <v>4475</v>
      </c>
      <c r="AC585" s="37">
        <v>45919.636805555558</v>
      </c>
      <c r="AD585" s="38">
        <v>45919.647916666669</v>
      </c>
      <c r="AE585" s="36">
        <v>45901</v>
      </c>
      <c r="AF585" s="19" t="s">
        <v>89</v>
      </c>
      <c r="AG585" s="19" t="s">
        <v>90</v>
      </c>
      <c r="AH585" s="19" t="s">
        <v>62</v>
      </c>
      <c r="AI585" s="19" t="s">
        <v>63</v>
      </c>
      <c r="AJ585" s="19" t="s">
        <v>4476</v>
      </c>
      <c r="AK585" s="19"/>
      <c r="AL585" s="19"/>
      <c r="AM585" s="19"/>
      <c r="AN585" s="19" t="s">
        <v>65</v>
      </c>
      <c r="AO585" s="23">
        <v>45919.640972222223</v>
      </c>
      <c r="AP585" s="26">
        <f t="shared" si="19"/>
        <v>547</v>
      </c>
    </row>
    <row r="586" spans="1:42" ht="25.5" hidden="1" customHeight="1">
      <c r="A586" s="19" t="s">
        <v>42</v>
      </c>
      <c r="B586" s="19" t="s">
        <v>186</v>
      </c>
      <c r="C586" s="19" t="s">
        <v>577</v>
      </c>
      <c r="D586" s="19" t="s">
        <v>45</v>
      </c>
      <c r="E586" s="19" t="s">
        <v>46</v>
      </c>
      <c r="F586" s="19" t="s">
        <v>4477</v>
      </c>
      <c r="G586" s="19" t="s">
        <v>48</v>
      </c>
      <c r="H586" s="19" t="s">
        <v>49</v>
      </c>
      <c r="I586" s="20">
        <v>45919.740972222222</v>
      </c>
      <c r="K586" s="19"/>
      <c r="L586" s="20">
        <v>45919.9375</v>
      </c>
      <c r="M586" s="19"/>
      <c r="N586" s="22">
        <f t="shared" si="18"/>
        <v>0.19652777777810115</v>
      </c>
      <c r="O586" s="19" t="s">
        <v>63</v>
      </c>
      <c r="P586" s="19" t="s">
        <v>4478</v>
      </c>
      <c r="Q586" s="19" t="s">
        <v>4479</v>
      </c>
      <c r="R586" s="19"/>
      <c r="S586" s="19"/>
      <c r="U586" s="19"/>
      <c r="W586" s="19"/>
      <c r="X586" s="19" t="s">
        <v>191</v>
      </c>
      <c r="Y586" s="27" t="s">
        <v>147</v>
      </c>
      <c r="Z586" s="27" t="s">
        <v>78</v>
      </c>
      <c r="AA586" s="27" t="s">
        <v>78</v>
      </c>
      <c r="AB586" s="27" t="s">
        <v>78</v>
      </c>
      <c r="AC586" s="37" t="s">
        <v>78</v>
      </c>
      <c r="AD586" s="38" t="s">
        <v>78</v>
      </c>
      <c r="AE586" s="36">
        <v>45901</v>
      </c>
      <c r="AF586" s="19" t="s">
        <v>89</v>
      </c>
      <c r="AG586" s="19" t="s">
        <v>90</v>
      </c>
      <c r="AH586" s="19" t="s">
        <v>62</v>
      </c>
      <c r="AI586" s="19" t="s">
        <v>63</v>
      </c>
      <c r="AJ586" s="19" t="s">
        <v>4480</v>
      </c>
      <c r="AK586" s="19"/>
      <c r="AL586" s="19"/>
      <c r="AM586" s="19"/>
      <c r="AN586" s="19" t="s">
        <v>65</v>
      </c>
      <c r="AO586" s="23">
        <v>45919.740972222222</v>
      </c>
      <c r="AP586" s="26">
        <f t="shared" si="19"/>
        <v>283</v>
      </c>
    </row>
    <row r="587" spans="1:42" ht="25.5" hidden="1" customHeight="1">
      <c r="A587" s="19" t="s">
        <v>285</v>
      </c>
      <c r="B587" s="19" t="s">
        <v>186</v>
      </c>
      <c r="C587" s="19" t="s">
        <v>577</v>
      </c>
      <c r="D587" s="19" t="s">
        <v>45</v>
      </c>
      <c r="E587" s="19" t="s">
        <v>46</v>
      </c>
      <c r="F587" s="19" t="s">
        <v>4481</v>
      </c>
      <c r="G587" s="19" t="s">
        <v>48</v>
      </c>
      <c r="H587" s="19" t="s">
        <v>49</v>
      </c>
      <c r="I587" s="20">
        <v>45920.125</v>
      </c>
      <c r="K587" s="19"/>
      <c r="L587" s="20">
        <v>45920.320833333331</v>
      </c>
      <c r="M587" s="19"/>
      <c r="N587" s="22">
        <f t="shared" si="18"/>
        <v>0.19583333333139308</v>
      </c>
      <c r="O587" s="19" t="s">
        <v>50</v>
      </c>
      <c r="P587" s="19" t="s">
        <v>4482</v>
      </c>
      <c r="Q587" s="19" t="s">
        <v>4483</v>
      </c>
      <c r="R587" s="19"/>
      <c r="S587" s="19"/>
      <c r="U587" s="19"/>
      <c r="W587" s="19"/>
      <c r="X587" s="19" t="s">
        <v>191</v>
      </c>
      <c r="Y587" s="27" t="s">
        <v>147</v>
      </c>
      <c r="Z587" s="27" t="s">
        <v>78</v>
      </c>
      <c r="AA587" s="27" t="s">
        <v>78</v>
      </c>
      <c r="AB587" s="27" t="s">
        <v>78</v>
      </c>
      <c r="AC587" s="37" t="s">
        <v>78</v>
      </c>
      <c r="AD587" s="38" t="s">
        <v>78</v>
      </c>
      <c r="AE587" s="36">
        <v>45901</v>
      </c>
      <c r="AF587" s="19" t="s">
        <v>293</v>
      </c>
      <c r="AG587" s="19" t="s">
        <v>4484</v>
      </c>
      <c r="AH587" s="19" t="s">
        <v>62</v>
      </c>
      <c r="AI587" s="19" t="s">
        <v>63</v>
      </c>
      <c r="AJ587" s="19" t="s">
        <v>4485</v>
      </c>
      <c r="AK587" s="19"/>
      <c r="AL587" s="19"/>
      <c r="AM587" s="19"/>
      <c r="AN587" s="19" t="s">
        <v>65</v>
      </c>
      <c r="AO587" s="23">
        <v>45920.125</v>
      </c>
      <c r="AP587" s="26">
        <f t="shared" si="19"/>
        <v>282</v>
      </c>
    </row>
    <row r="588" spans="1:42" ht="25.5" hidden="1" customHeight="1">
      <c r="A588" s="19" t="s">
        <v>42</v>
      </c>
      <c r="B588" s="19" t="s">
        <v>4486</v>
      </c>
      <c r="C588" s="19" t="s">
        <v>4487</v>
      </c>
      <c r="D588" s="19" t="s">
        <v>45</v>
      </c>
      <c r="E588" s="19" t="s">
        <v>46</v>
      </c>
      <c r="F588" s="19" t="s">
        <v>4488</v>
      </c>
      <c r="G588" s="19" t="s">
        <v>48</v>
      </c>
      <c r="H588" s="19" t="s">
        <v>49</v>
      </c>
      <c r="I588" s="20">
        <v>45920.29583333333</v>
      </c>
      <c r="K588" s="19"/>
      <c r="L588" s="20">
        <v>45920.321527777778</v>
      </c>
      <c r="M588" s="19"/>
      <c r="N588" s="22">
        <f t="shared" si="18"/>
        <v>2.5694444448163267E-2</v>
      </c>
      <c r="O588" s="19" t="s">
        <v>50</v>
      </c>
      <c r="P588" s="19" t="s">
        <v>4489</v>
      </c>
      <c r="Q588" s="19" t="s">
        <v>4490</v>
      </c>
      <c r="R588" s="19"/>
      <c r="S588" s="19"/>
      <c r="U588" s="19"/>
      <c r="W588" s="19"/>
      <c r="X588" s="19" t="s">
        <v>98</v>
      </c>
      <c r="Y588" s="27" t="s">
        <v>54</v>
      </c>
      <c r="Z588" s="27" t="s">
        <v>414</v>
      </c>
      <c r="AA588" s="27" t="s">
        <v>4491</v>
      </c>
      <c r="AB588" s="27" t="s">
        <v>4492</v>
      </c>
      <c r="AC588" s="37">
        <v>45920.224999999999</v>
      </c>
      <c r="AD588" s="38">
        <v>45920.238888888889</v>
      </c>
      <c r="AE588" s="36">
        <v>45901</v>
      </c>
      <c r="AF588" s="19" t="s">
        <v>89</v>
      </c>
      <c r="AG588" s="19" t="s">
        <v>656</v>
      </c>
      <c r="AH588" s="19" t="s">
        <v>62</v>
      </c>
      <c r="AI588" s="19" t="s">
        <v>63</v>
      </c>
      <c r="AJ588" s="19" t="s">
        <v>4493</v>
      </c>
      <c r="AK588" s="19" t="s">
        <v>4494</v>
      </c>
      <c r="AL588" s="19"/>
      <c r="AM588" s="19"/>
      <c r="AN588" s="19" t="s">
        <v>65</v>
      </c>
      <c r="AO588" s="23">
        <v>45920.29583333333</v>
      </c>
      <c r="AP588" s="26">
        <f t="shared" si="19"/>
        <v>37</v>
      </c>
    </row>
    <row r="589" spans="1:42" ht="25.5" hidden="1" customHeight="1">
      <c r="A589" s="19" t="s">
        <v>42</v>
      </c>
      <c r="B589" s="19" t="s">
        <v>4495</v>
      </c>
      <c r="C589" s="19" t="s">
        <v>4496</v>
      </c>
      <c r="D589" s="19" t="s">
        <v>45</v>
      </c>
      <c r="E589" s="19" t="s">
        <v>46</v>
      </c>
      <c r="F589" s="19" t="s">
        <v>4497</v>
      </c>
      <c r="G589" s="19" t="s">
        <v>48</v>
      </c>
      <c r="H589" s="19" t="s">
        <v>49</v>
      </c>
      <c r="I589" s="20">
        <v>45920.51458333333</v>
      </c>
      <c r="K589" s="19"/>
      <c r="L589" s="20">
        <v>45920.521527777782</v>
      </c>
      <c r="M589" s="19"/>
      <c r="N589" s="22">
        <f t="shared" si="18"/>
        <v>6.9444444525288418E-3</v>
      </c>
      <c r="O589" s="19" t="s">
        <v>50</v>
      </c>
      <c r="P589" s="19" t="s">
        <v>4498</v>
      </c>
      <c r="Q589" s="19" t="s">
        <v>4499</v>
      </c>
      <c r="R589" s="19"/>
      <c r="S589" s="19"/>
      <c r="U589" s="19"/>
      <c r="W589" s="19"/>
      <c r="X589" s="19" t="s">
        <v>301</v>
      </c>
      <c r="Y589" s="27" t="s">
        <v>133</v>
      </c>
      <c r="Z589" s="27" t="s">
        <v>4500</v>
      </c>
      <c r="AA589" s="27" t="s">
        <v>4501</v>
      </c>
      <c r="AB589" s="27" t="s">
        <v>4502</v>
      </c>
      <c r="AC589" s="37" t="s">
        <v>4503</v>
      </c>
      <c r="AD589" s="38" t="s">
        <v>4504</v>
      </c>
      <c r="AE589" s="36">
        <v>45901</v>
      </c>
      <c r="AF589" s="19" t="s">
        <v>89</v>
      </c>
      <c r="AG589" s="19" t="s">
        <v>90</v>
      </c>
      <c r="AH589" s="19" t="s">
        <v>62</v>
      </c>
      <c r="AI589" s="19" t="s">
        <v>63</v>
      </c>
      <c r="AJ589" s="19" t="s">
        <v>4505</v>
      </c>
      <c r="AK589" s="19"/>
      <c r="AL589" s="19"/>
      <c r="AM589" s="19"/>
      <c r="AN589" s="19" t="s">
        <v>103</v>
      </c>
      <c r="AO589" s="23">
        <v>45920.51458333333</v>
      </c>
      <c r="AP589" s="26">
        <f t="shared" si="19"/>
        <v>10</v>
      </c>
    </row>
    <row r="590" spans="1:42" ht="25.5" hidden="1" customHeight="1">
      <c r="A590" s="19" t="s">
        <v>92</v>
      </c>
      <c r="B590" s="19" t="s">
        <v>403</v>
      </c>
      <c r="C590" s="19" t="s">
        <v>1021</v>
      </c>
      <c r="D590" s="19" t="s">
        <v>45</v>
      </c>
      <c r="E590" s="19" t="s">
        <v>46</v>
      </c>
      <c r="F590" s="19" t="s">
        <v>4506</v>
      </c>
      <c r="G590" s="19" t="s">
        <v>48</v>
      </c>
      <c r="H590" s="19" t="s">
        <v>49</v>
      </c>
      <c r="I590" s="20">
        <v>45920.515972222223</v>
      </c>
      <c r="K590" s="19"/>
      <c r="L590" s="20">
        <v>45920.533333333333</v>
      </c>
      <c r="M590" s="19"/>
      <c r="N590" s="22">
        <f t="shared" si="18"/>
        <v>1.7361111109494232E-2</v>
      </c>
      <c r="O590" s="19" t="s">
        <v>50</v>
      </c>
      <c r="P590" s="19" t="s">
        <v>3383</v>
      </c>
      <c r="Q590" s="19" t="s">
        <v>4507</v>
      </c>
      <c r="R590" s="19"/>
      <c r="S590" s="19"/>
      <c r="U590" s="19"/>
      <c r="W590" s="19"/>
      <c r="X590" s="19" t="s">
        <v>109</v>
      </c>
      <c r="Y590" s="27" t="s">
        <v>133</v>
      </c>
      <c r="Z590" s="27" t="s">
        <v>3963</v>
      </c>
      <c r="AA590" s="27" t="s">
        <v>3963</v>
      </c>
      <c r="AB590" s="27" t="s">
        <v>4508</v>
      </c>
      <c r="AC590" s="37">
        <v>45920.522222222222</v>
      </c>
      <c r="AD590" s="38">
        <v>45920.526388888888</v>
      </c>
      <c r="AE590" s="36">
        <v>45901</v>
      </c>
      <c r="AF590" s="19" t="s">
        <v>60</v>
      </c>
      <c r="AG590" s="19" t="s">
        <v>78</v>
      </c>
      <c r="AH590" s="19" t="s">
        <v>78</v>
      </c>
      <c r="AI590" s="19" t="s">
        <v>63</v>
      </c>
      <c r="AJ590" s="19" t="s">
        <v>4509</v>
      </c>
      <c r="AK590" s="19"/>
      <c r="AL590" s="19"/>
      <c r="AM590" s="19"/>
      <c r="AN590" s="19" t="s">
        <v>103</v>
      </c>
      <c r="AO590" s="23">
        <v>45920.515972222223</v>
      </c>
      <c r="AP590" s="26">
        <f t="shared" si="19"/>
        <v>25</v>
      </c>
    </row>
    <row r="591" spans="1:42" ht="25.5" hidden="1" customHeight="1">
      <c r="A591" s="19" t="s">
        <v>42</v>
      </c>
      <c r="B591" s="19" t="s">
        <v>4510</v>
      </c>
      <c r="C591" s="19" t="s">
        <v>336</v>
      </c>
      <c r="D591" s="19" t="s">
        <v>45</v>
      </c>
      <c r="E591" s="19" t="s">
        <v>46</v>
      </c>
      <c r="F591" s="19" t="s">
        <v>4511</v>
      </c>
      <c r="G591" s="19" t="s">
        <v>48</v>
      </c>
      <c r="H591" s="19" t="s">
        <v>49</v>
      </c>
      <c r="I591" s="20">
        <v>45920.90625</v>
      </c>
      <c r="K591" s="19"/>
      <c r="L591" s="20">
        <v>45920.917361111111</v>
      </c>
      <c r="M591" s="19"/>
      <c r="N591" s="22">
        <f t="shared" si="18"/>
        <v>1.1111111110949423E-2</v>
      </c>
      <c r="O591" s="19" t="s">
        <v>50</v>
      </c>
      <c r="P591" s="19" t="s">
        <v>4362</v>
      </c>
      <c r="Q591" s="19" t="s">
        <v>4512</v>
      </c>
      <c r="R591" s="19"/>
      <c r="S591" s="19"/>
      <c r="U591" s="19"/>
      <c r="W591" s="19"/>
      <c r="X591" s="19" t="s">
        <v>314</v>
      </c>
      <c r="Y591" s="27" t="s">
        <v>54</v>
      </c>
      <c r="Z591" s="27" t="s">
        <v>1852</v>
      </c>
      <c r="AA591" s="27" t="s">
        <v>4513</v>
      </c>
      <c r="AB591" s="27" t="s">
        <v>4514</v>
      </c>
      <c r="AC591" s="37" t="s">
        <v>4515</v>
      </c>
      <c r="AD591" s="38" t="s">
        <v>4516</v>
      </c>
      <c r="AE591" s="36">
        <v>45901</v>
      </c>
      <c r="AF591" s="19" t="s">
        <v>89</v>
      </c>
      <c r="AG591" s="19" t="s">
        <v>90</v>
      </c>
      <c r="AH591" s="19" t="s">
        <v>62</v>
      </c>
      <c r="AI591" s="19" t="s">
        <v>63</v>
      </c>
      <c r="AJ591" s="19" t="s">
        <v>4517</v>
      </c>
      <c r="AK591" s="19"/>
      <c r="AL591" s="19"/>
      <c r="AM591" s="19"/>
      <c r="AN591" s="19" t="s">
        <v>103</v>
      </c>
      <c r="AO591" s="23">
        <v>45920.90625</v>
      </c>
      <c r="AP591" s="26">
        <f t="shared" si="19"/>
        <v>16</v>
      </c>
    </row>
    <row r="592" spans="1:42" ht="25.5" customHeight="1">
      <c r="A592" s="19" t="s">
        <v>42</v>
      </c>
      <c r="B592" s="19" t="s">
        <v>66</v>
      </c>
      <c r="C592" s="19" t="s">
        <v>142</v>
      </c>
      <c r="D592" s="19" t="s">
        <v>45</v>
      </c>
      <c r="E592" s="19" t="s">
        <v>46</v>
      </c>
      <c r="F592" s="19" t="s">
        <v>4518</v>
      </c>
      <c r="G592" s="19" t="s">
        <v>48</v>
      </c>
      <c r="H592" s="19" t="s">
        <v>69</v>
      </c>
      <c r="I592" s="20">
        <v>45921.23333333333</v>
      </c>
      <c r="K592" s="19">
        <v>45921.260416666657</v>
      </c>
      <c r="L592" s="20">
        <v>45921.270833333343</v>
      </c>
      <c r="M592" s="19"/>
      <c r="N592" s="22">
        <f t="shared" ref="N592:N655" si="20">L592-I592</f>
        <v>3.7500000013096724E-2</v>
      </c>
      <c r="O592" s="19" t="s">
        <v>50</v>
      </c>
      <c r="P592" s="19" t="s">
        <v>4519</v>
      </c>
      <c r="Q592" s="19" t="s">
        <v>4520</v>
      </c>
      <c r="R592" s="19"/>
      <c r="S592" s="19"/>
      <c r="U592" s="19"/>
      <c r="W592" s="19"/>
      <c r="X592" s="19" t="s">
        <v>72</v>
      </c>
      <c r="Y592" s="27" t="s">
        <v>147</v>
      </c>
      <c r="Z592" s="27" t="s">
        <v>78</v>
      </c>
      <c r="AA592" s="27" t="s">
        <v>78</v>
      </c>
      <c r="AB592" s="27" t="s">
        <v>78</v>
      </c>
      <c r="AC592" s="37" t="s">
        <v>78</v>
      </c>
      <c r="AD592" s="38" t="s">
        <v>78</v>
      </c>
      <c r="AE592" s="36">
        <v>45901</v>
      </c>
      <c r="AF592" s="19" t="s">
        <v>60</v>
      </c>
      <c r="AG592" s="19" t="s">
        <v>90</v>
      </c>
      <c r="AH592" s="19" t="s">
        <v>62</v>
      </c>
      <c r="AI592" s="19" t="s">
        <v>63</v>
      </c>
      <c r="AJ592" s="19" t="s">
        <v>4521</v>
      </c>
      <c r="AK592" s="19"/>
      <c r="AL592" s="19"/>
      <c r="AM592" s="19"/>
      <c r="AN592" s="19" t="s">
        <v>65</v>
      </c>
      <c r="AO592" s="23">
        <v>45921.333333333343</v>
      </c>
      <c r="AP592" s="26">
        <f t="shared" ref="AP592:AP655" si="21">((HOUR(N592)*60)+MINUTE(N592)+(SECOND(N592)/60))</f>
        <v>54</v>
      </c>
    </row>
    <row r="593" spans="1:42" ht="25.5" hidden="1" customHeight="1">
      <c r="A593" s="19" t="s">
        <v>42</v>
      </c>
      <c r="B593" s="19" t="s">
        <v>1558</v>
      </c>
      <c r="C593" s="19" t="s">
        <v>1559</v>
      </c>
      <c r="D593" s="19" t="s">
        <v>45</v>
      </c>
      <c r="E593" s="19" t="s">
        <v>967</v>
      </c>
      <c r="F593" s="19" t="s">
        <v>4522</v>
      </c>
      <c r="G593" s="19" t="s">
        <v>48</v>
      </c>
      <c r="H593" s="19" t="s">
        <v>49</v>
      </c>
      <c r="I593" s="20">
        <v>45922.290972222218</v>
      </c>
      <c r="K593" s="19"/>
      <c r="L593" s="20">
        <v>45922.306250000001</v>
      </c>
      <c r="M593" s="19"/>
      <c r="N593" s="22">
        <f t="shared" si="20"/>
        <v>1.527777778392192E-2</v>
      </c>
      <c r="O593" s="19" t="s">
        <v>50</v>
      </c>
      <c r="P593" s="19" t="s">
        <v>4523</v>
      </c>
      <c r="Q593" s="19" t="s">
        <v>4524</v>
      </c>
      <c r="R593" s="19" t="s">
        <v>4525</v>
      </c>
      <c r="S593" s="19" t="s">
        <v>4526</v>
      </c>
      <c r="T593" s="20">
        <v>45922.660208333327</v>
      </c>
      <c r="U593" s="19" t="s">
        <v>4527</v>
      </c>
      <c r="V593" s="19" t="s">
        <v>157</v>
      </c>
      <c r="W593" s="19"/>
      <c r="X593" s="19" t="s">
        <v>109</v>
      </c>
      <c r="Y593" s="27" t="s">
        <v>54</v>
      </c>
      <c r="Z593" s="27" t="s">
        <v>259</v>
      </c>
      <c r="AA593" s="27" t="s">
        <v>4528</v>
      </c>
      <c r="AB593" s="27" t="s">
        <v>4529</v>
      </c>
      <c r="AC593" s="37" t="s">
        <v>4530</v>
      </c>
      <c r="AD593" s="38" t="s">
        <v>4531</v>
      </c>
      <c r="AE593" s="36">
        <v>45901</v>
      </c>
      <c r="AF593" s="19" t="s">
        <v>89</v>
      </c>
      <c r="AG593" s="19" t="s">
        <v>90</v>
      </c>
      <c r="AH593" s="19" t="s">
        <v>62</v>
      </c>
      <c r="AI593" s="19" t="s">
        <v>63</v>
      </c>
      <c r="AJ593" s="19" t="s">
        <v>4532</v>
      </c>
      <c r="AK593" s="19"/>
      <c r="AL593" s="19"/>
      <c r="AM593" s="19"/>
      <c r="AN593" s="19" t="s">
        <v>103</v>
      </c>
      <c r="AO593" s="23">
        <v>45922.296527777777</v>
      </c>
      <c r="AP593" s="26">
        <f t="shared" si="21"/>
        <v>22</v>
      </c>
    </row>
    <row r="594" spans="1:42" ht="25.5" hidden="1" customHeight="1">
      <c r="A594" s="19" t="s">
        <v>42</v>
      </c>
      <c r="B594" s="19" t="s">
        <v>3843</v>
      </c>
      <c r="C594" s="19" t="s">
        <v>2101</v>
      </c>
      <c r="D594" s="19" t="s">
        <v>45</v>
      </c>
      <c r="E594" s="19" t="s">
        <v>46</v>
      </c>
      <c r="F594" s="19" t="s">
        <v>4533</v>
      </c>
      <c r="G594" s="19" t="s">
        <v>48</v>
      </c>
      <c r="H594" s="19" t="s">
        <v>49</v>
      </c>
      <c r="I594" s="20">
        <v>45922.46875</v>
      </c>
      <c r="K594" s="19"/>
      <c r="L594" s="20">
        <v>45922.495833333327</v>
      </c>
      <c r="M594" s="19"/>
      <c r="N594" s="22">
        <f t="shared" si="20"/>
        <v>2.7083333327027503E-2</v>
      </c>
      <c r="O594" s="19" t="s">
        <v>50</v>
      </c>
      <c r="P594" s="19" t="s">
        <v>4534</v>
      </c>
      <c r="Q594" s="19" t="s">
        <v>4535</v>
      </c>
      <c r="R594" s="19"/>
      <c r="S594" s="19"/>
      <c r="U594" s="19"/>
      <c r="W594" s="19"/>
      <c r="X594" s="19" t="s">
        <v>314</v>
      </c>
      <c r="Y594" s="27" t="s">
        <v>54</v>
      </c>
      <c r="Z594" s="27" t="s">
        <v>1852</v>
      </c>
      <c r="AA594" s="27" t="s">
        <v>4536</v>
      </c>
      <c r="AB594" s="27" t="s">
        <v>4537</v>
      </c>
      <c r="AC594" s="37" t="s">
        <v>4538</v>
      </c>
      <c r="AD594" s="38" t="s">
        <v>4539</v>
      </c>
      <c r="AE594" s="36">
        <v>45901</v>
      </c>
      <c r="AF594" s="19" t="s">
        <v>89</v>
      </c>
      <c r="AG594" s="19" t="s">
        <v>90</v>
      </c>
      <c r="AH594" s="19" t="s">
        <v>62</v>
      </c>
      <c r="AI594" s="19" t="s">
        <v>63</v>
      </c>
      <c r="AJ594" s="19" t="s">
        <v>4540</v>
      </c>
      <c r="AK594" s="19"/>
      <c r="AL594" s="19"/>
      <c r="AM594" s="19"/>
      <c r="AN594" s="19" t="s">
        <v>103</v>
      </c>
      <c r="AO594" s="23">
        <v>45922.46875</v>
      </c>
      <c r="AP594" s="26">
        <f t="shared" si="21"/>
        <v>39</v>
      </c>
    </row>
    <row r="595" spans="1:42" ht="25.5" hidden="1" customHeight="1">
      <c r="A595" s="19" t="s">
        <v>42</v>
      </c>
      <c r="B595" s="19" t="s">
        <v>4541</v>
      </c>
      <c r="C595" s="19" t="s">
        <v>4542</v>
      </c>
      <c r="D595" s="19" t="s">
        <v>45</v>
      </c>
      <c r="E595" s="19" t="s">
        <v>46</v>
      </c>
      <c r="F595" s="19" t="s">
        <v>4543</v>
      </c>
      <c r="G595" s="19" t="s">
        <v>48</v>
      </c>
      <c r="H595" s="19" t="s">
        <v>49</v>
      </c>
      <c r="I595" s="20">
        <v>45922.526388888888</v>
      </c>
      <c r="K595" s="19"/>
      <c r="L595" s="20">
        <v>45922.604166666657</v>
      </c>
      <c r="M595" s="19"/>
      <c r="N595" s="22">
        <f t="shared" si="20"/>
        <v>7.7777777769370005E-2</v>
      </c>
      <c r="O595" s="19" t="s">
        <v>50</v>
      </c>
      <c r="P595" s="19" t="s">
        <v>4544</v>
      </c>
      <c r="Q595" s="19" t="s">
        <v>4545</v>
      </c>
      <c r="R595" s="19"/>
      <c r="S595" s="19"/>
      <c r="U595" s="19"/>
      <c r="W595" s="19"/>
      <c r="X595" s="19" t="s">
        <v>4546</v>
      </c>
      <c r="Y595" s="27" t="s">
        <v>133</v>
      </c>
      <c r="Z595" s="27" t="s">
        <v>915</v>
      </c>
      <c r="AA595" s="27" t="s">
        <v>4547</v>
      </c>
      <c r="AB595" s="27" t="s">
        <v>4548</v>
      </c>
      <c r="AC595" s="37" t="s">
        <v>4549</v>
      </c>
      <c r="AD595" s="38" t="s">
        <v>4550</v>
      </c>
      <c r="AE595" s="36">
        <v>45901</v>
      </c>
      <c r="AF595" s="19" t="s">
        <v>89</v>
      </c>
      <c r="AG595" s="19" t="s">
        <v>90</v>
      </c>
      <c r="AH595" s="19" t="s">
        <v>62</v>
      </c>
      <c r="AI595" s="19" t="s">
        <v>63</v>
      </c>
      <c r="AJ595" s="19" t="s">
        <v>4551</v>
      </c>
      <c r="AK595" s="19"/>
      <c r="AL595" s="19"/>
      <c r="AM595" s="19"/>
      <c r="AN595" s="19" t="s">
        <v>65</v>
      </c>
      <c r="AO595" s="23">
        <v>45922.526388888888</v>
      </c>
      <c r="AP595" s="26">
        <f t="shared" si="21"/>
        <v>112</v>
      </c>
    </row>
    <row r="596" spans="1:42" ht="25.5" hidden="1" customHeight="1">
      <c r="A596" s="19" t="s">
        <v>42</v>
      </c>
      <c r="C596" s="19" t="s">
        <v>1206</v>
      </c>
      <c r="D596" s="19" t="s">
        <v>45</v>
      </c>
      <c r="E596" s="19" t="s">
        <v>46</v>
      </c>
      <c r="F596" s="19" t="s">
        <v>4552</v>
      </c>
      <c r="G596" s="19" t="s">
        <v>48</v>
      </c>
      <c r="H596" s="19" t="s">
        <v>49</v>
      </c>
      <c r="I596" s="20">
        <v>45922.628472222219</v>
      </c>
      <c r="K596" s="19"/>
      <c r="L596" s="20">
        <v>45922.633333333331</v>
      </c>
      <c r="M596" s="19"/>
      <c r="N596" s="22">
        <f t="shared" si="20"/>
        <v>4.8611111124046147E-3</v>
      </c>
      <c r="O596" s="19" t="s">
        <v>63</v>
      </c>
      <c r="P596" s="19" t="s">
        <v>4553</v>
      </c>
      <c r="Q596" s="19" t="s">
        <v>4554</v>
      </c>
      <c r="R596" s="19"/>
      <c r="S596" s="19"/>
      <c r="U596" s="19"/>
      <c r="W596" s="19"/>
      <c r="X596" s="19" t="s">
        <v>122</v>
      </c>
      <c r="Y596" s="27" t="s">
        <v>54</v>
      </c>
      <c r="Z596" s="27" t="s">
        <v>209</v>
      </c>
      <c r="AA596" s="27" t="s">
        <v>4555</v>
      </c>
      <c r="AB596" s="27" t="s">
        <v>4556</v>
      </c>
      <c r="AC596" s="37">
        <v>45922.614583333343</v>
      </c>
      <c r="AD596" s="38">
        <v>45922.625694444447</v>
      </c>
      <c r="AE596" s="36">
        <v>45901</v>
      </c>
      <c r="AF596" s="19" t="s">
        <v>89</v>
      </c>
      <c r="AG596" s="19" t="s">
        <v>90</v>
      </c>
      <c r="AH596" s="19" t="s">
        <v>62</v>
      </c>
      <c r="AI596" s="19" t="s">
        <v>63</v>
      </c>
      <c r="AJ596" s="19" t="s">
        <v>4557</v>
      </c>
      <c r="AK596" s="19"/>
      <c r="AL596" s="19"/>
      <c r="AM596" s="19"/>
      <c r="AN596" s="19" t="s">
        <v>65</v>
      </c>
      <c r="AO596" s="23">
        <v>45922.628472222219</v>
      </c>
      <c r="AP596" s="26">
        <f t="shared" si="21"/>
        <v>7</v>
      </c>
    </row>
    <row r="597" spans="1:42" ht="25.5" hidden="1" customHeight="1">
      <c r="A597" s="19" t="s">
        <v>116</v>
      </c>
      <c r="B597" s="19" t="s">
        <v>93</v>
      </c>
      <c r="C597" s="19" t="s">
        <v>452</v>
      </c>
      <c r="D597" s="19" t="s">
        <v>45</v>
      </c>
      <c r="E597" s="19" t="s">
        <v>46</v>
      </c>
      <c r="F597" s="19" t="s">
        <v>4558</v>
      </c>
      <c r="G597" s="19" t="s">
        <v>48</v>
      </c>
      <c r="H597" s="19" t="s">
        <v>49</v>
      </c>
      <c r="I597" s="20">
        <v>45922.767361111109</v>
      </c>
      <c r="K597" s="19"/>
      <c r="L597" s="20">
        <v>45922.868055555547</v>
      </c>
      <c r="M597" s="19"/>
      <c r="N597" s="22">
        <f t="shared" si="20"/>
        <v>0.10069444443797693</v>
      </c>
      <c r="O597" s="19" t="s">
        <v>50</v>
      </c>
      <c r="P597" s="19" t="s">
        <v>4559</v>
      </c>
      <c r="Q597" s="19" t="s">
        <v>4560</v>
      </c>
      <c r="R597" s="19"/>
      <c r="S597" s="19"/>
      <c r="U597" s="19"/>
      <c r="W597" s="19"/>
      <c r="X597" s="19" t="s">
        <v>122</v>
      </c>
      <c r="Y597" s="27" t="s">
        <v>147</v>
      </c>
      <c r="Z597" s="27" t="s">
        <v>78</v>
      </c>
      <c r="AA597" s="27" t="s">
        <v>78</v>
      </c>
      <c r="AB597" s="27" t="s">
        <v>78</v>
      </c>
      <c r="AC597" s="37" t="s">
        <v>78</v>
      </c>
      <c r="AD597" s="38" t="s">
        <v>78</v>
      </c>
      <c r="AE597" s="36">
        <v>45901</v>
      </c>
      <c r="AF597" s="19" t="s">
        <v>78</v>
      </c>
      <c r="AG597" s="19" t="s">
        <v>78</v>
      </c>
      <c r="AH597" s="19" t="s">
        <v>78</v>
      </c>
      <c r="AI597" s="19" t="s">
        <v>63</v>
      </c>
      <c r="AJ597" s="19" t="s">
        <v>4561</v>
      </c>
      <c r="AK597" s="19"/>
      <c r="AL597" s="19"/>
      <c r="AM597" s="19"/>
      <c r="AN597" s="19" t="s">
        <v>65</v>
      </c>
      <c r="AO597" s="23">
        <v>45922.767361111109</v>
      </c>
      <c r="AP597" s="26">
        <f t="shared" si="21"/>
        <v>145</v>
      </c>
    </row>
    <row r="598" spans="1:42" ht="25.5" customHeight="1">
      <c r="A598" s="19" t="s">
        <v>42</v>
      </c>
      <c r="C598" s="19" t="s">
        <v>4562</v>
      </c>
      <c r="D598" s="19" t="s">
        <v>45</v>
      </c>
      <c r="E598" s="19" t="s">
        <v>46</v>
      </c>
      <c r="F598" s="19" t="s">
        <v>4563</v>
      </c>
      <c r="G598" s="19" t="s">
        <v>48</v>
      </c>
      <c r="H598" s="19" t="s">
        <v>69</v>
      </c>
      <c r="I598" s="20">
        <v>45922.798611111109</v>
      </c>
      <c r="K598" s="19">
        <v>45922.805555555547</v>
      </c>
      <c r="L598" s="20">
        <v>45922.81527777778</v>
      </c>
      <c r="M598" s="19"/>
      <c r="N598" s="22">
        <f t="shared" si="20"/>
        <v>1.6666666670062114E-2</v>
      </c>
      <c r="O598" s="19" t="s">
        <v>50</v>
      </c>
      <c r="P598" s="19" t="s">
        <v>4564</v>
      </c>
      <c r="Q598" s="19" t="s">
        <v>4565</v>
      </c>
      <c r="R598" s="19"/>
      <c r="S598" s="19"/>
      <c r="U598" s="19"/>
      <c r="W598" s="19"/>
      <c r="X598" s="19" t="s">
        <v>72</v>
      </c>
      <c r="Y598" s="27" t="s">
        <v>147</v>
      </c>
      <c r="Z598" s="27" t="s">
        <v>78</v>
      </c>
      <c r="AA598" s="27" t="s">
        <v>78</v>
      </c>
      <c r="AB598" s="27" t="s">
        <v>78</v>
      </c>
      <c r="AC598" s="37" t="s">
        <v>78</v>
      </c>
      <c r="AD598" s="38" t="s">
        <v>78</v>
      </c>
      <c r="AE598" s="36">
        <v>45901</v>
      </c>
      <c r="AF598" s="19" t="s">
        <v>78</v>
      </c>
      <c r="AG598" s="19" t="s">
        <v>78</v>
      </c>
      <c r="AH598" s="19" t="s">
        <v>78</v>
      </c>
      <c r="AI598" s="19" t="s">
        <v>63</v>
      </c>
      <c r="AJ598" s="19" t="s">
        <v>4566</v>
      </c>
      <c r="AK598" s="19"/>
      <c r="AL598" s="19"/>
      <c r="AM598" s="19"/>
      <c r="AN598" s="19" t="s">
        <v>65</v>
      </c>
      <c r="AO598" s="23">
        <v>45922.844444444447</v>
      </c>
      <c r="AP598" s="26">
        <f t="shared" si="21"/>
        <v>24</v>
      </c>
    </row>
    <row r="599" spans="1:42" ht="25.5" hidden="1" customHeight="1">
      <c r="A599" s="19" t="s">
        <v>92</v>
      </c>
      <c r="B599" s="19" t="s">
        <v>3311</v>
      </c>
      <c r="C599" s="19" t="s">
        <v>3426</v>
      </c>
      <c r="D599" s="19" t="s">
        <v>45</v>
      </c>
      <c r="E599" s="19" t="s">
        <v>46</v>
      </c>
      <c r="F599" s="19" t="s">
        <v>4567</v>
      </c>
      <c r="G599" s="19" t="s">
        <v>48</v>
      </c>
      <c r="H599" s="19" t="s">
        <v>49</v>
      </c>
      <c r="I599" s="20">
        <v>45922.836805555547</v>
      </c>
      <c r="K599" s="19"/>
      <c r="L599" s="20">
        <v>45922.886111111111</v>
      </c>
      <c r="M599" s="19"/>
      <c r="N599" s="22">
        <f t="shared" si="20"/>
        <v>4.9305555563478265E-2</v>
      </c>
      <c r="O599" s="19" t="s">
        <v>50</v>
      </c>
      <c r="P599" s="19" t="s">
        <v>4568</v>
      </c>
      <c r="Q599" s="19" t="s">
        <v>4569</v>
      </c>
      <c r="R599" s="19"/>
      <c r="S599" s="19"/>
      <c r="U599" s="19"/>
      <c r="W599" s="19"/>
      <c r="X599" s="19" t="s">
        <v>109</v>
      </c>
      <c r="Y599" s="27" t="s">
        <v>147</v>
      </c>
      <c r="Z599" s="27" t="s">
        <v>78</v>
      </c>
      <c r="AA599" s="27" t="s">
        <v>78</v>
      </c>
      <c r="AB599" s="27" t="s">
        <v>78</v>
      </c>
      <c r="AC599" s="37" t="s">
        <v>78</v>
      </c>
      <c r="AD599" s="38" t="s">
        <v>78</v>
      </c>
      <c r="AE599" s="36">
        <v>45901</v>
      </c>
      <c r="AF599" s="19" t="s">
        <v>60</v>
      </c>
      <c r="AG599" s="19" t="s">
        <v>78</v>
      </c>
      <c r="AH599" s="19" t="s">
        <v>78</v>
      </c>
      <c r="AI599" s="19" t="s">
        <v>63</v>
      </c>
      <c r="AJ599" s="19" t="s">
        <v>4570</v>
      </c>
      <c r="AK599" s="19"/>
      <c r="AL599" s="19"/>
      <c r="AM599" s="19"/>
      <c r="AN599" s="19" t="s">
        <v>103</v>
      </c>
      <c r="AO599" s="23">
        <v>45922.836805555547</v>
      </c>
      <c r="AP599" s="26">
        <f t="shared" si="21"/>
        <v>71</v>
      </c>
    </row>
    <row r="600" spans="1:42" ht="25.5" hidden="1" customHeight="1">
      <c r="A600" s="19" t="s">
        <v>42</v>
      </c>
      <c r="C600" s="19" t="s">
        <v>752</v>
      </c>
      <c r="D600" s="19" t="s">
        <v>45</v>
      </c>
      <c r="E600" s="19" t="s">
        <v>46</v>
      </c>
      <c r="F600" s="19" t="s">
        <v>4571</v>
      </c>
      <c r="G600" s="19" t="s">
        <v>48</v>
      </c>
      <c r="H600" s="19" t="s">
        <v>49</v>
      </c>
      <c r="I600" s="20">
        <v>45923.270833333343</v>
      </c>
      <c r="K600" s="19"/>
      <c r="L600" s="20">
        <v>45923.336805555547</v>
      </c>
      <c r="M600" s="19"/>
      <c r="N600" s="22">
        <f t="shared" si="20"/>
        <v>6.5972222204436548E-2</v>
      </c>
      <c r="O600" s="19" t="s">
        <v>50</v>
      </c>
      <c r="P600" s="19" t="s">
        <v>4572</v>
      </c>
      <c r="Q600" s="19" t="s">
        <v>4573</v>
      </c>
      <c r="R600" s="19"/>
      <c r="S600" s="19"/>
      <c r="U600" s="19"/>
      <c r="W600" s="19"/>
      <c r="X600" s="19" t="s">
        <v>72</v>
      </c>
      <c r="Y600" s="27" t="s">
        <v>147</v>
      </c>
      <c r="Z600" s="27" t="s">
        <v>78</v>
      </c>
      <c r="AA600" s="27" t="s">
        <v>78</v>
      </c>
      <c r="AB600" s="27" t="s">
        <v>78</v>
      </c>
      <c r="AC600" s="37" t="s">
        <v>78</v>
      </c>
      <c r="AD600" s="38" t="s">
        <v>78</v>
      </c>
      <c r="AE600" s="36">
        <v>45901</v>
      </c>
      <c r="AF600" s="19" t="s">
        <v>78</v>
      </c>
      <c r="AG600" s="19" t="s">
        <v>78</v>
      </c>
      <c r="AH600" s="19" t="s">
        <v>78</v>
      </c>
      <c r="AI600" s="19" t="s">
        <v>63</v>
      </c>
      <c r="AJ600" s="19" t="s">
        <v>4574</v>
      </c>
      <c r="AK600" s="19"/>
      <c r="AL600" s="19"/>
      <c r="AM600" s="19"/>
      <c r="AN600" s="19" t="s">
        <v>65</v>
      </c>
      <c r="AO600" s="23">
        <v>45923.3</v>
      </c>
      <c r="AP600" s="26">
        <f t="shared" si="21"/>
        <v>95</v>
      </c>
    </row>
    <row r="601" spans="1:42" ht="25.5" hidden="1" customHeight="1">
      <c r="A601" s="19" t="s">
        <v>92</v>
      </c>
      <c r="B601" s="19" t="s">
        <v>1917</v>
      </c>
      <c r="C601" s="19" t="s">
        <v>1021</v>
      </c>
      <c r="D601" s="19" t="s">
        <v>45</v>
      </c>
      <c r="E601" s="19" t="s">
        <v>46</v>
      </c>
      <c r="F601" s="19" t="s">
        <v>4575</v>
      </c>
      <c r="G601" s="19" t="s">
        <v>48</v>
      </c>
      <c r="H601" s="19" t="s">
        <v>49</v>
      </c>
      <c r="I601" s="20">
        <v>45923.272222222222</v>
      </c>
      <c r="K601" s="19"/>
      <c r="L601" s="20">
        <v>45923.361111111109</v>
      </c>
      <c r="M601" s="19"/>
      <c r="N601" s="22">
        <f t="shared" si="20"/>
        <v>8.8888888887595385E-2</v>
      </c>
      <c r="O601" s="19" t="s">
        <v>50</v>
      </c>
      <c r="P601" s="19" t="s">
        <v>4568</v>
      </c>
      <c r="Q601" s="19" t="s">
        <v>4576</v>
      </c>
      <c r="R601" s="19"/>
      <c r="S601" s="19"/>
      <c r="U601" s="19"/>
      <c r="W601" s="19"/>
      <c r="X601" s="19" t="s">
        <v>109</v>
      </c>
      <c r="Y601" s="27" t="s">
        <v>147</v>
      </c>
      <c r="Z601" s="27" t="s">
        <v>78</v>
      </c>
      <c r="AA601" s="27" t="s">
        <v>78</v>
      </c>
      <c r="AB601" s="27" t="s">
        <v>78</v>
      </c>
      <c r="AC601" s="37" t="s">
        <v>78</v>
      </c>
      <c r="AD601" s="38" t="s">
        <v>78</v>
      </c>
      <c r="AE601" s="36">
        <v>45901</v>
      </c>
      <c r="AF601" s="19" t="s">
        <v>60</v>
      </c>
      <c r="AG601" s="19" t="s">
        <v>78</v>
      </c>
      <c r="AH601" s="19" t="s">
        <v>78</v>
      </c>
      <c r="AI601" s="19" t="s">
        <v>63</v>
      </c>
      <c r="AJ601" s="19" t="s">
        <v>4577</v>
      </c>
      <c r="AK601" s="19"/>
      <c r="AL601" s="19"/>
      <c r="AM601" s="19"/>
      <c r="AN601" s="19" t="s">
        <v>103</v>
      </c>
      <c r="AO601" s="23">
        <v>45923.286111111112</v>
      </c>
      <c r="AP601" s="26">
        <f t="shared" si="21"/>
        <v>128</v>
      </c>
    </row>
    <row r="602" spans="1:42" ht="25.5" hidden="1" customHeight="1">
      <c r="A602" s="19" t="s">
        <v>42</v>
      </c>
      <c r="B602" s="19" t="s">
        <v>599</v>
      </c>
      <c r="C602" s="19" t="s">
        <v>4470</v>
      </c>
      <c r="D602" s="19" t="s">
        <v>45</v>
      </c>
      <c r="E602" s="19" t="s">
        <v>46</v>
      </c>
      <c r="F602" s="19" t="s">
        <v>4578</v>
      </c>
      <c r="G602" s="19" t="s">
        <v>48</v>
      </c>
      <c r="H602" s="19" t="s">
        <v>49</v>
      </c>
      <c r="I602" s="20">
        <v>45923.384722222218</v>
      </c>
      <c r="K602" s="19"/>
      <c r="L602" s="20">
        <v>45923.46597222222</v>
      </c>
      <c r="M602" s="19"/>
      <c r="N602" s="22">
        <f t="shared" si="20"/>
        <v>8.1250000002910383E-2</v>
      </c>
      <c r="O602" s="19" t="s">
        <v>50</v>
      </c>
      <c r="P602" s="19" t="s">
        <v>4579</v>
      </c>
      <c r="Q602" s="19" t="s">
        <v>4580</v>
      </c>
      <c r="R602" s="19"/>
      <c r="S602" s="19"/>
      <c r="U602" s="19"/>
      <c r="W602" s="19"/>
      <c r="X602" s="19" t="s">
        <v>122</v>
      </c>
      <c r="Y602" s="27" t="s">
        <v>54</v>
      </c>
      <c r="Z602" s="27" t="s">
        <v>414</v>
      </c>
      <c r="AA602" s="27" t="s">
        <v>4581</v>
      </c>
      <c r="AB602" s="27" t="s">
        <v>4582</v>
      </c>
      <c r="AC602" s="37">
        <v>45923.370138888888</v>
      </c>
      <c r="AD602" s="38">
        <v>45923.393055555563</v>
      </c>
      <c r="AE602" s="36">
        <v>45901</v>
      </c>
      <c r="AF602" s="19" t="s">
        <v>89</v>
      </c>
      <c r="AG602" s="19" t="s">
        <v>90</v>
      </c>
      <c r="AH602" s="19" t="s">
        <v>62</v>
      </c>
      <c r="AI602" s="19" t="s">
        <v>63</v>
      </c>
      <c r="AJ602" s="19" t="s">
        <v>4583</v>
      </c>
      <c r="AK602" s="19"/>
      <c r="AL602" s="19"/>
      <c r="AM602" s="19"/>
      <c r="AN602" s="19" t="s">
        <v>65</v>
      </c>
      <c r="AO602" s="23">
        <v>45923.384722222218</v>
      </c>
      <c r="AP602" s="26">
        <f t="shared" si="21"/>
        <v>117</v>
      </c>
    </row>
    <row r="603" spans="1:42" ht="25.5" hidden="1" customHeight="1">
      <c r="A603" s="19" t="s">
        <v>42</v>
      </c>
      <c r="B603" s="19" t="s">
        <v>3388</v>
      </c>
      <c r="C603" s="19" t="s">
        <v>44</v>
      </c>
      <c r="D603" s="19" t="s">
        <v>45</v>
      </c>
      <c r="E603" s="19" t="s">
        <v>46</v>
      </c>
      <c r="F603" s="19" t="s">
        <v>4584</v>
      </c>
      <c r="G603" s="19" t="s">
        <v>48</v>
      </c>
      <c r="H603" s="19" t="s">
        <v>49</v>
      </c>
      <c r="I603" s="20">
        <v>45923.40625</v>
      </c>
      <c r="K603" s="19"/>
      <c r="L603" s="20">
        <v>45923.44027777778</v>
      </c>
      <c r="M603" s="19"/>
      <c r="N603" s="22">
        <f t="shared" si="20"/>
        <v>3.4027777779556345E-2</v>
      </c>
      <c r="O603" s="19" t="s">
        <v>50</v>
      </c>
      <c r="P603" s="19" t="s">
        <v>4585</v>
      </c>
      <c r="Q603" s="19" t="s">
        <v>4586</v>
      </c>
      <c r="R603" s="19"/>
      <c r="S603" s="19"/>
      <c r="U603" s="19"/>
      <c r="W603" s="19"/>
      <c r="X603" s="19" t="s">
        <v>53</v>
      </c>
      <c r="Y603" s="27" t="s">
        <v>54</v>
      </c>
      <c r="Z603" s="27" t="s">
        <v>4587</v>
      </c>
      <c r="AA603" s="27" t="s">
        <v>4588</v>
      </c>
      <c r="AB603" s="27" t="s">
        <v>4589</v>
      </c>
      <c r="AC603" s="37">
        <v>45923.438263888893</v>
      </c>
      <c r="AD603" s="38">
        <v>45923.455625000002</v>
      </c>
      <c r="AE603" s="36">
        <v>45901</v>
      </c>
      <c r="AF603" s="19" t="s">
        <v>60</v>
      </c>
      <c r="AG603" s="19" t="s">
        <v>768</v>
      </c>
      <c r="AH603" s="19" t="s">
        <v>62</v>
      </c>
      <c r="AI603" s="19" t="s">
        <v>63</v>
      </c>
      <c r="AJ603" s="19" t="s">
        <v>4590</v>
      </c>
      <c r="AK603" s="19" t="s">
        <v>4591</v>
      </c>
      <c r="AL603" s="19"/>
      <c r="AM603" s="19"/>
      <c r="AN603" s="19" t="s">
        <v>65</v>
      </c>
      <c r="AO603" s="23">
        <v>45923.40625</v>
      </c>
      <c r="AP603" s="26">
        <f t="shared" si="21"/>
        <v>49</v>
      </c>
    </row>
    <row r="604" spans="1:42" ht="25.5" hidden="1" customHeight="1">
      <c r="A604" s="19" t="s">
        <v>285</v>
      </c>
      <c r="B604" s="19" t="s">
        <v>1407</v>
      </c>
      <c r="C604" s="19" t="s">
        <v>1408</v>
      </c>
      <c r="D604" s="19" t="s">
        <v>45</v>
      </c>
      <c r="E604" s="19" t="s">
        <v>46</v>
      </c>
      <c r="F604" s="19" t="s">
        <v>4592</v>
      </c>
      <c r="G604" s="19" t="s">
        <v>48</v>
      </c>
      <c r="H604" s="19" t="s">
        <v>49</v>
      </c>
      <c r="I604" s="20">
        <v>45923.4375</v>
      </c>
      <c r="K604" s="19"/>
      <c r="L604" s="20">
        <v>45923.5625</v>
      </c>
      <c r="M604" s="19"/>
      <c r="N604" s="22">
        <f t="shared" si="20"/>
        <v>0.125</v>
      </c>
      <c r="O604" s="19" t="s">
        <v>50</v>
      </c>
      <c r="P604" s="19" t="s">
        <v>4593</v>
      </c>
      <c r="Q604" s="19" t="s">
        <v>4594</v>
      </c>
      <c r="R604" s="19"/>
      <c r="S604" s="19"/>
      <c r="U604" s="19"/>
      <c r="W604" s="19"/>
      <c r="X604" s="19" t="s">
        <v>1412</v>
      </c>
      <c r="Y604" s="27" t="s">
        <v>54</v>
      </c>
      <c r="Z604" s="27" t="s">
        <v>4595</v>
      </c>
      <c r="AA604" s="27" t="s">
        <v>4596</v>
      </c>
      <c r="AB604" s="27" t="s">
        <v>4597</v>
      </c>
      <c r="AC604" s="37">
        <v>45923.518750000003</v>
      </c>
      <c r="AD604" s="38">
        <v>45923.522916666669</v>
      </c>
      <c r="AE604" s="36">
        <v>45901</v>
      </c>
      <c r="AF604" s="19" t="s">
        <v>78</v>
      </c>
      <c r="AG604" s="19" t="s">
        <v>78</v>
      </c>
      <c r="AH604" s="19" t="s">
        <v>78</v>
      </c>
      <c r="AI604" s="19" t="s">
        <v>63</v>
      </c>
      <c r="AJ604" s="19" t="s">
        <v>4598</v>
      </c>
      <c r="AK604" s="19"/>
      <c r="AL604" s="19"/>
      <c r="AM604" s="19"/>
      <c r="AN604" s="19" t="s">
        <v>65</v>
      </c>
      <c r="AO604" s="23">
        <v>45923.4375</v>
      </c>
      <c r="AP604" s="26">
        <f t="shared" si="21"/>
        <v>180</v>
      </c>
    </row>
    <row r="605" spans="1:42" ht="25.5" hidden="1" customHeight="1">
      <c r="A605" s="19" t="s">
        <v>92</v>
      </c>
      <c r="B605" s="19" t="s">
        <v>599</v>
      </c>
      <c r="C605" s="19" t="s">
        <v>1165</v>
      </c>
      <c r="D605" s="19" t="s">
        <v>45</v>
      </c>
      <c r="E605" s="19" t="s">
        <v>46</v>
      </c>
      <c r="F605" s="19" t="s">
        <v>4599</v>
      </c>
      <c r="G605" s="19" t="s">
        <v>48</v>
      </c>
      <c r="H605" s="19" t="s">
        <v>49</v>
      </c>
      <c r="I605" s="20">
        <v>45924.488194444442</v>
      </c>
      <c r="K605" s="19"/>
      <c r="L605" s="20">
        <v>45924.510416666657</v>
      </c>
      <c r="M605" s="19"/>
      <c r="N605" s="22">
        <f t="shared" si="20"/>
        <v>2.2222222214622889E-2</v>
      </c>
      <c r="O605" s="19" t="s">
        <v>50</v>
      </c>
      <c r="P605" s="19" t="s">
        <v>3996</v>
      </c>
      <c r="Q605" s="19" t="s">
        <v>4600</v>
      </c>
      <c r="R605" s="19"/>
      <c r="S605" s="19"/>
      <c r="U605" s="19"/>
      <c r="W605" s="19"/>
      <c r="X605" s="19" t="s">
        <v>122</v>
      </c>
      <c r="Y605" s="27" t="s">
        <v>147</v>
      </c>
      <c r="Z605" s="27" t="s">
        <v>78</v>
      </c>
      <c r="AA605" s="27" t="s">
        <v>78</v>
      </c>
      <c r="AB605" s="27" t="s">
        <v>78</v>
      </c>
      <c r="AC605" s="37" t="s">
        <v>78</v>
      </c>
      <c r="AD605" s="38" t="s">
        <v>78</v>
      </c>
      <c r="AE605" s="36">
        <v>45901</v>
      </c>
      <c r="AF605" s="19" t="s">
        <v>89</v>
      </c>
      <c r="AG605" s="19" t="s">
        <v>90</v>
      </c>
      <c r="AH605" s="19" t="s">
        <v>62</v>
      </c>
      <c r="AI605" s="19" t="s">
        <v>63</v>
      </c>
      <c r="AJ605" s="19" t="s">
        <v>4601</v>
      </c>
      <c r="AK605" s="19"/>
      <c r="AL605" s="19"/>
      <c r="AM605" s="19"/>
      <c r="AN605" s="19" t="s">
        <v>65</v>
      </c>
      <c r="AO605" s="23">
        <v>45924.488194444442</v>
      </c>
      <c r="AP605" s="26">
        <f t="shared" si="21"/>
        <v>32</v>
      </c>
    </row>
    <row r="606" spans="1:42" ht="25.5" hidden="1" customHeight="1">
      <c r="A606" s="19" t="s">
        <v>42</v>
      </c>
      <c r="C606" s="19" t="s">
        <v>4602</v>
      </c>
      <c r="D606" s="19" t="s">
        <v>45</v>
      </c>
      <c r="E606" s="19" t="s">
        <v>46</v>
      </c>
      <c r="F606" s="19" t="s">
        <v>4603</v>
      </c>
      <c r="G606" s="19" t="s">
        <v>48</v>
      </c>
      <c r="H606" s="19" t="s">
        <v>49</v>
      </c>
      <c r="I606" s="20">
        <v>45924.549305555563</v>
      </c>
      <c r="K606" s="19"/>
      <c r="L606" s="20">
        <v>45924.711805555547</v>
      </c>
      <c r="M606" s="19"/>
      <c r="N606" s="22">
        <f t="shared" si="20"/>
        <v>0.16249999998399289</v>
      </c>
      <c r="O606" s="19" t="s">
        <v>63</v>
      </c>
      <c r="P606" s="19" t="s">
        <v>4604</v>
      </c>
      <c r="Q606" s="19" t="s">
        <v>4605</v>
      </c>
      <c r="R606" s="19"/>
      <c r="S606" s="19"/>
      <c r="U606" s="19"/>
      <c r="W606" s="19"/>
      <c r="X606" s="19" t="s">
        <v>72</v>
      </c>
      <c r="Y606" s="27" t="s">
        <v>147</v>
      </c>
      <c r="Z606" s="27" t="s">
        <v>78</v>
      </c>
      <c r="AA606" s="27" t="s">
        <v>78</v>
      </c>
      <c r="AB606" s="27" t="s">
        <v>78</v>
      </c>
      <c r="AC606" s="37" t="s">
        <v>78</v>
      </c>
      <c r="AD606" s="38" t="s">
        <v>78</v>
      </c>
      <c r="AE606" s="36">
        <v>45901</v>
      </c>
      <c r="AF606" s="19" t="s">
        <v>89</v>
      </c>
      <c r="AG606" s="19" t="s">
        <v>90</v>
      </c>
      <c r="AH606" s="19" t="s">
        <v>62</v>
      </c>
      <c r="AI606" s="19" t="s">
        <v>63</v>
      </c>
      <c r="AJ606" s="19" t="s">
        <v>4606</v>
      </c>
      <c r="AK606" s="19"/>
      <c r="AL606" s="19"/>
      <c r="AM606" s="19"/>
      <c r="AN606" s="19" t="s">
        <v>65</v>
      </c>
      <c r="AO606" s="23">
        <v>45924.549305555563</v>
      </c>
      <c r="AP606" s="26">
        <f t="shared" si="21"/>
        <v>234</v>
      </c>
    </row>
    <row r="607" spans="1:42" ht="25.5" hidden="1" customHeight="1">
      <c r="A607" s="19" t="s">
        <v>42</v>
      </c>
      <c r="C607" s="19" t="s">
        <v>4049</v>
      </c>
      <c r="D607" s="19" t="s">
        <v>45</v>
      </c>
      <c r="E607" s="19" t="s">
        <v>46</v>
      </c>
      <c r="F607" s="19" t="s">
        <v>4607</v>
      </c>
      <c r="G607" s="19" t="s">
        <v>48</v>
      </c>
      <c r="H607" s="19" t="s">
        <v>49</v>
      </c>
      <c r="I607" s="20">
        <v>45924.795138888891</v>
      </c>
      <c r="K607" s="19"/>
      <c r="L607" s="20">
        <v>45924.877083333333</v>
      </c>
      <c r="M607" s="19"/>
      <c r="N607" s="22">
        <f t="shared" si="20"/>
        <v>8.1944444442342501E-2</v>
      </c>
      <c r="O607" s="19" t="s">
        <v>63</v>
      </c>
      <c r="P607" s="19" t="s">
        <v>4608</v>
      </c>
      <c r="Q607" s="19" t="s">
        <v>4609</v>
      </c>
      <c r="R607" s="19"/>
      <c r="S607" s="19"/>
      <c r="U607" s="19"/>
      <c r="W607" s="19"/>
      <c r="X607" s="19" t="s">
        <v>72</v>
      </c>
      <c r="Y607" s="27" t="s">
        <v>147</v>
      </c>
      <c r="Z607" s="27" t="s">
        <v>78</v>
      </c>
      <c r="AA607" s="27" t="s">
        <v>78</v>
      </c>
      <c r="AB607" s="27" t="s">
        <v>78</v>
      </c>
      <c r="AC607" s="37" t="s">
        <v>78</v>
      </c>
      <c r="AD607" s="38" t="s">
        <v>78</v>
      </c>
      <c r="AE607" s="36">
        <v>45901</v>
      </c>
      <c r="AF607" s="19" t="s">
        <v>60</v>
      </c>
      <c r="AG607" s="19" t="s">
        <v>61</v>
      </c>
      <c r="AH607" s="19" t="s">
        <v>62</v>
      </c>
      <c r="AI607" s="19" t="s">
        <v>63</v>
      </c>
      <c r="AJ607" s="19" t="s">
        <v>4610</v>
      </c>
      <c r="AK607" s="19"/>
      <c r="AL607" s="19"/>
      <c r="AM607" s="19"/>
      <c r="AN607" s="19" t="s">
        <v>65</v>
      </c>
      <c r="AO607" s="23">
        <v>45924.927083333343</v>
      </c>
      <c r="AP607" s="26">
        <f t="shared" si="21"/>
        <v>118</v>
      </c>
    </row>
    <row r="608" spans="1:42" ht="25.5" hidden="1" customHeight="1">
      <c r="A608" s="19" t="s">
        <v>116</v>
      </c>
      <c r="B608" s="19" t="s">
        <v>3388</v>
      </c>
      <c r="C608" s="19" t="s">
        <v>129</v>
      </c>
      <c r="D608" s="19" t="s">
        <v>45</v>
      </c>
      <c r="E608" s="19" t="s">
        <v>46</v>
      </c>
      <c r="F608" s="19" t="s">
        <v>4611</v>
      </c>
      <c r="G608" s="19" t="s">
        <v>48</v>
      </c>
      <c r="H608" s="19" t="s">
        <v>49</v>
      </c>
      <c r="I608" s="20">
        <v>45925.375</v>
      </c>
      <c r="K608" s="19"/>
      <c r="L608" s="20">
        <v>45925.413888888892</v>
      </c>
      <c r="M608" s="19"/>
      <c r="N608" s="22">
        <f t="shared" si="20"/>
        <v>3.888888889196096E-2</v>
      </c>
      <c r="O608" s="19" t="s">
        <v>50</v>
      </c>
      <c r="P608" s="19" t="s">
        <v>4612</v>
      </c>
      <c r="Q608" s="19" t="s">
        <v>4613</v>
      </c>
      <c r="R608" s="19"/>
      <c r="S608" s="19"/>
      <c r="U608" s="19"/>
      <c r="W608" s="19"/>
      <c r="X608" s="19" t="s">
        <v>109</v>
      </c>
      <c r="Y608" s="27" t="s">
        <v>54</v>
      </c>
      <c r="Z608" s="27" t="s">
        <v>55</v>
      </c>
      <c r="AA608" s="27" t="s">
        <v>4614</v>
      </c>
      <c r="AB608" s="27" t="s">
        <v>4615</v>
      </c>
      <c r="AC608" s="37" t="s">
        <v>4616</v>
      </c>
      <c r="AD608" s="38" t="s">
        <v>4617</v>
      </c>
      <c r="AE608" s="36">
        <v>45901</v>
      </c>
      <c r="AF608" s="19" t="s">
        <v>99</v>
      </c>
      <c r="AG608" s="19" t="s">
        <v>100</v>
      </c>
      <c r="AH608" s="19" t="s">
        <v>62</v>
      </c>
      <c r="AI608" s="19" t="s">
        <v>63</v>
      </c>
      <c r="AJ608" s="19" t="s">
        <v>4618</v>
      </c>
      <c r="AK608" s="19" t="s">
        <v>4619</v>
      </c>
      <c r="AL608" s="19"/>
      <c r="AM608" s="19"/>
      <c r="AN608" s="19" t="s">
        <v>103</v>
      </c>
      <c r="AO608" s="23">
        <v>45925.375</v>
      </c>
      <c r="AP608" s="26">
        <f t="shared" si="21"/>
        <v>56</v>
      </c>
    </row>
    <row r="609" spans="1:42" ht="25.5" hidden="1" customHeight="1">
      <c r="A609" s="19" t="s">
        <v>285</v>
      </c>
      <c r="B609" s="19" t="s">
        <v>487</v>
      </c>
      <c r="C609" s="19" t="s">
        <v>4620</v>
      </c>
      <c r="D609" s="19" t="s">
        <v>45</v>
      </c>
      <c r="E609" s="19" t="s">
        <v>46</v>
      </c>
      <c r="F609" s="19" t="s">
        <v>4621</v>
      </c>
      <c r="G609" s="19" t="s">
        <v>48</v>
      </c>
      <c r="H609" s="19" t="s">
        <v>49</v>
      </c>
      <c r="I609" s="20">
        <v>45926.018055555563</v>
      </c>
      <c r="K609" s="19"/>
      <c r="L609" s="20">
        <v>45926.059027777781</v>
      </c>
      <c r="M609" s="19"/>
      <c r="N609" s="22">
        <f t="shared" si="20"/>
        <v>4.0972222217533272E-2</v>
      </c>
      <c r="O609" s="19" t="s">
        <v>50</v>
      </c>
      <c r="P609" s="19" t="s">
        <v>4622</v>
      </c>
      <c r="Q609" s="19" t="s">
        <v>4623</v>
      </c>
      <c r="R609" s="19"/>
      <c r="S609" s="19"/>
      <c r="U609" s="19"/>
      <c r="W609" s="19"/>
      <c r="X609" s="19" t="s">
        <v>491</v>
      </c>
      <c r="Y609" s="27" t="s">
        <v>133</v>
      </c>
      <c r="Z609" s="27" t="s">
        <v>811</v>
      </c>
      <c r="AA609" s="27" t="s">
        <v>4624</v>
      </c>
      <c r="AB609" s="27" t="s">
        <v>4625</v>
      </c>
      <c r="AC609" s="37" t="s">
        <v>4626</v>
      </c>
      <c r="AD609" s="38" t="s">
        <v>4627</v>
      </c>
      <c r="AE609" s="36">
        <v>45901</v>
      </c>
      <c r="AF609" s="19" t="s">
        <v>293</v>
      </c>
      <c r="AG609" s="19" t="s">
        <v>90</v>
      </c>
      <c r="AH609" s="19" t="s">
        <v>78</v>
      </c>
      <c r="AI609" s="19" t="s">
        <v>63</v>
      </c>
      <c r="AJ609" s="19" t="s">
        <v>4628</v>
      </c>
      <c r="AK609" s="19"/>
      <c r="AL609" s="19"/>
      <c r="AM609" s="19"/>
      <c r="AN609" s="19" t="s">
        <v>65</v>
      </c>
      <c r="AO609" s="23">
        <v>45926.018055555563</v>
      </c>
      <c r="AP609" s="26">
        <f t="shared" si="21"/>
        <v>59</v>
      </c>
    </row>
    <row r="610" spans="1:42" ht="25.5" hidden="1" customHeight="1">
      <c r="A610" s="19" t="s">
        <v>42</v>
      </c>
      <c r="B610" s="19" t="s">
        <v>403</v>
      </c>
      <c r="C610" s="19" t="s">
        <v>105</v>
      </c>
      <c r="D610" s="19" t="s">
        <v>45</v>
      </c>
      <c r="E610" s="19" t="s">
        <v>356</v>
      </c>
      <c r="F610" s="19" t="s">
        <v>4629</v>
      </c>
      <c r="G610" s="19" t="s">
        <v>48</v>
      </c>
      <c r="H610" s="19" t="s">
        <v>49</v>
      </c>
      <c r="I610" s="20">
        <v>45926.020138888889</v>
      </c>
      <c r="K610" s="19"/>
      <c r="L610" s="20">
        <v>45926.036805555559</v>
      </c>
      <c r="M610" s="19"/>
      <c r="N610" s="22">
        <f t="shared" si="20"/>
        <v>1.6666666670062114E-2</v>
      </c>
      <c r="O610" s="19" t="s">
        <v>50</v>
      </c>
      <c r="P610" s="19" t="s">
        <v>4630</v>
      </c>
      <c r="Q610" s="19" t="s">
        <v>4631</v>
      </c>
      <c r="R610" s="19"/>
      <c r="S610" s="19"/>
      <c r="U610" s="19"/>
      <c r="W610" s="19"/>
      <c r="X610" s="19" t="s">
        <v>109</v>
      </c>
      <c r="Y610" s="27" t="s">
        <v>147</v>
      </c>
      <c r="Z610" s="27" t="s">
        <v>78</v>
      </c>
      <c r="AA610" s="27" t="s">
        <v>78</v>
      </c>
      <c r="AB610" s="27" t="s">
        <v>78</v>
      </c>
      <c r="AC610" s="37" t="s">
        <v>78</v>
      </c>
      <c r="AD610" s="38" t="s">
        <v>78</v>
      </c>
      <c r="AE610" s="36">
        <v>45901</v>
      </c>
      <c r="AF610" s="19" t="s">
        <v>89</v>
      </c>
      <c r="AG610" s="19" t="s">
        <v>90</v>
      </c>
      <c r="AH610" s="19" t="s">
        <v>62</v>
      </c>
      <c r="AI610" s="19" t="s">
        <v>63</v>
      </c>
      <c r="AJ610" s="19" t="s">
        <v>4632</v>
      </c>
      <c r="AK610" s="19"/>
      <c r="AL610" s="19"/>
      <c r="AM610" s="19"/>
      <c r="AN610" s="19" t="s">
        <v>103</v>
      </c>
      <c r="AO610" s="23">
        <v>45926.020138888889</v>
      </c>
      <c r="AP610" s="26">
        <f t="shared" si="21"/>
        <v>24</v>
      </c>
    </row>
    <row r="611" spans="1:42" ht="25.5" hidden="1" customHeight="1">
      <c r="A611" s="19" t="s">
        <v>42</v>
      </c>
      <c r="B611" s="19" t="s">
        <v>1338</v>
      </c>
      <c r="C611" s="19" t="s">
        <v>1339</v>
      </c>
      <c r="D611" s="19" t="s">
        <v>45</v>
      </c>
      <c r="E611" s="19" t="s">
        <v>46</v>
      </c>
      <c r="F611" s="19" t="s">
        <v>4633</v>
      </c>
      <c r="G611" s="19" t="s">
        <v>48</v>
      </c>
      <c r="H611" s="19" t="s">
        <v>49</v>
      </c>
      <c r="I611" s="20">
        <v>45926.287499999999</v>
      </c>
      <c r="K611" s="19"/>
      <c r="L611" s="20">
        <v>45926.336805555547</v>
      </c>
      <c r="M611" s="19"/>
      <c r="N611" s="22">
        <f t="shared" si="20"/>
        <v>4.930555554892635E-2</v>
      </c>
      <c r="O611" s="19" t="s">
        <v>50</v>
      </c>
      <c r="P611" s="19" t="s">
        <v>4634</v>
      </c>
      <c r="Q611" s="19" t="s">
        <v>4635</v>
      </c>
      <c r="R611" s="19"/>
      <c r="S611" s="19"/>
      <c r="U611" s="19"/>
      <c r="W611" s="19"/>
      <c r="X611" s="19" t="s">
        <v>2659</v>
      </c>
      <c r="Y611" s="27" t="s">
        <v>133</v>
      </c>
      <c r="Z611" s="27" t="s">
        <v>3963</v>
      </c>
      <c r="AA611" s="27" t="s">
        <v>3963</v>
      </c>
      <c r="AB611" s="27" t="s">
        <v>4636</v>
      </c>
      <c r="AC611" s="37">
        <v>45926.20208333333</v>
      </c>
      <c r="AD611" s="38" t="s">
        <v>861</v>
      </c>
      <c r="AE611" s="36">
        <v>45901</v>
      </c>
      <c r="AF611" s="19" t="s">
        <v>89</v>
      </c>
      <c r="AG611" s="19" t="s">
        <v>61</v>
      </c>
      <c r="AH611" s="19" t="s">
        <v>62</v>
      </c>
      <c r="AI611" s="19" t="s">
        <v>63</v>
      </c>
      <c r="AJ611" s="19" t="s">
        <v>4637</v>
      </c>
      <c r="AK611" s="19"/>
      <c r="AL611" s="19"/>
      <c r="AM611" s="19"/>
      <c r="AN611" s="19" t="s">
        <v>65</v>
      </c>
      <c r="AO611" s="23">
        <v>45926.287499999999</v>
      </c>
      <c r="AP611" s="26">
        <f t="shared" si="21"/>
        <v>71</v>
      </c>
    </row>
    <row r="612" spans="1:42" ht="25.5" hidden="1" customHeight="1">
      <c r="A612" s="19" t="s">
        <v>42</v>
      </c>
      <c r="B612" s="19" t="s">
        <v>4510</v>
      </c>
      <c r="C612" s="19" t="s">
        <v>336</v>
      </c>
      <c r="D612" s="19" t="s">
        <v>45</v>
      </c>
      <c r="E612" s="19" t="s">
        <v>46</v>
      </c>
      <c r="F612" s="19" t="s">
        <v>4638</v>
      </c>
      <c r="G612" s="19" t="s">
        <v>48</v>
      </c>
      <c r="H612" s="19" t="s">
        <v>49</v>
      </c>
      <c r="I612" s="20">
        <v>45927.899305555547</v>
      </c>
      <c r="K612" s="19"/>
      <c r="L612" s="20">
        <v>45927.90902777778</v>
      </c>
      <c r="M612" s="19"/>
      <c r="N612" s="22">
        <f t="shared" si="20"/>
        <v>9.722222232085187E-3</v>
      </c>
      <c r="O612" s="19" t="s">
        <v>50</v>
      </c>
      <c r="P612" s="19" t="s">
        <v>4639</v>
      </c>
      <c r="Q612" s="19" t="s">
        <v>4640</v>
      </c>
      <c r="R612" s="19"/>
      <c r="S612" s="19"/>
      <c r="U612" s="19"/>
      <c r="W612" s="19"/>
      <c r="X612" s="19" t="s">
        <v>314</v>
      </c>
      <c r="Y612" s="27" t="s">
        <v>133</v>
      </c>
      <c r="Z612" s="27" t="s">
        <v>55</v>
      </c>
      <c r="AA612" s="27" t="s">
        <v>4641</v>
      </c>
      <c r="AB612" s="27" t="s">
        <v>4642</v>
      </c>
      <c r="AC612" s="37">
        <v>45927.899305555547</v>
      </c>
      <c r="AD612" s="38">
        <v>45927.90902777778</v>
      </c>
      <c r="AE612" s="36">
        <v>45901</v>
      </c>
      <c r="AF612" s="19" t="s">
        <v>89</v>
      </c>
      <c r="AG612" s="19" t="s">
        <v>90</v>
      </c>
      <c r="AH612" s="19" t="s">
        <v>62</v>
      </c>
      <c r="AI612" s="19" t="s">
        <v>63</v>
      </c>
      <c r="AJ612" s="19" t="s">
        <v>4643</v>
      </c>
      <c r="AK612" s="19"/>
      <c r="AL612" s="19"/>
      <c r="AM612" s="19"/>
      <c r="AN612" s="19" t="s">
        <v>103</v>
      </c>
      <c r="AO612" s="23">
        <v>45927.899305555547</v>
      </c>
      <c r="AP612" s="26">
        <f t="shared" si="21"/>
        <v>14</v>
      </c>
    </row>
    <row r="613" spans="1:42" ht="25.5" hidden="1" customHeight="1">
      <c r="A613" s="19" t="s">
        <v>285</v>
      </c>
      <c r="B613" s="19" t="s">
        <v>4644</v>
      </c>
      <c r="C613" s="19" t="s">
        <v>4645</v>
      </c>
      <c r="D613" s="19" t="s">
        <v>45</v>
      </c>
      <c r="E613" s="19" t="s">
        <v>46</v>
      </c>
      <c r="F613" s="19" t="s">
        <v>4646</v>
      </c>
      <c r="G613" s="19" t="s">
        <v>48</v>
      </c>
      <c r="H613" s="19" t="s">
        <v>49</v>
      </c>
      <c r="I613" s="20">
        <v>45927.943749999999</v>
      </c>
      <c r="K613" s="19"/>
      <c r="L613" s="20">
        <v>45927.96597222222</v>
      </c>
      <c r="M613" s="19"/>
      <c r="N613" s="22">
        <f t="shared" si="20"/>
        <v>2.2222222221898846E-2</v>
      </c>
      <c r="O613" s="19" t="s">
        <v>50</v>
      </c>
      <c r="P613" s="19" t="s">
        <v>4647</v>
      </c>
      <c r="Q613" s="19" t="s">
        <v>4648</v>
      </c>
      <c r="R613" s="19"/>
      <c r="S613" s="19"/>
      <c r="U613" s="19"/>
      <c r="W613" s="19"/>
      <c r="X613" s="19" t="s">
        <v>4649</v>
      </c>
      <c r="Y613" s="27" t="s">
        <v>133</v>
      </c>
      <c r="Z613" s="27" t="s">
        <v>4650</v>
      </c>
      <c r="AA613" s="27" t="s">
        <v>4651</v>
      </c>
      <c r="AB613" s="27" t="s">
        <v>4652</v>
      </c>
      <c r="AC613" s="37" t="s">
        <v>4653</v>
      </c>
      <c r="AD613" s="38" t="s">
        <v>4654</v>
      </c>
      <c r="AE613" s="36">
        <v>45901</v>
      </c>
      <c r="AF613" s="19" t="s">
        <v>293</v>
      </c>
      <c r="AG613" s="19" t="s">
        <v>294</v>
      </c>
      <c r="AH613" s="19" t="s">
        <v>62</v>
      </c>
      <c r="AI613" s="19" t="s">
        <v>63</v>
      </c>
      <c r="AJ613" s="19" t="s">
        <v>4655</v>
      </c>
      <c r="AK613" s="19"/>
      <c r="AL613" s="19"/>
      <c r="AM613" s="19"/>
      <c r="AN613" s="19" t="s">
        <v>128</v>
      </c>
      <c r="AO613" s="23">
        <v>45927.943749999999</v>
      </c>
      <c r="AP613" s="26">
        <f t="shared" si="21"/>
        <v>32</v>
      </c>
    </row>
    <row r="614" spans="1:42" ht="25.5" hidden="1" customHeight="1">
      <c r="A614" s="19" t="s">
        <v>116</v>
      </c>
      <c r="C614" s="19" t="s">
        <v>2178</v>
      </c>
      <c r="D614" s="19" t="s">
        <v>45</v>
      </c>
      <c r="E614" s="19" t="s">
        <v>46</v>
      </c>
      <c r="F614" s="19" t="s">
        <v>4656</v>
      </c>
      <c r="G614" s="19" t="s">
        <v>48</v>
      </c>
      <c r="H614" s="19" t="s">
        <v>49</v>
      </c>
      <c r="I614" s="20">
        <v>45928.490972222222</v>
      </c>
      <c r="K614" s="19"/>
      <c r="L614" s="20">
        <v>45928.510416666657</v>
      </c>
      <c r="M614" s="19"/>
      <c r="N614" s="22">
        <f t="shared" si="20"/>
        <v>1.9444444435066544E-2</v>
      </c>
      <c r="O614" s="19" t="s">
        <v>63</v>
      </c>
      <c r="P614" s="19" t="s">
        <v>4657</v>
      </c>
      <c r="Q614" s="19" t="s">
        <v>4658</v>
      </c>
      <c r="R614" s="19"/>
      <c r="S614" s="19"/>
      <c r="U614" s="19"/>
      <c r="W614" s="19"/>
      <c r="X614" s="19" t="s">
        <v>122</v>
      </c>
      <c r="Y614" s="27" t="s">
        <v>54</v>
      </c>
      <c r="Z614" s="27" t="s">
        <v>414</v>
      </c>
      <c r="AA614" s="27" t="s">
        <v>4659</v>
      </c>
      <c r="AB614" s="27" t="s">
        <v>4660</v>
      </c>
      <c r="AC614" s="37">
        <v>45928.5</v>
      </c>
      <c r="AD614" s="38">
        <v>45928.520833333343</v>
      </c>
      <c r="AE614" s="36">
        <v>45901</v>
      </c>
      <c r="AF614" s="19" t="s">
        <v>89</v>
      </c>
      <c r="AG614" s="19" t="s">
        <v>90</v>
      </c>
      <c r="AH614" s="19" t="s">
        <v>62</v>
      </c>
      <c r="AI614" s="19" t="s">
        <v>63</v>
      </c>
      <c r="AJ614" s="19" t="s">
        <v>4661</v>
      </c>
      <c r="AK614" s="19"/>
      <c r="AL614" s="19"/>
      <c r="AM614" s="19"/>
      <c r="AN614" s="19" t="s">
        <v>65</v>
      </c>
      <c r="AO614" s="23">
        <v>45928.508333333331</v>
      </c>
      <c r="AP614" s="26">
        <f t="shared" si="21"/>
        <v>28</v>
      </c>
    </row>
    <row r="615" spans="1:42" ht="25.5" hidden="1" customHeight="1">
      <c r="A615" s="19" t="s">
        <v>42</v>
      </c>
      <c r="B615" s="19" t="s">
        <v>93</v>
      </c>
      <c r="C615" s="19" t="s">
        <v>4662</v>
      </c>
      <c r="D615" s="19" t="s">
        <v>45</v>
      </c>
      <c r="E615" s="19" t="s">
        <v>46</v>
      </c>
      <c r="F615" s="19" t="s">
        <v>4663</v>
      </c>
      <c r="G615" s="19" t="s">
        <v>48</v>
      </c>
      <c r="H615" s="19" t="s">
        <v>49</v>
      </c>
      <c r="I615" s="20">
        <v>45928.561805555553</v>
      </c>
      <c r="K615" s="19"/>
      <c r="L615" s="20">
        <v>45928.613888888889</v>
      </c>
      <c r="M615" s="19"/>
      <c r="N615" s="22">
        <f t="shared" si="20"/>
        <v>5.2083333335758653E-2</v>
      </c>
      <c r="O615" s="19" t="s">
        <v>63</v>
      </c>
      <c r="P615" s="19" t="s">
        <v>4664</v>
      </c>
      <c r="Q615" s="19" t="s">
        <v>4665</v>
      </c>
      <c r="R615" s="19"/>
      <c r="S615" s="19"/>
      <c r="U615" s="19"/>
      <c r="W615" s="19"/>
      <c r="X615" s="19" t="s">
        <v>4080</v>
      </c>
      <c r="Y615" s="27" t="s">
        <v>133</v>
      </c>
      <c r="Z615" s="27" t="s">
        <v>4666</v>
      </c>
      <c r="AA615" s="27" t="s">
        <v>4667</v>
      </c>
      <c r="AB615" s="27" t="s">
        <v>4666</v>
      </c>
      <c r="AC615" s="37">
        <v>45928.443749999999</v>
      </c>
      <c r="AD615" s="38" t="s">
        <v>78</v>
      </c>
      <c r="AE615" s="36">
        <v>45901</v>
      </c>
      <c r="AF615" s="19" t="s">
        <v>89</v>
      </c>
      <c r="AG615" s="19" t="s">
        <v>126</v>
      </c>
      <c r="AH615" s="19" t="s">
        <v>62</v>
      </c>
      <c r="AI615" s="19" t="s">
        <v>63</v>
      </c>
      <c r="AJ615" s="19" t="s">
        <v>4668</v>
      </c>
      <c r="AK615" s="19"/>
      <c r="AL615" s="19"/>
      <c r="AM615" s="19"/>
      <c r="AN615" s="19" t="s">
        <v>65</v>
      </c>
      <c r="AO615" s="23">
        <v>45928.561805555553</v>
      </c>
      <c r="AP615" s="26">
        <f t="shared" si="21"/>
        <v>75</v>
      </c>
    </row>
    <row r="616" spans="1:42" ht="25.5" hidden="1" customHeight="1">
      <c r="A616" s="19" t="s">
        <v>42</v>
      </c>
      <c r="B616" s="19" t="s">
        <v>4669</v>
      </c>
      <c r="C616" s="19" t="s">
        <v>4670</v>
      </c>
      <c r="D616" s="19" t="s">
        <v>45</v>
      </c>
      <c r="E616" s="19" t="s">
        <v>46</v>
      </c>
      <c r="F616" s="19" t="s">
        <v>4671</v>
      </c>
      <c r="G616" s="19" t="s">
        <v>48</v>
      </c>
      <c r="H616" s="19" t="s">
        <v>49</v>
      </c>
      <c r="I616" s="20">
        <v>45928.815972222219</v>
      </c>
      <c r="K616" s="19"/>
      <c r="L616" s="20">
        <v>45928.895833333343</v>
      </c>
      <c r="M616" s="19"/>
      <c r="N616" s="22">
        <f t="shared" si="20"/>
        <v>7.9861111124046147E-2</v>
      </c>
      <c r="O616" s="19" t="s">
        <v>50</v>
      </c>
      <c r="P616" s="19" t="s">
        <v>4672</v>
      </c>
      <c r="Q616" s="19" t="s">
        <v>4673</v>
      </c>
      <c r="R616" s="19"/>
      <c r="S616" s="19"/>
      <c r="U616" s="19"/>
      <c r="W616" s="19"/>
      <c r="X616" s="19" t="s">
        <v>301</v>
      </c>
      <c r="Y616" s="27" t="s">
        <v>54</v>
      </c>
      <c r="Z616" s="27" t="s">
        <v>4650</v>
      </c>
      <c r="AA616" s="27" t="s">
        <v>4674</v>
      </c>
      <c r="AB616" s="27" t="s">
        <v>4675</v>
      </c>
      <c r="AC616" s="37" t="s">
        <v>4676</v>
      </c>
      <c r="AD616" s="38" t="s">
        <v>4677</v>
      </c>
      <c r="AE616" s="36">
        <v>45901</v>
      </c>
      <c r="AF616" s="19" t="s">
        <v>89</v>
      </c>
      <c r="AG616" s="19" t="s">
        <v>90</v>
      </c>
      <c r="AH616" s="19" t="s">
        <v>62</v>
      </c>
      <c r="AI616" s="19" t="s">
        <v>63</v>
      </c>
      <c r="AJ616" s="19" t="s">
        <v>4678</v>
      </c>
      <c r="AK616" s="19"/>
      <c r="AL616" s="19"/>
      <c r="AM616" s="19"/>
      <c r="AN616" s="19" t="s">
        <v>103</v>
      </c>
      <c r="AO616" s="23">
        <v>45928.833333333343</v>
      </c>
      <c r="AP616" s="26">
        <f t="shared" si="21"/>
        <v>115</v>
      </c>
    </row>
    <row r="617" spans="1:42" ht="25.5" hidden="1" customHeight="1">
      <c r="A617" s="19" t="s">
        <v>42</v>
      </c>
      <c r="B617" s="19" t="s">
        <v>186</v>
      </c>
      <c r="C617" s="19" t="s">
        <v>577</v>
      </c>
      <c r="D617" s="19" t="s">
        <v>45</v>
      </c>
      <c r="E617" s="19" t="s">
        <v>46</v>
      </c>
      <c r="F617" s="19" t="s">
        <v>4679</v>
      </c>
      <c r="G617" s="19" t="s">
        <v>48</v>
      </c>
      <c r="H617" s="19" t="s">
        <v>49</v>
      </c>
      <c r="I617" s="20">
        <v>45929.197916666657</v>
      </c>
      <c r="K617" s="19"/>
      <c r="L617" s="20">
        <v>45929.21875</v>
      </c>
      <c r="M617" s="19"/>
      <c r="N617" s="22">
        <f t="shared" si="20"/>
        <v>2.083333334303461E-2</v>
      </c>
      <c r="O617" s="19" t="s">
        <v>50</v>
      </c>
      <c r="P617" s="19" t="s">
        <v>4680</v>
      </c>
      <c r="Q617" s="19" t="s">
        <v>4681</v>
      </c>
      <c r="R617" s="19"/>
      <c r="S617" s="19"/>
      <c r="U617" s="19"/>
      <c r="W617" s="19"/>
      <c r="X617" s="19" t="s">
        <v>191</v>
      </c>
      <c r="Y617" s="27" t="s">
        <v>147</v>
      </c>
      <c r="Z617" s="27" t="s">
        <v>78</v>
      </c>
      <c r="AA617" s="27" t="s">
        <v>78</v>
      </c>
      <c r="AB617" s="27" t="s">
        <v>78</v>
      </c>
      <c r="AC617" s="37" t="s">
        <v>78</v>
      </c>
      <c r="AD617" s="38" t="s">
        <v>78</v>
      </c>
      <c r="AE617" s="36">
        <v>45901</v>
      </c>
      <c r="AF617" s="19" t="s">
        <v>89</v>
      </c>
      <c r="AG617" s="19" t="s">
        <v>90</v>
      </c>
      <c r="AH617" s="19" t="s">
        <v>62</v>
      </c>
      <c r="AI617" s="19" t="s">
        <v>63</v>
      </c>
      <c r="AJ617" s="19" t="s">
        <v>4682</v>
      </c>
      <c r="AK617" s="19"/>
      <c r="AL617" s="19"/>
      <c r="AM617" s="19"/>
      <c r="AN617" s="19" t="s">
        <v>65</v>
      </c>
      <c r="AO617" s="23">
        <v>45929.197916666657</v>
      </c>
      <c r="AP617" s="26">
        <f t="shared" si="21"/>
        <v>30</v>
      </c>
    </row>
    <row r="618" spans="1:42" ht="25.5" hidden="1" customHeight="1">
      <c r="A618" s="19" t="s">
        <v>42</v>
      </c>
      <c r="B618" s="19" t="s">
        <v>4510</v>
      </c>
      <c r="C618" s="19" t="s">
        <v>336</v>
      </c>
      <c r="D618" s="19" t="s">
        <v>45</v>
      </c>
      <c r="E618" s="19" t="s">
        <v>46</v>
      </c>
      <c r="F618" s="19" t="s">
        <v>4683</v>
      </c>
      <c r="G618" s="19" t="s">
        <v>48</v>
      </c>
      <c r="H618" s="19" t="s">
        <v>49</v>
      </c>
      <c r="I618" s="20">
        <v>45929.482638888891</v>
      </c>
      <c r="K618" s="19"/>
      <c r="L618" s="20">
        <v>45929.490972222222</v>
      </c>
      <c r="M618" s="19"/>
      <c r="N618" s="22">
        <f t="shared" si="20"/>
        <v>8.333333331393078E-3</v>
      </c>
      <c r="O618" s="19" t="s">
        <v>50</v>
      </c>
      <c r="P618" s="19" t="s">
        <v>4684</v>
      </c>
      <c r="Q618" s="19" t="s">
        <v>4685</v>
      </c>
      <c r="R618" s="19"/>
      <c r="S618" s="19"/>
      <c r="U618" s="19"/>
      <c r="W618" s="19"/>
      <c r="X618" s="19" t="s">
        <v>314</v>
      </c>
      <c r="Y618" s="27" t="s">
        <v>54</v>
      </c>
      <c r="Z618" s="27" t="s">
        <v>4686</v>
      </c>
      <c r="AA618" s="27" t="s">
        <v>4687</v>
      </c>
      <c r="AB618" s="27" t="s">
        <v>4688</v>
      </c>
      <c r="AC618" s="37" t="s">
        <v>4689</v>
      </c>
      <c r="AD618" s="38" t="s">
        <v>4689</v>
      </c>
      <c r="AE618" s="36">
        <v>45901</v>
      </c>
      <c r="AF618" s="19" t="s">
        <v>89</v>
      </c>
      <c r="AG618" s="19" t="s">
        <v>90</v>
      </c>
      <c r="AH618" s="19" t="s">
        <v>62</v>
      </c>
      <c r="AI618" s="19" t="s">
        <v>63</v>
      </c>
      <c r="AJ618" s="19" t="s">
        <v>4690</v>
      </c>
      <c r="AK618" s="19"/>
      <c r="AL618" s="19"/>
      <c r="AM618" s="19"/>
      <c r="AN618" s="19" t="s">
        <v>103</v>
      </c>
      <c r="AO618" s="23">
        <v>45929.486111111109</v>
      </c>
      <c r="AP618" s="26">
        <f t="shared" si="21"/>
        <v>12</v>
      </c>
    </row>
    <row r="619" spans="1:42" ht="25.5" customHeight="1">
      <c r="A619" s="19" t="s">
        <v>42</v>
      </c>
      <c r="C619" s="19" t="s">
        <v>4691</v>
      </c>
      <c r="D619" s="19" t="s">
        <v>45</v>
      </c>
      <c r="E619" s="19" t="s">
        <v>46</v>
      </c>
      <c r="F619" s="19" t="s">
        <v>4692</v>
      </c>
      <c r="G619" s="19" t="s">
        <v>48</v>
      </c>
      <c r="H619" s="19" t="s">
        <v>69</v>
      </c>
      <c r="I619" s="20">
        <v>45929.591666666667</v>
      </c>
      <c r="K619" s="19">
        <v>45929.597222222219</v>
      </c>
      <c r="L619" s="20">
        <v>45929.605555555558</v>
      </c>
      <c r="M619" s="19"/>
      <c r="N619" s="22">
        <f t="shared" si="20"/>
        <v>1.3888888890505768E-2</v>
      </c>
      <c r="O619" s="19" t="s">
        <v>50</v>
      </c>
      <c r="P619" s="19" t="s">
        <v>4693</v>
      </c>
      <c r="Q619" s="19" t="s">
        <v>4694</v>
      </c>
      <c r="R619" s="19"/>
      <c r="S619" s="19"/>
      <c r="U619" s="19"/>
      <c r="W619" s="19"/>
      <c r="X619" s="19" t="s">
        <v>72</v>
      </c>
      <c r="Y619" s="27" t="s">
        <v>147</v>
      </c>
      <c r="Z619" s="27" t="s">
        <v>78</v>
      </c>
      <c r="AA619" s="27" t="s">
        <v>78</v>
      </c>
      <c r="AB619" s="27" t="s">
        <v>78</v>
      </c>
      <c r="AC619" s="37" t="s">
        <v>78</v>
      </c>
      <c r="AD619" s="38" t="s">
        <v>78</v>
      </c>
      <c r="AE619" s="36">
        <v>45901</v>
      </c>
      <c r="AF619" s="19" t="s">
        <v>60</v>
      </c>
      <c r="AG619" s="19" t="s">
        <v>78</v>
      </c>
      <c r="AH619" s="19" t="s">
        <v>78</v>
      </c>
      <c r="AI619" s="19" t="s">
        <v>63</v>
      </c>
      <c r="AJ619" s="19" t="s">
        <v>4695</v>
      </c>
      <c r="AK619" s="19"/>
      <c r="AL619" s="19"/>
      <c r="AM619" s="19"/>
      <c r="AN619" s="19" t="s">
        <v>65</v>
      </c>
      <c r="AO619" s="23">
        <v>45929.591666666667</v>
      </c>
      <c r="AP619" s="26">
        <f t="shared" si="21"/>
        <v>20</v>
      </c>
    </row>
    <row r="620" spans="1:42" ht="25.5" hidden="1" customHeight="1">
      <c r="A620" s="19" t="s">
        <v>92</v>
      </c>
      <c r="B620" s="19" t="s">
        <v>3311</v>
      </c>
      <c r="C620" s="19" t="s">
        <v>3426</v>
      </c>
      <c r="D620" s="19" t="s">
        <v>45</v>
      </c>
      <c r="E620" s="19" t="s">
        <v>46</v>
      </c>
      <c r="F620" s="19" t="s">
        <v>4696</v>
      </c>
      <c r="G620" s="19" t="s">
        <v>48</v>
      </c>
      <c r="H620" s="19" t="s">
        <v>49</v>
      </c>
      <c r="I620" s="20">
        <v>45929.611111111109</v>
      </c>
      <c r="K620" s="19"/>
      <c r="L620" s="20">
        <v>45929.629166666673</v>
      </c>
      <c r="M620" s="19"/>
      <c r="N620" s="22">
        <f t="shared" si="20"/>
        <v>1.8055555563478265E-2</v>
      </c>
      <c r="O620" s="19" t="s">
        <v>50</v>
      </c>
      <c r="P620" s="19" t="s">
        <v>4697</v>
      </c>
      <c r="Q620" s="19" t="s">
        <v>4698</v>
      </c>
      <c r="R620" s="19"/>
      <c r="S620" s="19"/>
      <c r="U620" s="19"/>
      <c r="W620" s="19"/>
      <c r="X620" s="19" t="s">
        <v>109</v>
      </c>
      <c r="Y620" s="27" t="s">
        <v>133</v>
      </c>
      <c r="Z620" s="27" t="s">
        <v>1810</v>
      </c>
      <c r="AA620" s="27" t="s">
        <v>4699</v>
      </c>
      <c r="AB620" s="27" t="s">
        <v>4700</v>
      </c>
      <c r="AC620" s="37" t="s">
        <v>4701</v>
      </c>
      <c r="AD620" s="38" t="s">
        <v>4701</v>
      </c>
      <c r="AE620" s="36">
        <v>45901</v>
      </c>
      <c r="AF620" s="19" t="s">
        <v>60</v>
      </c>
      <c r="AG620" s="19" t="s">
        <v>78</v>
      </c>
      <c r="AH620" s="19" t="s">
        <v>78</v>
      </c>
      <c r="AI620" s="19" t="s">
        <v>63</v>
      </c>
      <c r="AJ620" s="19" t="s">
        <v>4702</v>
      </c>
      <c r="AK620" s="19"/>
      <c r="AL620" s="19"/>
      <c r="AM620" s="19"/>
      <c r="AN620" s="19" t="s">
        <v>103</v>
      </c>
      <c r="AO620" s="23">
        <v>45929.611111111109</v>
      </c>
      <c r="AP620" s="26">
        <f t="shared" si="21"/>
        <v>26</v>
      </c>
    </row>
    <row r="621" spans="1:42" ht="25.5" hidden="1" customHeight="1">
      <c r="A621" s="19" t="s">
        <v>42</v>
      </c>
      <c r="B621" s="19" t="s">
        <v>2605</v>
      </c>
      <c r="C621" s="19" t="s">
        <v>2606</v>
      </c>
      <c r="D621" s="19" t="s">
        <v>45</v>
      </c>
      <c r="E621" s="19" t="s">
        <v>46</v>
      </c>
      <c r="F621" s="19" t="s">
        <v>4703</v>
      </c>
      <c r="G621" s="19" t="s">
        <v>48</v>
      </c>
      <c r="H621" s="19" t="s">
        <v>49</v>
      </c>
      <c r="I621" s="20">
        <v>45929.479166666657</v>
      </c>
      <c r="K621" s="19"/>
      <c r="L621" s="20">
        <v>45929.551388888889</v>
      </c>
      <c r="M621" s="19"/>
      <c r="N621" s="22">
        <f t="shared" si="20"/>
        <v>7.2222222232085187E-2</v>
      </c>
      <c r="O621" s="19" t="s">
        <v>63</v>
      </c>
      <c r="P621" s="19" t="s">
        <v>4704</v>
      </c>
      <c r="Q621" s="19" t="s">
        <v>4705</v>
      </c>
      <c r="R621" s="19"/>
      <c r="S621" s="19"/>
      <c r="U621" s="19"/>
      <c r="W621" s="19"/>
      <c r="X621" s="19" t="s">
        <v>1412</v>
      </c>
      <c r="Y621" s="27" t="s">
        <v>54</v>
      </c>
      <c r="Z621" s="27" t="s">
        <v>414</v>
      </c>
      <c r="AA621" s="27" t="s">
        <v>4706</v>
      </c>
      <c r="AB621" s="27">
        <v>45929.506249999999</v>
      </c>
      <c r="AC621" s="37">
        <v>45929.645833333343</v>
      </c>
      <c r="AD621" s="38">
        <v>45929.645833333343</v>
      </c>
      <c r="AE621" s="36">
        <v>45901</v>
      </c>
      <c r="AF621" s="19" t="s">
        <v>89</v>
      </c>
      <c r="AG621" s="19" t="s">
        <v>90</v>
      </c>
      <c r="AH621" s="19" t="s">
        <v>62</v>
      </c>
      <c r="AI621" s="19" t="s">
        <v>63</v>
      </c>
      <c r="AJ621" s="19" t="s">
        <v>4707</v>
      </c>
      <c r="AK621" s="19"/>
      <c r="AL621" s="19"/>
      <c r="AM621" s="19"/>
      <c r="AN621" s="19" t="s">
        <v>65</v>
      </c>
      <c r="AO621" s="23">
        <v>45929.479166666657</v>
      </c>
      <c r="AP621" s="26">
        <f t="shared" si="21"/>
        <v>104</v>
      </c>
    </row>
    <row r="622" spans="1:42" ht="25.5" customHeight="1">
      <c r="A622" s="19" t="s">
        <v>42</v>
      </c>
      <c r="C622" s="19" t="s">
        <v>4708</v>
      </c>
      <c r="D622" s="19" t="s">
        <v>45</v>
      </c>
      <c r="E622" s="19" t="s">
        <v>46</v>
      </c>
      <c r="F622" s="19" t="s">
        <v>4692</v>
      </c>
      <c r="G622" s="19" t="s">
        <v>48</v>
      </c>
      <c r="H622" s="19" t="s">
        <v>69</v>
      </c>
      <c r="I622" s="20">
        <v>45929.888888888891</v>
      </c>
      <c r="K622" s="19">
        <v>45929.892361111109</v>
      </c>
      <c r="L622" s="20">
        <v>45929.894444444442</v>
      </c>
      <c r="M622" s="19"/>
      <c r="N622" s="22">
        <f t="shared" si="20"/>
        <v>5.5555555518367328E-3</v>
      </c>
      <c r="O622" s="19" t="s">
        <v>50</v>
      </c>
      <c r="P622" s="19" t="s">
        <v>4709</v>
      </c>
      <c r="Q622" s="19" t="s">
        <v>4710</v>
      </c>
      <c r="R622" s="19"/>
      <c r="S622" s="19"/>
      <c r="U622" s="19"/>
      <c r="W622" s="19"/>
      <c r="X622" s="19" t="s">
        <v>72</v>
      </c>
      <c r="Y622" s="27" t="s">
        <v>147</v>
      </c>
      <c r="Z622" s="27" t="s">
        <v>78</v>
      </c>
      <c r="AA622" s="27" t="s">
        <v>78</v>
      </c>
      <c r="AB622" s="27" t="s">
        <v>78</v>
      </c>
      <c r="AC622" s="37" t="s">
        <v>78</v>
      </c>
      <c r="AD622" s="38" t="s">
        <v>78</v>
      </c>
      <c r="AE622" s="36">
        <v>45901</v>
      </c>
      <c r="AF622" s="19" t="s">
        <v>99</v>
      </c>
      <c r="AG622" s="19" t="s">
        <v>100</v>
      </c>
      <c r="AH622" s="19" t="s">
        <v>62</v>
      </c>
      <c r="AI622" s="19" t="s">
        <v>63</v>
      </c>
      <c r="AJ622" s="19" t="s">
        <v>4711</v>
      </c>
      <c r="AK622" s="19" t="s">
        <v>4712</v>
      </c>
      <c r="AL622" s="19"/>
      <c r="AM622" s="19"/>
      <c r="AN622" s="19" t="s">
        <v>65</v>
      </c>
      <c r="AO622" s="23">
        <v>45929.888888888891</v>
      </c>
      <c r="AP622" s="26">
        <f t="shared" si="21"/>
        <v>8</v>
      </c>
    </row>
    <row r="623" spans="1:42" ht="25.5" customHeight="1">
      <c r="A623" s="19" t="s">
        <v>42</v>
      </c>
      <c r="C623" s="19" t="s">
        <v>682</v>
      </c>
      <c r="D623" s="19" t="s">
        <v>45</v>
      </c>
      <c r="E623" s="19" t="s">
        <v>46</v>
      </c>
      <c r="F623" s="19" t="s">
        <v>4713</v>
      </c>
      <c r="G623" s="19" t="s">
        <v>48</v>
      </c>
      <c r="H623" s="19" t="s">
        <v>144</v>
      </c>
      <c r="I623" s="20">
        <v>45930.25</v>
      </c>
      <c r="K623" s="19">
        <v>45930.302083333343</v>
      </c>
      <c r="L623" s="20">
        <v>45930.336111111108</v>
      </c>
      <c r="M623" s="19"/>
      <c r="N623" s="22">
        <f t="shared" si="20"/>
        <v>8.611111110803904E-2</v>
      </c>
      <c r="O623" s="19" t="s">
        <v>50</v>
      </c>
      <c r="P623" s="19" t="s">
        <v>4714</v>
      </c>
      <c r="Q623" s="19" t="s">
        <v>4715</v>
      </c>
      <c r="R623" s="19"/>
      <c r="S623" s="19"/>
      <c r="U623" s="19"/>
      <c r="W623" s="19"/>
      <c r="X623" s="19" t="s">
        <v>72</v>
      </c>
      <c r="Y623" s="27" t="s">
        <v>147</v>
      </c>
      <c r="Z623" s="27" t="s">
        <v>78</v>
      </c>
      <c r="AA623" s="27" t="s">
        <v>78</v>
      </c>
      <c r="AB623" s="27" t="s">
        <v>78</v>
      </c>
      <c r="AC623" s="37" t="s">
        <v>78</v>
      </c>
      <c r="AD623" s="38" t="s">
        <v>78</v>
      </c>
      <c r="AE623" s="36">
        <v>45901</v>
      </c>
      <c r="AF623" s="19" t="s">
        <v>99</v>
      </c>
      <c r="AG623" s="19" t="s">
        <v>100</v>
      </c>
      <c r="AH623" s="19" t="s">
        <v>62</v>
      </c>
      <c r="AI623" s="19" t="s">
        <v>63</v>
      </c>
      <c r="AJ623" s="19" t="s">
        <v>4716</v>
      </c>
      <c r="AK623" s="19" t="s">
        <v>4717</v>
      </c>
      <c r="AL623" s="19"/>
      <c r="AM623" s="19"/>
      <c r="AN623" s="19" t="s">
        <v>65</v>
      </c>
      <c r="AO623" s="23">
        <v>45930.383333333331</v>
      </c>
      <c r="AP623" s="26">
        <f t="shared" si="21"/>
        <v>124</v>
      </c>
    </row>
    <row r="624" spans="1:42" ht="25.5" customHeight="1">
      <c r="A624" s="19" t="s">
        <v>42</v>
      </c>
      <c r="C624" s="19" t="s">
        <v>4602</v>
      </c>
      <c r="D624" s="19" t="s">
        <v>45</v>
      </c>
      <c r="E624" s="19" t="s">
        <v>46</v>
      </c>
      <c r="F624" s="19" t="s">
        <v>4718</v>
      </c>
      <c r="G624" s="19" t="s">
        <v>48</v>
      </c>
      <c r="H624" s="19" t="s">
        <v>144</v>
      </c>
      <c r="I624" s="20">
        <v>45930.25</v>
      </c>
      <c r="K624" s="19">
        <v>45930.34375</v>
      </c>
      <c r="L624" s="20">
        <v>45930.393055555563</v>
      </c>
      <c r="M624" s="19"/>
      <c r="N624" s="22">
        <f t="shared" si="20"/>
        <v>0.14305555556347826</v>
      </c>
      <c r="O624" s="19" t="s">
        <v>50</v>
      </c>
      <c r="P624" s="19" t="s">
        <v>4719</v>
      </c>
      <c r="Q624" s="19" t="s">
        <v>4720</v>
      </c>
      <c r="R624" s="19"/>
      <c r="S624" s="19"/>
      <c r="U624" s="19"/>
      <c r="W624" s="19"/>
      <c r="X624" s="19" t="s">
        <v>72</v>
      </c>
      <c r="Y624" s="27" t="s">
        <v>147</v>
      </c>
      <c r="Z624" s="27" t="s">
        <v>78</v>
      </c>
      <c r="AA624" s="27" t="s">
        <v>78</v>
      </c>
      <c r="AB624" s="27" t="s">
        <v>78</v>
      </c>
      <c r="AC624" s="37" t="s">
        <v>78</v>
      </c>
      <c r="AD624" s="38" t="s">
        <v>78</v>
      </c>
      <c r="AE624" s="36">
        <v>45901</v>
      </c>
      <c r="AF624" s="19" t="s">
        <v>99</v>
      </c>
      <c r="AG624" s="19" t="s">
        <v>100</v>
      </c>
      <c r="AH624" s="19" t="s">
        <v>62</v>
      </c>
      <c r="AI624" s="19" t="s">
        <v>63</v>
      </c>
      <c r="AJ624" s="19" t="s">
        <v>4721</v>
      </c>
      <c r="AK624" s="19" t="s">
        <v>4722</v>
      </c>
      <c r="AL624" s="19"/>
      <c r="AM624" s="19"/>
      <c r="AN624" s="19" t="s">
        <v>65</v>
      </c>
      <c r="AO624" s="23">
        <v>45930.446527777778</v>
      </c>
      <c r="AP624" s="26">
        <f t="shared" si="21"/>
        <v>206</v>
      </c>
    </row>
    <row r="625" spans="1:42" ht="25.5" hidden="1" customHeight="1">
      <c r="A625" s="19" t="s">
        <v>116</v>
      </c>
      <c r="B625" s="19" t="s">
        <v>1273</v>
      </c>
      <c r="C625" s="19" t="s">
        <v>4723</v>
      </c>
      <c r="D625" s="19" t="s">
        <v>45</v>
      </c>
      <c r="E625" s="19" t="s">
        <v>46</v>
      </c>
      <c r="F625" s="19" t="s">
        <v>4724</v>
      </c>
      <c r="G625" s="19" t="s">
        <v>48</v>
      </c>
      <c r="H625" s="19" t="s">
        <v>49</v>
      </c>
      <c r="I625" s="20">
        <v>45930.625</v>
      </c>
      <c r="K625" s="19"/>
      <c r="L625" s="20">
        <v>45930.635416666657</v>
      </c>
      <c r="M625" s="19"/>
      <c r="N625" s="22">
        <f t="shared" si="20"/>
        <v>1.041666665696539E-2</v>
      </c>
      <c r="O625" s="19" t="s">
        <v>50</v>
      </c>
      <c r="P625" s="19" t="s">
        <v>4725</v>
      </c>
      <c r="Q625" s="19" t="s">
        <v>4726</v>
      </c>
      <c r="R625" s="19"/>
      <c r="S625" s="19"/>
      <c r="U625" s="19"/>
      <c r="W625" s="19"/>
      <c r="X625" s="19" t="s">
        <v>4727</v>
      </c>
      <c r="Y625" s="27" t="s">
        <v>147</v>
      </c>
      <c r="Z625" s="27" t="s">
        <v>78</v>
      </c>
      <c r="AA625" s="27" t="s">
        <v>78</v>
      </c>
      <c r="AB625" s="27" t="s">
        <v>78</v>
      </c>
      <c r="AC625" s="37" t="s">
        <v>78</v>
      </c>
      <c r="AD625" s="38" t="s">
        <v>78</v>
      </c>
      <c r="AE625" s="36">
        <v>45901</v>
      </c>
      <c r="AF625" s="19" t="s">
        <v>89</v>
      </c>
      <c r="AG625" s="19" t="s">
        <v>90</v>
      </c>
      <c r="AH625" s="19" t="s">
        <v>62</v>
      </c>
      <c r="AI625" s="19" t="s">
        <v>63</v>
      </c>
      <c r="AJ625" s="19" t="s">
        <v>4728</v>
      </c>
      <c r="AK625" s="19"/>
      <c r="AL625" s="19"/>
      <c r="AM625" s="19"/>
      <c r="AN625" s="19" t="s">
        <v>103</v>
      </c>
      <c r="AO625" s="23">
        <v>45930.625</v>
      </c>
      <c r="AP625" s="26">
        <f t="shared" si="21"/>
        <v>15</v>
      </c>
    </row>
    <row r="626" spans="1:42" ht="25.5" hidden="1" customHeight="1">
      <c r="A626" s="19" t="s">
        <v>42</v>
      </c>
      <c r="B626" s="19" t="s">
        <v>4510</v>
      </c>
      <c r="C626" s="19" t="s">
        <v>336</v>
      </c>
      <c r="D626" s="19" t="s">
        <v>45</v>
      </c>
      <c r="E626" s="19" t="s">
        <v>46</v>
      </c>
      <c r="F626" s="19" t="s">
        <v>4729</v>
      </c>
      <c r="G626" s="19" t="s">
        <v>48</v>
      </c>
      <c r="H626" s="19" t="s">
        <v>49</v>
      </c>
      <c r="I626" s="20">
        <v>45930.890277777777</v>
      </c>
      <c r="K626" s="19"/>
      <c r="L626" s="20">
        <v>45930.895138888889</v>
      </c>
      <c r="M626" s="19"/>
      <c r="N626" s="22">
        <f t="shared" si="20"/>
        <v>4.8611111124046147E-3</v>
      </c>
      <c r="O626" s="19" t="s">
        <v>50</v>
      </c>
      <c r="P626" s="19" t="s">
        <v>4639</v>
      </c>
      <c r="Q626" s="19" t="s">
        <v>4730</v>
      </c>
      <c r="R626" s="19"/>
      <c r="S626" s="19"/>
      <c r="U626" s="19"/>
      <c r="W626" s="19"/>
      <c r="X626" s="19" t="s">
        <v>314</v>
      </c>
      <c r="Y626" s="27" t="s">
        <v>54</v>
      </c>
      <c r="Z626" s="27" t="s">
        <v>414</v>
      </c>
      <c r="AA626" s="27" t="s">
        <v>3963</v>
      </c>
      <c r="AB626" s="27" t="s">
        <v>4731</v>
      </c>
      <c r="AC626" s="37" t="s">
        <v>4732</v>
      </c>
      <c r="AD626" s="38" t="s">
        <v>4733</v>
      </c>
      <c r="AE626" s="36">
        <v>45901</v>
      </c>
      <c r="AF626" s="19" t="s">
        <v>99</v>
      </c>
      <c r="AG626" s="19" t="s">
        <v>100</v>
      </c>
      <c r="AH626" s="19" t="s">
        <v>62</v>
      </c>
      <c r="AI626" s="19" t="s">
        <v>63</v>
      </c>
      <c r="AJ626" s="19" t="s">
        <v>4734</v>
      </c>
      <c r="AK626" s="19" t="s">
        <v>4735</v>
      </c>
      <c r="AL626" s="19"/>
      <c r="AM626" s="19"/>
      <c r="AN626" s="19" t="s">
        <v>103</v>
      </c>
      <c r="AO626" s="23">
        <v>45930.890277777777</v>
      </c>
      <c r="AP626" s="26">
        <f t="shared" si="21"/>
        <v>7</v>
      </c>
    </row>
    <row r="627" spans="1:42" ht="25.5" hidden="1" customHeight="1">
      <c r="A627" s="19" t="s">
        <v>42</v>
      </c>
      <c r="B627" s="19" t="s">
        <v>4510</v>
      </c>
      <c r="C627" s="19" t="s">
        <v>336</v>
      </c>
      <c r="D627" s="19" t="s">
        <v>45</v>
      </c>
      <c r="E627" s="19" t="s">
        <v>46</v>
      </c>
      <c r="F627" s="19" t="s">
        <v>4736</v>
      </c>
      <c r="G627" s="19" t="s">
        <v>48</v>
      </c>
      <c r="H627" s="19" t="s">
        <v>49</v>
      </c>
      <c r="I627" s="20">
        <v>45931.470833333333</v>
      </c>
      <c r="K627" s="19"/>
      <c r="L627" s="20">
        <v>45931.504861111112</v>
      </c>
      <c r="M627" s="19"/>
      <c r="N627" s="22">
        <f t="shared" si="20"/>
        <v>3.4027777779556345E-2</v>
      </c>
      <c r="O627" s="19" t="s">
        <v>50</v>
      </c>
      <c r="P627" s="19" t="s">
        <v>4737</v>
      </c>
      <c r="Q627" s="19" t="s">
        <v>4738</v>
      </c>
      <c r="R627" s="19"/>
      <c r="S627" s="19"/>
      <c r="U627" s="19"/>
      <c r="W627" s="19"/>
      <c r="X627" s="19" t="s">
        <v>314</v>
      </c>
      <c r="Y627" s="27" t="s">
        <v>147</v>
      </c>
      <c r="Z627" s="27" t="s">
        <v>78</v>
      </c>
      <c r="AA627" s="27" t="s">
        <v>78</v>
      </c>
      <c r="AB627" s="27" t="s">
        <v>78</v>
      </c>
      <c r="AC627" s="37" t="s">
        <v>78</v>
      </c>
      <c r="AD627" s="38" t="s">
        <v>78</v>
      </c>
      <c r="AE627" s="36">
        <v>45931</v>
      </c>
      <c r="AF627" s="19" t="s">
        <v>99</v>
      </c>
      <c r="AG627" s="19" t="s">
        <v>100</v>
      </c>
      <c r="AH627" s="19" t="s">
        <v>62</v>
      </c>
      <c r="AI627" s="19" t="s">
        <v>63</v>
      </c>
      <c r="AJ627" s="19" t="s">
        <v>4739</v>
      </c>
      <c r="AK627" s="19" t="s">
        <v>4740</v>
      </c>
      <c r="AL627" s="19"/>
      <c r="AM627" s="19"/>
      <c r="AN627" s="19" t="s">
        <v>103</v>
      </c>
      <c r="AO627" s="23">
        <v>45930.470833333333</v>
      </c>
      <c r="AP627" s="26">
        <f t="shared" si="21"/>
        <v>49</v>
      </c>
    </row>
    <row r="628" spans="1:42" ht="25.5" hidden="1" customHeight="1">
      <c r="A628" s="19" t="s">
        <v>42</v>
      </c>
      <c r="B628" s="19" t="s">
        <v>3892</v>
      </c>
      <c r="C628" s="19" t="s">
        <v>4741</v>
      </c>
      <c r="D628" s="19" t="s">
        <v>45</v>
      </c>
      <c r="E628" s="19" t="s">
        <v>46</v>
      </c>
      <c r="F628" s="19" t="s">
        <v>4742</v>
      </c>
      <c r="G628" s="19" t="s">
        <v>48</v>
      </c>
      <c r="H628" s="19" t="s">
        <v>49</v>
      </c>
      <c r="I628" s="20">
        <v>45931.826388888891</v>
      </c>
      <c r="K628" s="19"/>
      <c r="L628" s="20">
        <v>45931.901388888888</v>
      </c>
      <c r="M628" s="19"/>
      <c r="N628" s="22">
        <f t="shared" si="20"/>
        <v>7.4999999997089617E-2</v>
      </c>
      <c r="O628" s="19" t="s">
        <v>50</v>
      </c>
      <c r="P628" s="19" t="s">
        <v>4743</v>
      </c>
      <c r="Q628" s="19" t="s">
        <v>4744</v>
      </c>
      <c r="R628" s="19"/>
      <c r="S628" s="19"/>
      <c r="U628" s="19"/>
      <c r="W628" s="19"/>
      <c r="X628" s="19" t="s">
        <v>301</v>
      </c>
      <c r="Y628" s="27" t="s">
        <v>54</v>
      </c>
      <c r="Z628" s="27" t="s">
        <v>414</v>
      </c>
      <c r="AA628" s="27" t="s">
        <v>4745</v>
      </c>
      <c r="AB628" s="27" t="s">
        <v>4746</v>
      </c>
      <c r="AC628" s="37">
        <v>45931.833333333343</v>
      </c>
      <c r="AD628" s="38" t="s">
        <v>513</v>
      </c>
      <c r="AE628" s="36">
        <v>45931</v>
      </c>
      <c r="AF628" s="19" t="s">
        <v>89</v>
      </c>
      <c r="AG628" s="19" t="s">
        <v>90</v>
      </c>
      <c r="AH628" s="19" t="s">
        <v>62</v>
      </c>
      <c r="AI628" s="19" t="s">
        <v>63</v>
      </c>
      <c r="AJ628" s="19" t="s">
        <v>4747</v>
      </c>
      <c r="AK628" s="19"/>
      <c r="AL628" s="19"/>
      <c r="AM628" s="19"/>
      <c r="AN628" s="19" t="s">
        <v>65</v>
      </c>
      <c r="AO628" s="23">
        <v>45931.865277777782</v>
      </c>
      <c r="AP628" s="26">
        <f t="shared" si="21"/>
        <v>108</v>
      </c>
    </row>
    <row r="629" spans="1:42" ht="25.5" customHeight="1">
      <c r="A629" s="19" t="s">
        <v>42</v>
      </c>
      <c r="C629" s="19" t="s">
        <v>4748</v>
      </c>
      <c r="D629" s="19" t="s">
        <v>45</v>
      </c>
      <c r="E629" s="19" t="s">
        <v>46</v>
      </c>
      <c r="F629" s="19" t="s">
        <v>4749</v>
      </c>
      <c r="G629" s="19" t="s">
        <v>48</v>
      </c>
      <c r="H629" s="19" t="s">
        <v>144</v>
      </c>
      <c r="I629" s="20">
        <v>45931.826388888891</v>
      </c>
      <c r="K629" s="19">
        <v>45931.854166666657</v>
      </c>
      <c r="L629" s="20">
        <v>45931.948611111111</v>
      </c>
      <c r="M629" s="19"/>
      <c r="N629" s="22">
        <f t="shared" si="20"/>
        <v>0.12222222222044365</v>
      </c>
      <c r="O629" s="19" t="s">
        <v>63</v>
      </c>
      <c r="P629" s="19" t="s">
        <v>4750</v>
      </c>
      <c r="Q629" s="19" t="s">
        <v>4751</v>
      </c>
      <c r="R629" s="19"/>
      <c r="S629" s="19"/>
      <c r="U629" s="19"/>
      <c r="W629" s="19"/>
      <c r="X629" s="19" t="s">
        <v>72</v>
      </c>
      <c r="Y629" s="27" t="s">
        <v>54</v>
      </c>
      <c r="Z629" s="27" t="s">
        <v>414</v>
      </c>
      <c r="AA629" s="27" t="s">
        <v>4745</v>
      </c>
      <c r="AB629" s="27" t="s">
        <v>4752</v>
      </c>
      <c r="AC629" s="37">
        <v>45931.833333333343</v>
      </c>
      <c r="AD629" s="38" t="s">
        <v>1116</v>
      </c>
      <c r="AE629" s="36">
        <v>45931</v>
      </c>
      <c r="AF629" s="19" t="s">
        <v>89</v>
      </c>
      <c r="AG629" s="19" t="s">
        <v>90</v>
      </c>
      <c r="AH629" s="19" t="s">
        <v>62</v>
      </c>
      <c r="AI629" s="19" t="s">
        <v>63</v>
      </c>
      <c r="AJ629" s="19" t="s">
        <v>4753</v>
      </c>
      <c r="AK629" s="19"/>
      <c r="AL629" s="19"/>
      <c r="AM629" s="19"/>
      <c r="AN629" s="19" t="s">
        <v>65</v>
      </c>
      <c r="AO629" s="23">
        <v>45931.865277777782</v>
      </c>
      <c r="AP629" s="26">
        <f t="shared" si="21"/>
        <v>176</v>
      </c>
    </row>
    <row r="630" spans="1:42" ht="25.5" hidden="1" customHeight="1">
      <c r="A630" s="19" t="s">
        <v>42</v>
      </c>
      <c r="B630" s="19" t="s">
        <v>487</v>
      </c>
      <c r="C630" s="19" t="s">
        <v>4754</v>
      </c>
      <c r="D630" s="19" t="s">
        <v>45</v>
      </c>
      <c r="E630" s="19" t="s">
        <v>46</v>
      </c>
      <c r="F630" s="19" t="s">
        <v>4755</v>
      </c>
      <c r="G630" s="19" t="s">
        <v>48</v>
      </c>
      <c r="H630" s="19" t="s">
        <v>49</v>
      </c>
      <c r="I630" s="20">
        <v>45932.004166666673</v>
      </c>
      <c r="K630" s="19"/>
      <c r="L630" s="20">
        <v>45932.4375</v>
      </c>
      <c r="M630" s="19"/>
      <c r="N630" s="22">
        <f t="shared" si="20"/>
        <v>0.4333333333270275</v>
      </c>
      <c r="O630" s="19" t="s">
        <v>63</v>
      </c>
      <c r="P630" s="19" t="s">
        <v>4756</v>
      </c>
      <c r="Q630" s="19" t="s">
        <v>4757</v>
      </c>
      <c r="R630" s="19"/>
      <c r="S630" s="19"/>
      <c r="U630" s="19"/>
      <c r="W630" s="19"/>
      <c r="X630" s="19" t="s">
        <v>491</v>
      </c>
      <c r="Y630" s="27" t="s">
        <v>133</v>
      </c>
      <c r="Z630" s="27" t="s">
        <v>55</v>
      </c>
      <c r="AA630" s="27" t="s">
        <v>4758</v>
      </c>
      <c r="AB630" s="27" t="s">
        <v>4759</v>
      </c>
      <c r="AC630" s="37" t="s">
        <v>4760</v>
      </c>
      <c r="AD630" s="38" t="s">
        <v>4761</v>
      </c>
      <c r="AE630" s="36">
        <v>45931</v>
      </c>
      <c r="AF630" s="19" t="s">
        <v>293</v>
      </c>
      <c r="AG630" s="19" t="s">
        <v>307</v>
      </c>
      <c r="AH630" s="19" t="s">
        <v>164</v>
      </c>
      <c r="AI630" s="19" t="s">
        <v>63</v>
      </c>
      <c r="AJ630" s="19" t="s">
        <v>4762</v>
      </c>
      <c r="AK630" s="19"/>
      <c r="AL630" s="19"/>
      <c r="AM630" s="19"/>
      <c r="AN630" s="19" t="s">
        <v>65</v>
      </c>
      <c r="AO630" s="23">
        <v>45932.004166666673</v>
      </c>
      <c r="AP630" s="26">
        <f t="shared" si="21"/>
        <v>624</v>
      </c>
    </row>
    <row r="631" spans="1:42" ht="25.5" hidden="1" customHeight="1">
      <c r="A631" s="19" t="s">
        <v>285</v>
      </c>
      <c r="B631" s="19" t="s">
        <v>4763</v>
      </c>
      <c r="C631" s="19" t="s">
        <v>1767</v>
      </c>
      <c r="D631" s="19" t="s">
        <v>45</v>
      </c>
      <c r="E631" s="19" t="s">
        <v>46</v>
      </c>
      <c r="F631" s="19" t="s">
        <v>4764</v>
      </c>
      <c r="G631" s="19" t="s">
        <v>48</v>
      </c>
      <c r="H631" s="19" t="s">
        <v>49</v>
      </c>
      <c r="I631" s="20">
        <v>45933.556944444441</v>
      </c>
      <c r="K631" s="19"/>
      <c r="L631" s="20">
        <v>45933.572916666657</v>
      </c>
      <c r="M631" s="19"/>
      <c r="N631" s="22">
        <f t="shared" si="20"/>
        <v>1.597222221607808E-2</v>
      </c>
      <c r="O631" s="19" t="s">
        <v>50</v>
      </c>
      <c r="P631" s="19" t="s">
        <v>4765</v>
      </c>
      <c r="Q631" s="19" t="s">
        <v>4766</v>
      </c>
      <c r="R631" s="19"/>
      <c r="S631" s="19"/>
      <c r="U631" s="19"/>
      <c r="W631" s="19"/>
      <c r="X631" s="19" t="s">
        <v>53</v>
      </c>
      <c r="Y631" s="27" t="s">
        <v>133</v>
      </c>
      <c r="Z631" s="27" t="s">
        <v>4767</v>
      </c>
      <c r="AA631" s="27" t="s">
        <v>4768</v>
      </c>
      <c r="AB631" s="27" t="s">
        <v>4769</v>
      </c>
      <c r="AC631" s="37" t="s">
        <v>4770</v>
      </c>
      <c r="AD631" s="38" t="s">
        <v>4771</v>
      </c>
      <c r="AE631" s="36">
        <v>45931</v>
      </c>
      <c r="AF631" s="19" t="s">
        <v>293</v>
      </c>
      <c r="AG631" s="19" t="s">
        <v>294</v>
      </c>
      <c r="AH631" s="19" t="s">
        <v>62</v>
      </c>
      <c r="AI631" s="19" t="s">
        <v>63</v>
      </c>
      <c r="AJ631" s="19" t="s">
        <v>4772</v>
      </c>
      <c r="AK631" s="19"/>
      <c r="AL631" s="19"/>
      <c r="AM631" s="19"/>
      <c r="AN631" s="19" t="s">
        <v>65</v>
      </c>
      <c r="AO631" s="23">
        <v>45933.556944444441</v>
      </c>
      <c r="AP631" s="26">
        <f t="shared" si="21"/>
        <v>23</v>
      </c>
    </row>
    <row r="632" spans="1:42" ht="25.5" hidden="1" customHeight="1">
      <c r="A632" s="19" t="s">
        <v>285</v>
      </c>
      <c r="B632" s="19" t="s">
        <v>4773</v>
      </c>
      <c r="C632" s="19" t="s">
        <v>4774</v>
      </c>
      <c r="D632" s="19" t="s">
        <v>45</v>
      </c>
      <c r="E632" s="19" t="s">
        <v>46</v>
      </c>
      <c r="F632" s="19" t="s">
        <v>4775</v>
      </c>
      <c r="G632" s="19" t="s">
        <v>48</v>
      </c>
      <c r="H632" s="19" t="s">
        <v>49</v>
      </c>
      <c r="I632" s="20">
        <v>45934.513888888891</v>
      </c>
      <c r="K632" s="19"/>
      <c r="L632" s="20">
        <v>45934.590277777781</v>
      </c>
      <c r="M632" s="19"/>
      <c r="N632" s="22">
        <f t="shared" si="20"/>
        <v>7.6388888890505768E-2</v>
      </c>
      <c r="O632" s="19" t="s">
        <v>50</v>
      </c>
      <c r="P632" s="19" t="s">
        <v>4776</v>
      </c>
      <c r="Q632" s="19" t="s">
        <v>4777</v>
      </c>
      <c r="R632" s="19"/>
      <c r="S632" s="19"/>
      <c r="U632" s="19"/>
      <c r="W632" s="19"/>
      <c r="X632" s="19" t="s">
        <v>258</v>
      </c>
      <c r="Y632" s="27" t="s">
        <v>133</v>
      </c>
      <c r="Z632" s="27" t="s">
        <v>4778</v>
      </c>
      <c r="AA632" s="27" t="s">
        <v>4779</v>
      </c>
      <c r="AB632" s="27" t="s">
        <v>4780</v>
      </c>
      <c r="AC632" s="37" t="s">
        <v>4781</v>
      </c>
      <c r="AD632" s="38" t="s">
        <v>4782</v>
      </c>
      <c r="AE632" s="36">
        <v>45931</v>
      </c>
      <c r="AF632" s="19" t="s">
        <v>293</v>
      </c>
      <c r="AG632" s="19" t="s">
        <v>294</v>
      </c>
      <c r="AH632" s="19" t="s">
        <v>62</v>
      </c>
      <c r="AI632" s="19" t="s">
        <v>63</v>
      </c>
      <c r="AJ632" s="19" t="s">
        <v>4783</v>
      </c>
      <c r="AK632" s="19"/>
      <c r="AL632" s="19"/>
      <c r="AM632" s="19"/>
      <c r="AN632" s="19" t="s">
        <v>65</v>
      </c>
      <c r="AO632" s="23">
        <v>45934.513888888891</v>
      </c>
      <c r="AP632" s="26">
        <f t="shared" si="21"/>
        <v>110</v>
      </c>
    </row>
    <row r="633" spans="1:42" ht="25.5" hidden="1" customHeight="1">
      <c r="A633" s="19" t="s">
        <v>42</v>
      </c>
      <c r="B633" s="19" t="s">
        <v>186</v>
      </c>
      <c r="C633" s="19" t="s">
        <v>3818</v>
      </c>
      <c r="D633" s="19" t="s">
        <v>45</v>
      </c>
      <c r="E633" s="19" t="s">
        <v>46</v>
      </c>
      <c r="F633" s="19" t="s">
        <v>4784</v>
      </c>
      <c r="G633" s="19" t="s">
        <v>48</v>
      </c>
      <c r="H633" s="19" t="s">
        <v>49</v>
      </c>
      <c r="I633" s="20">
        <v>45936.431250000001</v>
      </c>
      <c r="K633" s="19"/>
      <c r="L633" s="20">
        <v>45936.75</v>
      </c>
      <c r="M633" s="19"/>
      <c r="N633" s="22">
        <f t="shared" si="20"/>
        <v>0.31874999999854481</v>
      </c>
      <c r="O633" s="19" t="s">
        <v>63</v>
      </c>
      <c r="P633" s="19" t="s">
        <v>4785</v>
      </c>
      <c r="Q633" s="19" t="s">
        <v>4786</v>
      </c>
      <c r="R633" s="19"/>
      <c r="S633" s="19"/>
      <c r="U633" s="19"/>
      <c r="W633" s="19"/>
      <c r="X633" s="19" t="s">
        <v>1589</v>
      </c>
      <c r="Y633" s="27" t="s">
        <v>147</v>
      </c>
      <c r="Z633" s="27" t="s">
        <v>78</v>
      </c>
      <c r="AA633" s="27" t="s">
        <v>78</v>
      </c>
      <c r="AB633" s="27" t="s">
        <v>78</v>
      </c>
      <c r="AC633" s="37" t="s">
        <v>78</v>
      </c>
      <c r="AD633" s="38" t="s">
        <v>78</v>
      </c>
      <c r="AE633" s="36">
        <v>45931</v>
      </c>
      <c r="AF633" s="19" t="s">
        <v>60</v>
      </c>
      <c r="AG633" s="19" t="s">
        <v>61</v>
      </c>
      <c r="AH633" s="19" t="s">
        <v>164</v>
      </c>
      <c r="AI633" s="19" t="s">
        <v>63</v>
      </c>
      <c r="AJ633" s="19" t="s">
        <v>4787</v>
      </c>
      <c r="AK633" s="19"/>
      <c r="AL633" s="19"/>
      <c r="AM633" s="19"/>
      <c r="AN633" s="19" t="s">
        <v>65</v>
      </c>
      <c r="AO633" s="23">
        <v>45936.431250000001</v>
      </c>
      <c r="AP633" s="26">
        <f t="shared" si="21"/>
        <v>459</v>
      </c>
    </row>
    <row r="634" spans="1:42" ht="25.5" hidden="1" customHeight="1">
      <c r="A634" s="19" t="s">
        <v>92</v>
      </c>
      <c r="B634" s="19" t="s">
        <v>599</v>
      </c>
      <c r="C634" s="19" t="s">
        <v>105</v>
      </c>
      <c r="D634" s="19" t="s">
        <v>45</v>
      </c>
      <c r="E634" s="19" t="s">
        <v>46</v>
      </c>
      <c r="F634" s="19" t="s">
        <v>4788</v>
      </c>
      <c r="G634" s="19" t="s">
        <v>48</v>
      </c>
      <c r="H634" s="19" t="s">
        <v>49</v>
      </c>
      <c r="I634" s="20">
        <v>45936.469444444447</v>
      </c>
      <c r="K634" s="19"/>
      <c r="L634" s="20">
        <v>45936.645833333343</v>
      </c>
      <c r="M634" s="19"/>
      <c r="N634" s="22">
        <f t="shared" si="20"/>
        <v>0.17638888889632653</v>
      </c>
      <c r="O634" s="19" t="s">
        <v>50</v>
      </c>
      <c r="P634" s="19" t="s">
        <v>4789</v>
      </c>
      <c r="Q634" s="19" t="s">
        <v>4790</v>
      </c>
      <c r="R634" s="19"/>
      <c r="S634" s="19"/>
      <c r="U634" s="19"/>
      <c r="W634" s="19"/>
      <c r="X634" s="19" t="s">
        <v>109</v>
      </c>
      <c r="Y634" s="27" t="s">
        <v>54</v>
      </c>
      <c r="Z634" s="27" t="s">
        <v>838</v>
      </c>
      <c r="AA634" s="27" t="s">
        <v>4791</v>
      </c>
      <c r="AB634" s="27" t="s">
        <v>4792</v>
      </c>
      <c r="AC634" s="37" t="s">
        <v>4793</v>
      </c>
      <c r="AD634" s="38" t="s">
        <v>4794</v>
      </c>
      <c r="AE634" s="36">
        <v>45931</v>
      </c>
      <c r="AF634" s="19" t="s">
        <v>99</v>
      </c>
      <c r="AG634" s="19" t="s">
        <v>100</v>
      </c>
      <c r="AH634" s="19" t="s">
        <v>62</v>
      </c>
      <c r="AI634" s="19" t="s">
        <v>63</v>
      </c>
      <c r="AJ634" s="19" t="s">
        <v>4795</v>
      </c>
      <c r="AK634" s="19" t="s">
        <v>4796</v>
      </c>
      <c r="AL634" s="19"/>
      <c r="AM634" s="19"/>
      <c r="AN634" s="19" t="s">
        <v>103</v>
      </c>
      <c r="AO634" s="23">
        <v>45936.469444444447</v>
      </c>
      <c r="AP634" s="26">
        <f t="shared" si="21"/>
        <v>254</v>
      </c>
    </row>
    <row r="635" spans="1:42" ht="25.5" hidden="1" customHeight="1">
      <c r="A635" s="19" t="s">
        <v>42</v>
      </c>
      <c r="B635" s="19" t="s">
        <v>1407</v>
      </c>
      <c r="C635" s="19" t="s">
        <v>129</v>
      </c>
      <c r="D635" s="19" t="s">
        <v>45</v>
      </c>
      <c r="E635" s="19" t="s">
        <v>46</v>
      </c>
      <c r="F635" s="19" t="s">
        <v>4797</v>
      </c>
      <c r="G635" s="19" t="s">
        <v>48</v>
      </c>
      <c r="H635" s="19" t="s">
        <v>49</v>
      </c>
      <c r="I635" s="20">
        <v>45936.65</v>
      </c>
      <c r="K635" s="19"/>
      <c r="L635" s="20">
        <v>45936.674305555563</v>
      </c>
      <c r="M635" s="19"/>
      <c r="N635" s="22">
        <f t="shared" si="20"/>
        <v>2.4305555562023073E-2</v>
      </c>
      <c r="O635" s="19" t="s">
        <v>63</v>
      </c>
      <c r="P635" s="19" t="s">
        <v>4798</v>
      </c>
      <c r="Q635" s="19" t="s">
        <v>4799</v>
      </c>
      <c r="R635" s="19"/>
      <c r="S635" s="19"/>
      <c r="U635" s="19"/>
      <c r="W635" s="19"/>
      <c r="X635" s="19" t="s">
        <v>109</v>
      </c>
      <c r="Y635" s="27" t="s">
        <v>54</v>
      </c>
      <c r="Z635" s="27" t="s">
        <v>1852</v>
      </c>
      <c r="AA635" s="27" t="s">
        <v>4800</v>
      </c>
      <c r="AB635" s="27" t="s">
        <v>4801</v>
      </c>
      <c r="AC635" s="37" t="s">
        <v>4802</v>
      </c>
      <c r="AD635" s="38" t="s">
        <v>4803</v>
      </c>
      <c r="AE635" s="36">
        <v>45931</v>
      </c>
      <c r="AF635" s="19" t="s">
        <v>89</v>
      </c>
      <c r="AG635" s="19" t="s">
        <v>90</v>
      </c>
      <c r="AH635" s="19" t="s">
        <v>62</v>
      </c>
      <c r="AI635" s="19" t="s">
        <v>63</v>
      </c>
      <c r="AJ635" s="19" t="s">
        <v>4804</v>
      </c>
      <c r="AK635" s="19"/>
      <c r="AL635" s="19"/>
      <c r="AM635" s="19"/>
      <c r="AN635" s="19" t="s">
        <v>103</v>
      </c>
      <c r="AO635" s="23">
        <v>45936.65</v>
      </c>
      <c r="AP635" s="26">
        <f t="shared" si="21"/>
        <v>35</v>
      </c>
    </row>
    <row r="636" spans="1:42" ht="25.5" hidden="1" customHeight="1">
      <c r="A636" s="19" t="s">
        <v>42</v>
      </c>
      <c r="B636" s="19" t="s">
        <v>1338</v>
      </c>
      <c r="C636" s="19" t="s">
        <v>1339</v>
      </c>
      <c r="D636" s="19" t="s">
        <v>45</v>
      </c>
      <c r="E636" s="19" t="s">
        <v>46</v>
      </c>
      <c r="F636" s="19" t="s">
        <v>4805</v>
      </c>
      <c r="G636" s="19" t="s">
        <v>48</v>
      </c>
      <c r="H636" s="19" t="s">
        <v>49</v>
      </c>
      <c r="I636" s="20">
        <v>45937.258333333331</v>
      </c>
      <c r="K636" s="19"/>
      <c r="L636" s="20">
        <v>45937.3125</v>
      </c>
      <c r="M636" s="19"/>
      <c r="N636" s="22">
        <f t="shared" si="20"/>
        <v>5.4166666668606922E-2</v>
      </c>
      <c r="O636" s="19" t="s">
        <v>50</v>
      </c>
      <c r="P636" s="19" t="s">
        <v>4806</v>
      </c>
      <c r="Q636" s="19" t="s">
        <v>4807</v>
      </c>
      <c r="R636" s="19"/>
      <c r="S636" s="19"/>
      <c r="U636" s="19"/>
      <c r="W636" s="19"/>
      <c r="X636" s="19" t="s">
        <v>509</v>
      </c>
      <c r="Y636" s="27" t="s">
        <v>147</v>
      </c>
      <c r="Z636" s="27" t="s">
        <v>78</v>
      </c>
      <c r="AA636" s="27" t="s">
        <v>78</v>
      </c>
      <c r="AB636" s="27" t="s">
        <v>78</v>
      </c>
      <c r="AC636" s="37" t="s">
        <v>78</v>
      </c>
      <c r="AD636" s="38" t="s">
        <v>78</v>
      </c>
      <c r="AE636" s="36">
        <v>45931</v>
      </c>
      <c r="AF636" s="19" t="s">
        <v>60</v>
      </c>
      <c r="AG636" s="19" t="s">
        <v>61</v>
      </c>
      <c r="AH636" s="19" t="s">
        <v>62</v>
      </c>
      <c r="AI636" s="19" t="s">
        <v>63</v>
      </c>
      <c r="AJ636" s="19" t="s">
        <v>4808</v>
      </c>
      <c r="AK636" s="19"/>
      <c r="AL636" s="19"/>
      <c r="AM636" s="19"/>
      <c r="AN636" s="19" t="s">
        <v>65</v>
      </c>
      <c r="AO636" s="23">
        <v>45937.258333333331</v>
      </c>
      <c r="AP636" s="26">
        <f t="shared" si="21"/>
        <v>78</v>
      </c>
    </row>
    <row r="637" spans="1:42" ht="25.5" hidden="1" customHeight="1">
      <c r="A637" s="19" t="s">
        <v>42</v>
      </c>
      <c r="B637" s="19" t="s">
        <v>4510</v>
      </c>
      <c r="C637" s="19" t="s">
        <v>265</v>
      </c>
      <c r="D637" s="19" t="s">
        <v>45</v>
      </c>
      <c r="E637" s="19" t="s">
        <v>46</v>
      </c>
      <c r="F637" s="19" t="s">
        <v>4809</v>
      </c>
      <c r="G637" s="19" t="s">
        <v>48</v>
      </c>
      <c r="H637" s="19" t="s">
        <v>49</v>
      </c>
      <c r="I637" s="20">
        <v>45937.395833333343</v>
      </c>
      <c r="K637" s="19"/>
      <c r="L637" s="20">
        <v>45937.475694444453</v>
      </c>
      <c r="M637" s="19"/>
      <c r="N637" s="22">
        <f t="shared" si="20"/>
        <v>7.9861111109494232E-2</v>
      </c>
      <c r="O637" s="19" t="s">
        <v>50</v>
      </c>
      <c r="P637" s="19" t="s">
        <v>4810</v>
      </c>
      <c r="Q637" s="19" t="s">
        <v>4811</v>
      </c>
      <c r="R637" s="19"/>
      <c r="S637" s="19"/>
      <c r="U637" s="19"/>
      <c r="W637" s="19"/>
      <c r="X637" s="19" t="s">
        <v>314</v>
      </c>
      <c r="Y637" s="27" t="s">
        <v>54</v>
      </c>
      <c r="Z637" s="27" t="s">
        <v>4812</v>
      </c>
      <c r="AA637" s="27" t="s">
        <v>4813</v>
      </c>
      <c r="AB637" s="27" t="s">
        <v>4814</v>
      </c>
      <c r="AC637" s="37" t="s">
        <v>4815</v>
      </c>
      <c r="AD637" s="38" t="s">
        <v>4816</v>
      </c>
      <c r="AE637" s="36">
        <v>45931</v>
      </c>
      <c r="AF637" s="19" t="s">
        <v>60</v>
      </c>
      <c r="AG637" s="19" t="s">
        <v>78</v>
      </c>
      <c r="AH637" s="19" t="s">
        <v>62</v>
      </c>
      <c r="AI637" s="19" t="s">
        <v>63</v>
      </c>
      <c r="AJ637" s="19" t="s">
        <v>4817</v>
      </c>
      <c r="AK637" s="19"/>
      <c r="AL637" s="19"/>
      <c r="AM637" s="19"/>
      <c r="AN637" s="19" t="s">
        <v>103</v>
      </c>
      <c r="AO637" s="23">
        <v>45937.395833333343</v>
      </c>
      <c r="AP637" s="26">
        <f t="shared" si="21"/>
        <v>115</v>
      </c>
    </row>
    <row r="638" spans="1:42" ht="25.5" hidden="1" customHeight="1">
      <c r="A638" s="19" t="s">
        <v>285</v>
      </c>
      <c r="C638" s="19" t="s">
        <v>1903</v>
      </c>
      <c r="D638" s="19" t="s">
        <v>45</v>
      </c>
      <c r="E638" s="19" t="s">
        <v>46</v>
      </c>
      <c r="F638" s="19" t="s">
        <v>4818</v>
      </c>
      <c r="G638" s="19" t="s">
        <v>48</v>
      </c>
      <c r="H638" s="19" t="s">
        <v>49</v>
      </c>
      <c r="I638" s="20">
        <v>45937.406944444447</v>
      </c>
      <c r="K638" s="19"/>
      <c r="L638" s="20">
        <v>45937.482638888891</v>
      </c>
      <c r="M638" s="19"/>
      <c r="N638" s="22">
        <f t="shared" si="20"/>
        <v>7.5694444443797693E-2</v>
      </c>
      <c r="O638" s="19" t="s">
        <v>63</v>
      </c>
      <c r="P638" s="19" t="s">
        <v>4819</v>
      </c>
      <c r="Q638" s="19" t="s">
        <v>4820</v>
      </c>
      <c r="R638" s="19"/>
      <c r="S638" s="19"/>
      <c r="U638" s="19"/>
      <c r="W638" s="19"/>
      <c r="X638" s="19" t="s">
        <v>98</v>
      </c>
      <c r="Y638" s="27" t="s">
        <v>133</v>
      </c>
      <c r="Z638" s="27" t="s">
        <v>414</v>
      </c>
      <c r="AA638" s="27" t="s">
        <v>4821</v>
      </c>
      <c r="AB638" s="27" t="s">
        <v>4822</v>
      </c>
      <c r="AC638" s="37" t="s">
        <v>4823</v>
      </c>
      <c r="AD638" s="38" t="s">
        <v>1116</v>
      </c>
      <c r="AE638" s="36">
        <v>45931</v>
      </c>
      <c r="AF638" s="19" t="s">
        <v>293</v>
      </c>
      <c r="AG638" s="19" t="s">
        <v>294</v>
      </c>
      <c r="AH638" s="19" t="s">
        <v>62</v>
      </c>
      <c r="AI638" s="19" t="s">
        <v>63</v>
      </c>
      <c r="AJ638" s="19" t="s">
        <v>4824</v>
      </c>
      <c r="AK638" s="19"/>
      <c r="AL638" s="19"/>
      <c r="AM638" s="19"/>
      <c r="AN638" s="19" t="s">
        <v>65</v>
      </c>
      <c r="AO638" s="23">
        <v>45937.406944444447</v>
      </c>
      <c r="AP638" s="26">
        <f t="shared" si="21"/>
        <v>109</v>
      </c>
    </row>
    <row r="639" spans="1:42" ht="25.5" hidden="1" customHeight="1">
      <c r="A639" s="19" t="s">
        <v>42</v>
      </c>
      <c r="B639" s="19" t="s">
        <v>4825</v>
      </c>
      <c r="C639" s="19" t="s">
        <v>105</v>
      </c>
      <c r="D639" s="19" t="s">
        <v>45</v>
      </c>
      <c r="E639" s="19" t="s">
        <v>1038</v>
      </c>
      <c r="F639" s="19" t="s">
        <v>4826</v>
      </c>
      <c r="G639" s="19" t="s">
        <v>48</v>
      </c>
      <c r="H639" s="19" t="s">
        <v>49</v>
      </c>
      <c r="I639" s="20">
        <v>45937.458333333343</v>
      </c>
      <c r="K639" s="19"/>
      <c r="L639" s="20">
        <v>45937.486111111109</v>
      </c>
      <c r="M639" s="19"/>
      <c r="N639" s="22">
        <f t="shared" si="20"/>
        <v>2.7777777766459621E-2</v>
      </c>
      <c r="O639" s="19" t="s">
        <v>50</v>
      </c>
      <c r="P639" s="19" t="s">
        <v>4827</v>
      </c>
      <c r="Q639" s="19" t="s">
        <v>4828</v>
      </c>
      <c r="R639" s="19"/>
      <c r="S639" s="19"/>
      <c r="U639" s="19"/>
      <c r="W639" s="19"/>
      <c r="X639" s="19" t="s">
        <v>109</v>
      </c>
      <c r="Y639" s="27" t="s">
        <v>133</v>
      </c>
      <c r="Z639" s="27" t="s">
        <v>4829</v>
      </c>
      <c r="AA639" s="27" t="s">
        <v>4830</v>
      </c>
      <c r="AB639" s="27" t="s">
        <v>4831</v>
      </c>
      <c r="AC639" s="37" t="s">
        <v>4832</v>
      </c>
      <c r="AD639" s="38" t="s">
        <v>4833</v>
      </c>
      <c r="AE639" s="36">
        <v>45931</v>
      </c>
      <c r="AF639" s="19" t="s">
        <v>89</v>
      </c>
      <c r="AG639" s="19" t="s">
        <v>90</v>
      </c>
      <c r="AH639" s="19" t="s">
        <v>62</v>
      </c>
      <c r="AI639" s="19" t="s">
        <v>63</v>
      </c>
      <c r="AJ639" s="19" t="s">
        <v>4834</v>
      </c>
      <c r="AK639" s="19"/>
      <c r="AL639" s="19"/>
      <c r="AM639" s="19"/>
      <c r="AN639" s="19" t="s">
        <v>103</v>
      </c>
      <c r="AO639" s="23">
        <v>45937.458333333343</v>
      </c>
      <c r="AP639" s="26">
        <f t="shared" si="21"/>
        <v>40</v>
      </c>
    </row>
    <row r="640" spans="1:42" ht="25.5" hidden="1" customHeight="1">
      <c r="A640" s="19" t="s">
        <v>42</v>
      </c>
      <c r="C640" s="19" t="s">
        <v>2655</v>
      </c>
      <c r="D640" s="19" t="s">
        <v>45</v>
      </c>
      <c r="E640" s="19" t="s">
        <v>46</v>
      </c>
      <c r="F640" s="19" t="s">
        <v>4835</v>
      </c>
      <c r="G640" s="19" t="s">
        <v>48</v>
      </c>
      <c r="H640" s="19" t="s">
        <v>49</v>
      </c>
      <c r="I640" s="20">
        <v>45937.5</v>
      </c>
      <c r="K640" s="19"/>
      <c r="L640" s="20">
        <v>45937.513888888891</v>
      </c>
      <c r="M640" s="19"/>
      <c r="N640" s="22">
        <f t="shared" si="20"/>
        <v>1.3888888890505768E-2</v>
      </c>
      <c r="O640" s="19" t="s">
        <v>63</v>
      </c>
      <c r="P640" s="19" t="s">
        <v>4083</v>
      </c>
      <c r="Q640" s="19" t="s">
        <v>4836</v>
      </c>
      <c r="R640" s="19"/>
      <c r="S640" s="19"/>
      <c r="U640" s="19"/>
      <c r="W640" s="19"/>
      <c r="X640" s="19" t="s">
        <v>2659</v>
      </c>
      <c r="Y640" s="27" t="s">
        <v>147</v>
      </c>
      <c r="Z640" s="27" t="s">
        <v>147</v>
      </c>
      <c r="AA640" s="27" t="s">
        <v>78</v>
      </c>
      <c r="AB640" s="27" t="s">
        <v>78</v>
      </c>
      <c r="AC640" s="37" t="s">
        <v>78</v>
      </c>
      <c r="AD640" s="38" t="s">
        <v>78</v>
      </c>
      <c r="AE640" s="36">
        <v>45931</v>
      </c>
      <c r="AF640" s="19" t="s">
        <v>99</v>
      </c>
      <c r="AG640" s="19" t="s">
        <v>100</v>
      </c>
      <c r="AH640" s="19" t="s">
        <v>62</v>
      </c>
      <c r="AI640" s="19" t="s">
        <v>63</v>
      </c>
      <c r="AJ640" s="19" t="s">
        <v>4085</v>
      </c>
      <c r="AK640" s="19"/>
      <c r="AL640" s="19"/>
      <c r="AM640" s="19"/>
      <c r="AN640" s="19" t="s">
        <v>65</v>
      </c>
      <c r="AO640" s="23">
        <v>45937.5</v>
      </c>
      <c r="AP640" s="26">
        <f t="shared" si="21"/>
        <v>20</v>
      </c>
    </row>
    <row r="641" spans="1:42" ht="25.5" hidden="1" customHeight="1">
      <c r="A641" s="19" t="s">
        <v>42</v>
      </c>
      <c r="B641" s="19" t="s">
        <v>4837</v>
      </c>
      <c r="C641" s="19" t="s">
        <v>336</v>
      </c>
      <c r="D641" s="19" t="s">
        <v>45</v>
      </c>
      <c r="E641" s="19" t="s">
        <v>46</v>
      </c>
      <c r="F641" s="19" t="s">
        <v>4838</v>
      </c>
      <c r="G641" s="19" t="s">
        <v>48</v>
      </c>
      <c r="H641" s="19" t="s">
        <v>49</v>
      </c>
      <c r="I641" s="20">
        <v>45937.554861111108</v>
      </c>
      <c r="K641" s="19"/>
      <c r="L641" s="20">
        <v>45937.638888888891</v>
      </c>
      <c r="M641" s="19"/>
      <c r="N641" s="22">
        <f t="shared" si="20"/>
        <v>8.4027777782466728E-2</v>
      </c>
      <c r="O641" s="19" t="s">
        <v>50</v>
      </c>
      <c r="P641" s="19" t="s">
        <v>4839</v>
      </c>
      <c r="Q641" s="19" t="s">
        <v>4840</v>
      </c>
      <c r="R641" s="19"/>
      <c r="S641" s="19"/>
      <c r="U641" s="19"/>
      <c r="W641" s="19"/>
      <c r="X641" s="19" t="s">
        <v>314</v>
      </c>
      <c r="Y641" s="27" t="s">
        <v>147</v>
      </c>
      <c r="Z641" s="27" t="s">
        <v>147</v>
      </c>
      <c r="AA641" s="27" t="s">
        <v>78</v>
      </c>
      <c r="AB641" s="27" t="s">
        <v>78</v>
      </c>
      <c r="AC641" s="37" t="s">
        <v>78</v>
      </c>
      <c r="AD641" s="38" t="s">
        <v>78</v>
      </c>
      <c r="AE641" s="36">
        <v>45931</v>
      </c>
      <c r="AF641" s="19" t="s">
        <v>99</v>
      </c>
      <c r="AG641" s="19" t="s">
        <v>100</v>
      </c>
      <c r="AH641" s="19" t="s">
        <v>62</v>
      </c>
      <c r="AI641" s="19" t="s">
        <v>63</v>
      </c>
      <c r="AJ641" s="19" t="s">
        <v>4841</v>
      </c>
      <c r="AK641" s="19" t="s">
        <v>4842</v>
      </c>
      <c r="AL641" s="19"/>
      <c r="AM641" s="19"/>
      <c r="AN641" s="19" t="s">
        <v>65</v>
      </c>
      <c r="AO641" s="23">
        <v>45937.554861111108</v>
      </c>
      <c r="AP641" s="26">
        <f t="shared" si="21"/>
        <v>121</v>
      </c>
    </row>
    <row r="642" spans="1:42" ht="25.5" hidden="1" customHeight="1">
      <c r="A642" s="19" t="s">
        <v>42</v>
      </c>
      <c r="C642" s="19" t="s">
        <v>430</v>
      </c>
      <c r="D642" s="19" t="s">
        <v>45</v>
      </c>
      <c r="E642" s="19" t="s">
        <v>46</v>
      </c>
      <c r="F642" s="19" t="s">
        <v>4843</v>
      </c>
      <c r="G642" s="19" t="s">
        <v>48</v>
      </c>
      <c r="H642" s="19" t="s">
        <v>49</v>
      </c>
      <c r="I642" s="20">
        <v>45938.3125</v>
      </c>
      <c r="K642" s="19"/>
      <c r="L642" s="20">
        <v>45938.354166666657</v>
      </c>
      <c r="M642" s="19"/>
      <c r="N642" s="22">
        <f t="shared" si="20"/>
        <v>4.166666665696539E-2</v>
      </c>
      <c r="O642" s="19" t="s">
        <v>63</v>
      </c>
      <c r="P642" s="19" t="s">
        <v>4844</v>
      </c>
      <c r="Q642" s="19" t="s">
        <v>4845</v>
      </c>
      <c r="R642" s="19"/>
      <c r="S642" s="19"/>
      <c r="U642" s="19"/>
      <c r="W642" s="19"/>
      <c r="X642" s="19" t="s">
        <v>434</v>
      </c>
      <c r="Y642" s="27" t="s">
        <v>54</v>
      </c>
      <c r="Z642" s="27" t="s">
        <v>414</v>
      </c>
      <c r="AA642" s="27" t="s">
        <v>4846</v>
      </c>
      <c r="AB642" s="27" t="s">
        <v>4847</v>
      </c>
      <c r="AC642" s="37">
        <v>45938.240972222222</v>
      </c>
      <c r="AD642" s="38" t="s">
        <v>861</v>
      </c>
      <c r="AE642" s="36">
        <v>45931</v>
      </c>
      <c r="AF642" s="19" t="s">
        <v>78</v>
      </c>
      <c r="AG642" s="19" t="s">
        <v>78</v>
      </c>
      <c r="AH642" s="19" t="s">
        <v>78</v>
      </c>
      <c r="AI642" s="19" t="s">
        <v>63</v>
      </c>
      <c r="AJ642" s="19" t="s">
        <v>4848</v>
      </c>
      <c r="AK642" s="19"/>
      <c r="AL642" s="19"/>
      <c r="AM642" s="19"/>
      <c r="AN642" s="19" t="s">
        <v>65</v>
      </c>
      <c r="AO642" s="23">
        <v>45938.3125</v>
      </c>
      <c r="AP642" s="26">
        <f t="shared" si="21"/>
        <v>60</v>
      </c>
    </row>
    <row r="643" spans="1:42" ht="25.5" hidden="1" customHeight="1">
      <c r="A643" s="19" t="s">
        <v>285</v>
      </c>
      <c r="B643" s="19" t="s">
        <v>186</v>
      </c>
      <c r="C643" s="19" t="s">
        <v>577</v>
      </c>
      <c r="D643" s="19" t="s">
        <v>45</v>
      </c>
      <c r="E643" s="19" t="s">
        <v>46</v>
      </c>
      <c r="F643" s="19" t="s">
        <v>4849</v>
      </c>
      <c r="G643" s="19" t="s">
        <v>48</v>
      </c>
      <c r="H643" s="19" t="s">
        <v>49</v>
      </c>
      <c r="I643" s="20">
        <v>45938.386805555558</v>
      </c>
      <c r="K643" s="19"/>
      <c r="L643" s="20">
        <v>45938.444444444453</v>
      </c>
      <c r="M643" s="19"/>
      <c r="N643" s="22">
        <f t="shared" si="20"/>
        <v>5.7638888894871343E-2</v>
      </c>
      <c r="O643" s="19" t="s">
        <v>63</v>
      </c>
      <c r="P643" s="19" t="s">
        <v>4850</v>
      </c>
      <c r="Q643" s="19" t="s">
        <v>4851</v>
      </c>
      <c r="R643" s="19"/>
      <c r="S643" s="19"/>
      <c r="U643" s="19"/>
      <c r="W643" s="19"/>
      <c r="X643" s="19" t="s">
        <v>191</v>
      </c>
      <c r="Y643" s="27" t="s">
        <v>54</v>
      </c>
      <c r="Z643" s="27" t="s">
        <v>414</v>
      </c>
      <c r="AA643" s="27" t="s">
        <v>4852</v>
      </c>
      <c r="AB643" s="27" t="s">
        <v>4853</v>
      </c>
      <c r="AC643" s="37">
        <v>45938.965277777781</v>
      </c>
      <c r="AD643" s="38">
        <v>45938.990972222222</v>
      </c>
      <c r="AE643" s="36">
        <v>45931</v>
      </c>
      <c r="AF643" s="19" t="s">
        <v>89</v>
      </c>
      <c r="AG643" s="19" t="s">
        <v>90</v>
      </c>
      <c r="AH643" s="19" t="s">
        <v>62</v>
      </c>
      <c r="AI643" s="19" t="s">
        <v>63</v>
      </c>
      <c r="AJ643" s="19" t="s">
        <v>4854</v>
      </c>
      <c r="AK643" s="19"/>
      <c r="AL643" s="19"/>
      <c r="AM643" s="19"/>
      <c r="AN643" s="19" t="s">
        <v>65</v>
      </c>
      <c r="AO643" s="23">
        <v>45938.386805555558</v>
      </c>
      <c r="AP643" s="26">
        <f t="shared" si="21"/>
        <v>83</v>
      </c>
    </row>
    <row r="644" spans="1:42" ht="25.5" hidden="1" customHeight="1">
      <c r="A644" s="19" t="s">
        <v>42</v>
      </c>
      <c r="B644" s="19" t="s">
        <v>4855</v>
      </c>
      <c r="C644" s="19" t="s">
        <v>4856</v>
      </c>
      <c r="D644" s="19" t="s">
        <v>45</v>
      </c>
      <c r="E644" s="19" t="s">
        <v>46</v>
      </c>
      <c r="F644" s="19" t="s">
        <v>4857</v>
      </c>
      <c r="G644" s="19" t="s">
        <v>48</v>
      </c>
      <c r="H644" s="19" t="s">
        <v>49</v>
      </c>
      <c r="I644" s="20">
        <v>45938.486111111109</v>
      </c>
      <c r="K644" s="19"/>
      <c r="L644" s="20">
        <v>45938.532638888893</v>
      </c>
      <c r="M644" s="19"/>
      <c r="N644" s="22">
        <f t="shared" si="20"/>
        <v>4.652777778392192E-2</v>
      </c>
      <c r="O644" s="19" t="s">
        <v>50</v>
      </c>
      <c r="P644" s="19" t="s">
        <v>4858</v>
      </c>
      <c r="Q644" s="19" t="s">
        <v>4859</v>
      </c>
      <c r="R644" s="19"/>
      <c r="S644" s="19"/>
      <c r="U644" s="19"/>
      <c r="W644" s="19"/>
      <c r="X644" s="19" t="s">
        <v>662</v>
      </c>
      <c r="Y644" s="27" t="s">
        <v>147</v>
      </c>
      <c r="Z644" s="27" t="s">
        <v>147</v>
      </c>
      <c r="AA644" s="27" t="s">
        <v>78</v>
      </c>
      <c r="AB644" s="27" t="s">
        <v>78</v>
      </c>
      <c r="AC644" s="37" t="s">
        <v>78</v>
      </c>
      <c r="AD644" s="38" t="s">
        <v>78</v>
      </c>
      <c r="AE644" s="36">
        <v>45931</v>
      </c>
      <c r="AF644" s="19" t="s">
        <v>89</v>
      </c>
      <c r="AG644" s="19" t="s">
        <v>90</v>
      </c>
      <c r="AH644" s="19" t="s">
        <v>62</v>
      </c>
      <c r="AI644" s="19" t="s">
        <v>63</v>
      </c>
      <c r="AJ644" s="19" t="s">
        <v>4860</v>
      </c>
      <c r="AK644" s="19"/>
      <c r="AL644" s="19"/>
      <c r="AM644" s="19"/>
      <c r="AN644" s="19" t="s">
        <v>103</v>
      </c>
      <c r="AO644" s="23">
        <v>45938.486111111109</v>
      </c>
      <c r="AP644" s="26">
        <f t="shared" si="21"/>
        <v>67</v>
      </c>
    </row>
    <row r="645" spans="1:42" ht="25.5" hidden="1" customHeight="1">
      <c r="A645" s="19" t="s">
        <v>42</v>
      </c>
      <c r="B645" s="19" t="s">
        <v>403</v>
      </c>
      <c r="C645" s="19" t="s">
        <v>105</v>
      </c>
      <c r="D645" s="19" t="s">
        <v>45</v>
      </c>
      <c r="E645" s="19" t="s">
        <v>46</v>
      </c>
      <c r="F645" s="19" t="s">
        <v>4826</v>
      </c>
      <c r="G645" s="19" t="s">
        <v>226</v>
      </c>
      <c r="H645" s="19" t="s">
        <v>49</v>
      </c>
      <c r="I645" s="20">
        <v>45938.495833333327</v>
      </c>
      <c r="K645" s="19"/>
      <c r="L645" s="20">
        <v>45938.517361111109</v>
      </c>
      <c r="M645" s="19"/>
      <c r="N645" s="22">
        <f t="shared" si="20"/>
        <v>2.1527777782466728E-2</v>
      </c>
      <c r="O645" s="19" t="s">
        <v>50</v>
      </c>
      <c r="P645" s="19" t="s">
        <v>2636</v>
      </c>
      <c r="Q645" s="19" t="s">
        <v>4861</v>
      </c>
      <c r="R645" s="19"/>
      <c r="S645" s="19"/>
      <c r="U645" s="19"/>
      <c r="W645" s="19"/>
      <c r="X645" s="19" t="s">
        <v>109</v>
      </c>
      <c r="Y645" s="27" t="s">
        <v>133</v>
      </c>
      <c r="Z645" s="27" t="s">
        <v>414</v>
      </c>
      <c r="AA645" s="27" t="s">
        <v>4862</v>
      </c>
      <c r="AB645" s="27" t="s">
        <v>4863</v>
      </c>
      <c r="AC645" s="37">
        <v>45938.188194444447</v>
      </c>
      <c r="AD645" s="38">
        <v>45938.609722222223</v>
      </c>
      <c r="AE645" s="36">
        <v>45931</v>
      </c>
      <c r="AF645" s="19" t="s">
        <v>293</v>
      </c>
      <c r="AG645" s="19" t="s">
        <v>556</v>
      </c>
      <c r="AH645" s="19" t="s">
        <v>62</v>
      </c>
      <c r="AI645" s="19" t="s">
        <v>63</v>
      </c>
      <c r="AJ645" s="19" t="s">
        <v>4864</v>
      </c>
      <c r="AK645" s="19"/>
      <c r="AL645" s="19"/>
      <c r="AM645" s="19"/>
      <c r="AN645" s="19" t="s">
        <v>103</v>
      </c>
      <c r="AO645" s="23">
        <v>45938.495833333327</v>
      </c>
      <c r="AP645" s="26">
        <f t="shared" si="21"/>
        <v>31</v>
      </c>
    </row>
    <row r="646" spans="1:42" ht="25.5" hidden="1" customHeight="1">
      <c r="A646" s="19" t="s">
        <v>42</v>
      </c>
      <c r="B646" s="19" t="s">
        <v>186</v>
      </c>
      <c r="C646" s="19" t="s">
        <v>577</v>
      </c>
      <c r="D646" s="19" t="s">
        <v>45</v>
      </c>
      <c r="E646" s="19" t="s">
        <v>46</v>
      </c>
      <c r="F646" s="19" t="s">
        <v>4865</v>
      </c>
      <c r="G646" s="19" t="s">
        <v>48</v>
      </c>
      <c r="H646" s="19" t="s">
        <v>49</v>
      </c>
      <c r="I646" s="20">
        <v>45938.547222222223</v>
      </c>
      <c r="K646" s="19"/>
      <c r="L646" s="20">
        <v>45938.607638888891</v>
      </c>
      <c r="M646" s="19"/>
      <c r="N646" s="22">
        <f t="shared" si="20"/>
        <v>6.0416666667151731E-2</v>
      </c>
      <c r="O646" s="19" t="s">
        <v>63</v>
      </c>
      <c r="P646" s="19" t="s">
        <v>4866</v>
      </c>
      <c r="Q646" s="19" t="s">
        <v>4867</v>
      </c>
      <c r="R646" s="19"/>
      <c r="S646" s="19"/>
      <c r="U646" s="19"/>
      <c r="W646" s="19"/>
      <c r="X646" s="19" t="s">
        <v>191</v>
      </c>
      <c r="Y646" s="27" t="s">
        <v>147</v>
      </c>
      <c r="Z646" s="27" t="s">
        <v>147</v>
      </c>
      <c r="AA646" s="27" t="s">
        <v>78</v>
      </c>
      <c r="AB646" s="27" t="s">
        <v>78</v>
      </c>
      <c r="AC646" s="37" t="s">
        <v>78</v>
      </c>
      <c r="AD646" s="38" t="s">
        <v>78</v>
      </c>
      <c r="AE646" s="36">
        <v>45931</v>
      </c>
      <c r="AF646" s="19" t="s">
        <v>89</v>
      </c>
      <c r="AG646" s="19" t="s">
        <v>90</v>
      </c>
      <c r="AH646" s="19" t="s">
        <v>62</v>
      </c>
      <c r="AI646" s="19" t="s">
        <v>63</v>
      </c>
      <c r="AJ646" s="19" t="s">
        <v>4868</v>
      </c>
      <c r="AK646" s="19"/>
      <c r="AL646" s="19"/>
      <c r="AM646" s="19"/>
      <c r="AN646" s="19" t="s">
        <v>65</v>
      </c>
      <c r="AO646" s="23">
        <v>45938.547222222223</v>
      </c>
      <c r="AP646" s="26">
        <f t="shared" si="21"/>
        <v>87</v>
      </c>
    </row>
    <row r="647" spans="1:42" ht="25.5" hidden="1" customHeight="1">
      <c r="A647" s="19" t="s">
        <v>42</v>
      </c>
      <c r="B647" s="19" t="s">
        <v>4510</v>
      </c>
      <c r="C647" s="19" t="s">
        <v>336</v>
      </c>
      <c r="D647" s="19" t="s">
        <v>45</v>
      </c>
      <c r="E647" s="19" t="s">
        <v>356</v>
      </c>
      <c r="F647" s="19" t="s">
        <v>4869</v>
      </c>
      <c r="G647" s="19" t="s">
        <v>48</v>
      </c>
      <c r="H647" s="19" t="s">
        <v>49</v>
      </c>
      <c r="I647" s="20">
        <v>45938.604166666657</v>
      </c>
      <c r="K647" s="19"/>
      <c r="L647" s="20">
        <v>45938.613194444442</v>
      </c>
      <c r="M647" s="19"/>
      <c r="N647" s="22">
        <f t="shared" si="20"/>
        <v>9.0277777853771113E-3</v>
      </c>
      <c r="O647" s="19" t="s">
        <v>50</v>
      </c>
      <c r="P647" s="19" t="s">
        <v>4870</v>
      </c>
      <c r="Q647" s="19" t="s">
        <v>4871</v>
      </c>
      <c r="R647" s="19"/>
      <c r="S647" s="19"/>
      <c r="U647" s="19"/>
      <c r="W647" s="19"/>
      <c r="X647" s="19" t="s">
        <v>314</v>
      </c>
      <c r="Y647" s="27" t="s">
        <v>147</v>
      </c>
      <c r="Z647" s="27" t="s">
        <v>147</v>
      </c>
      <c r="AA647" s="27" t="s">
        <v>78</v>
      </c>
      <c r="AB647" s="27" t="s">
        <v>78</v>
      </c>
      <c r="AC647" s="37" t="s">
        <v>78</v>
      </c>
      <c r="AD647" s="38" t="s">
        <v>78</v>
      </c>
      <c r="AE647" s="36">
        <v>45931</v>
      </c>
      <c r="AF647" s="19" t="s">
        <v>89</v>
      </c>
      <c r="AG647" s="19" t="s">
        <v>90</v>
      </c>
      <c r="AH647" s="19" t="s">
        <v>62</v>
      </c>
      <c r="AI647" s="19" t="s">
        <v>63</v>
      </c>
      <c r="AJ647" s="19" t="s">
        <v>4872</v>
      </c>
      <c r="AK647" s="19"/>
      <c r="AL647" s="19"/>
      <c r="AM647" s="19"/>
      <c r="AN647" s="19" t="s">
        <v>103</v>
      </c>
      <c r="AO647" s="23">
        <v>45938.604166666657</v>
      </c>
      <c r="AP647" s="26">
        <f t="shared" si="21"/>
        <v>13</v>
      </c>
    </row>
    <row r="648" spans="1:42" ht="25.5" hidden="1" customHeight="1">
      <c r="A648" s="19" t="s">
        <v>42</v>
      </c>
      <c r="B648" s="19" t="s">
        <v>4510</v>
      </c>
      <c r="C648" s="19" t="s">
        <v>336</v>
      </c>
      <c r="D648" s="19" t="s">
        <v>45</v>
      </c>
      <c r="E648" s="19" t="s">
        <v>356</v>
      </c>
      <c r="F648" s="19" t="s">
        <v>4869</v>
      </c>
      <c r="G648" s="19" t="s">
        <v>226</v>
      </c>
      <c r="H648" s="19" t="s">
        <v>49</v>
      </c>
      <c r="I648" s="20">
        <v>45938.729861111111</v>
      </c>
      <c r="K648" s="19"/>
      <c r="L648" s="20">
        <v>45938.744444444441</v>
      </c>
      <c r="M648" s="19"/>
      <c r="N648" s="22">
        <f t="shared" si="20"/>
        <v>1.4583333329937886E-2</v>
      </c>
      <c r="O648" s="19" t="s">
        <v>50</v>
      </c>
      <c r="P648" s="19" t="s">
        <v>4870</v>
      </c>
      <c r="Q648" s="19" t="s">
        <v>4873</v>
      </c>
      <c r="R648" s="19"/>
      <c r="S648" s="19"/>
      <c r="U648" s="19"/>
      <c r="W648" s="19"/>
      <c r="X648" s="19" t="s">
        <v>314</v>
      </c>
      <c r="Y648" s="27" t="s">
        <v>147</v>
      </c>
      <c r="Z648" s="27" t="s">
        <v>147</v>
      </c>
      <c r="AA648" s="27" t="s">
        <v>78</v>
      </c>
      <c r="AB648" s="27" t="s">
        <v>78</v>
      </c>
      <c r="AC648" s="37" t="s">
        <v>78</v>
      </c>
      <c r="AD648" s="38" t="s">
        <v>78</v>
      </c>
      <c r="AE648" s="36">
        <v>45931</v>
      </c>
      <c r="AF648" s="19" t="s">
        <v>89</v>
      </c>
      <c r="AG648" s="19" t="s">
        <v>90</v>
      </c>
      <c r="AH648" s="19" t="s">
        <v>62</v>
      </c>
      <c r="AI648" s="19" t="s">
        <v>63</v>
      </c>
      <c r="AJ648" s="19" t="s">
        <v>4874</v>
      </c>
      <c r="AK648" s="19"/>
      <c r="AL648" s="19"/>
      <c r="AM648" s="19"/>
      <c r="AN648" s="19" t="s">
        <v>103</v>
      </c>
      <c r="AO648" s="23">
        <v>45938.729861111111</v>
      </c>
      <c r="AP648" s="26">
        <f t="shared" si="21"/>
        <v>21</v>
      </c>
    </row>
    <row r="649" spans="1:42" ht="25.5" hidden="1" customHeight="1">
      <c r="A649" s="19" t="s">
        <v>42</v>
      </c>
      <c r="B649" s="19" t="s">
        <v>4875</v>
      </c>
      <c r="C649" s="19" t="s">
        <v>336</v>
      </c>
      <c r="D649" s="19" t="s">
        <v>45</v>
      </c>
      <c r="E649" s="19" t="s">
        <v>46</v>
      </c>
      <c r="F649" s="19" t="s">
        <v>4876</v>
      </c>
      <c r="G649" s="19" t="s">
        <v>48</v>
      </c>
      <c r="H649" s="19" t="s">
        <v>49</v>
      </c>
      <c r="I649" s="20">
        <v>45938.75</v>
      </c>
      <c r="K649" s="19"/>
      <c r="L649" s="20">
        <v>45938.755555555559</v>
      </c>
      <c r="M649" s="19"/>
      <c r="N649" s="22">
        <f t="shared" si="20"/>
        <v>5.5555555591126904E-3</v>
      </c>
      <c r="O649" s="19" t="s">
        <v>50</v>
      </c>
      <c r="P649" s="19" t="s">
        <v>4877</v>
      </c>
      <c r="Q649" s="19" t="s">
        <v>4878</v>
      </c>
      <c r="R649" s="19"/>
      <c r="S649" s="19"/>
      <c r="U649" s="19"/>
      <c r="W649" s="19"/>
      <c r="X649" s="19" t="s">
        <v>314</v>
      </c>
      <c r="Y649" s="27" t="s">
        <v>54</v>
      </c>
      <c r="Z649" s="27" t="s">
        <v>4879</v>
      </c>
      <c r="AA649" s="27" t="s">
        <v>4880</v>
      </c>
      <c r="AB649" s="27" t="s">
        <v>4881</v>
      </c>
      <c r="AC649" s="37" t="s">
        <v>4882</v>
      </c>
      <c r="AD649" s="38" t="s">
        <v>4883</v>
      </c>
      <c r="AE649" s="36">
        <v>45931</v>
      </c>
      <c r="AF649" s="19" t="s">
        <v>78</v>
      </c>
      <c r="AG649" s="19" t="s">
        <v>78</v>
      </c>
      <c r="AH649" s="19" t="s">
        <v>78</v>
      </c>
      <c r="AI649" s="19" t="s">
        <v>63</v>
      </c>
      <c r="AJ649" s="19" t="s">
        <v>4884</v>
      </c>
      <c r="AK649" s="19"/>
      <c r="AL649" s="19"/>
      <c r="AM649" s="19"/>
      <c r="AN649" s="19" t="s">
        <v>65</v>
      </c>
      <c r="AO649" s="23">
        <v>45938.75</v>
      </c>
      <c r="AP649" s="26">
        <f t="shared" si="21"/>
        <v>8</v>
      </c>
    </row>
    <row r="650" spans="1:42" ht="25.5" hidden="1" customHeight="1">
      <c r="A650" s="19" t="s">
        <v>285</v>
      </c>
      <c r="B650" s="19" t="s">
        <v>186</v>
      </c>
      <c r="C650" s="19" t="s">
        <v>577</v>
      </c>
      <c r="D650" s="19" t="s">
        <v>45</v>
      </c>
      <c r="E650" s="19" t="s">
        <v>46</v>
      </c>
      <c r="F650" s="19" t="s">
        <v>4849</v>
      </c>
      <c r="G650" s="19" t="s">
        <v>226</v>
      </c>
      <c r="H650" s="19" t="s">
        <v>49</v>
      </c>
      <c r="I650" s="20">
        <v>45939.269444444442</v>
      </c>
      <c r="K650" s="19"/>
      <c r="L650" s="20">
        <v>45939.298611111109</v>
      </c>
      <c r="M650" s="19"/>
      <c r="N650" s="22">
        <f t="shared" si="20"/>
        <v>2.9166666667151731E-2</v>
      </c>
      <c r="O650" s="19" t="s">
        <v>63</v>
      </c>
      <c r="P650" s="19" t="s">
        <v>4850</v>
      </c>
      <c r="Q650" s="19" t="s">
        <v>4885</v>
      </c>
      <c r="R650" s="19"/>
      <c r="S650" s="19"/>
      <c r="U650" s="19"/>
      <c r="W650" s="19"/>
      <c r="X650" s="19" t="s">
        <v>191</v>
      </c>
      <c r="Y650" s="27" t="s">
        <v>147</v>
      </c>
      <c r="Z650" s="27" t="s">
        <v>78</v>
      </c>
      <c r="AA650" s="27" t="s">
        <v>78</v>
      </c>
      <c r="AB650" s="27" t="s">
        <v>78</v>
      </c>
      <c r="AC650" s="37" t="s">
        <v>78</v>
      </c>
      <c r="AD650" s="38" t="s">
        <v>78</v>
      </c>
      <c r="AE650" s="36">
        <v>45931</v>
      </c>
      <c r="AF650" s="19" t="s">
        <v>89</v>
      </c>
      <c r="AG650" s="19" t="s">
        <v>90</v>
      </c>
      <c r="AH650" s="19" t="s">
        <v>62</v>
      </c>
      <c r="AI650" s="19" t="s">
        <v>50</v>
      </c>
      <c r="AJ650" s="19" t="s">
        <v>4854</v>
      </c>
      <c r="AK650" s="19"/>
      <c r="AL650" s="19"/>
      <c r="AM650" s="19"/>
      <c r="AN650" s="19" t="s">
        <v>65</v>
      </c>
      <c r="AO650" s="23">
        <v>45939.269444444442</v>
      </c>
      <c r="AP650" s="26">
        <f t="shared" si="21"/>
        <v>42</v>
      </c>
    </row>
    <row r="651" spans="1:42" ht="25.5" hidden="1" customHeight="1">
      <c r="A651" s="19" t="s">
        <v>42</v>
      </c>
      <c r="B651" s="19" t="s">
        <v>4075</v>
      </c>
      <c r="C651" s="19" t="s">
        <v>336</v>
      </c>
      <c r="D651" s="19" t="s">
        <v>45</v>
      </c>
      <c r="E651" s="19" t="s">
        <v>46</v>
      </c>
      <c r="F651" s="19" t="s">
        <v>4886</v>
      </c>
      <c r="G651" s="19" t="s">
        <v>48</v>
      </c>
      <c r="H651" s="19" t="s">
        <v>49</v>
      </c>
      <c r="I651" s="20">
        <v>45939.46875</v>
      </c>
      <c r="K651" s="19"/>
      <c r="L651" s="20">
        <v>45939.492361111108</v>
      </c>
      <c r="M651" s="19"/>
      <c r="N651" s="22">
        <f t="shared" si="20"/>
        <v>2.361111110803904E-2</v>
      </c>
      <c r="O651" s="19" t="s">
        <v>50</v>
      </c>
      <c r="P651" s="19" t="s">
        <v>4887</v>
      </c>
      <c r="Q651" s="19" t="s">
        <v>4888</v>
      </c>
      <c r="R651" s="19"/>
      <c r="S651" s="19"/>
      <c r="U651" s="19"/>
      <c r="W651" s="19"/>
      <c r="X651" s="19" t="s">
        <v>314</v>
      </c>
      <c r="Y651" s="27" t="s">
        <v>54</v>
      </c>
      <c r="Z651" s="27" t="s">
        <v>209</v>
      </c>
      <c r="AA651" s="27" t="s">
        <v>4889</v>
      </c>
      <c r="AB651" s="27" t="s">
        <v>4890</v>
      </c>
      <c r="AC651" s="37">
        <v>45938.479166666657</v>
      </c>
      <c r="AD651" s="38">
        <v>45938.490972222222</v>
      </c>
      <c r="AE651" s="36">
        <v>45931</v>
      </c>
      <c r="AF651" s="19" t="s">
        <v>89</v>
      </c>
      <c r="AG651" s="19" t="s">
        <v>90</v>
      </c>
      <c r="AH651" s="19" t="s">
        <v>62</v>
      </c>
      <c r="AI651" s="19" t="s">
        <v>63</v>
      </c>
      <c r="AJ651" s="19" t="s">
        <v>4891</v>
      </c>
      <c r="AK651" s="19"/>
      <c r="AL651" s="19"/>
      <c r="AM651" s="19"/>
      <c r="AN651" s="19" t="s">
        <v>65</v>
      </c>
      <c r="AO651" s="23">
        <v>45939.46875</v>
      </c>
      <c r="AP651" s="26">
        <f t="shared" si="21"/>
        <v>34</v>
      </c>
    </row>
    <row r="652" spans="1:42" ht="25.5" hidden="1" customHeight="1">
      <c r="A652" s="19" t="s">
        <v>42</v>
      </c>
      <c r="B652" s="19" t="s">
        <v>4875</v>
      </c>
      <c r="C652" s="19" t="s">
        <v>336</v>
      </c>
      <c r="D652" s="19" t="s">
        <v>45</v>
      </c>
      <c r="E652" s="19" t="s">
        <v>46</v>
      </c>
      <c r="F652" s="19" t="s">
        <v>4892</v>
      </c>
      <c r="G652" s="19" t="s">
        <v>48</v>
      </c>
      <c r="H652" s="19" t="s">
        <v>49</v>
      </c>
      <c r="I652" s="20">
        <v>45939.916666666657</v>
      </c>
      <c r="K652" s="19"/>
      <c r="L652" s="20">
        <v>45939.927083333343</v>
      </c>
      <c r="M652" s="19"/>
      <c r="N652" s="22">
        <f t="shared" si="20"/>
        <v>1.041666668606922E-2</v>
      </c>
      <c r="O652" s="19" t="s">
        <v>50</v>
      </c>
      <c r="P652" s="19" t="s">
        <v>4893</v>
      </c>
      <c r="Q652" s="19" t="s">
        <v>4894</v>
      </c>
      <c r="R652" s="19"/>
      <c r="S652" s="19"/>
      <c r="U652" s="19"/>
      <c r="W652" s="19"/>
      <c r="X652" s="19" t="s">
        <v>314</v>
      </c>
      <c r="Y652" s="27" t="s">
        <v>54</v>
      </c>
      <c r="Z652" s="27" t="s">
        <v>3963</v>
      </c>
      <c r="AA652" s="27" t="s">
        <v>3963</v>
      </c>
      <c r="AB652" s="27" t="s">
        <v>4895</v>
      </c>
      <c r="AC652" s="37" t="s">
        <v>4896</v>
      </c>
      <c r="AD652" s="38" t="s">
        <v>4897</v>
      </c>
      <c r="AE652" s="36">
        <v>45931</v>
      </c>
      <c r="AF652" s="19" t="s">
        <v>78</v>
      </c>
      <c r="AG652" s="19" t="s">
        <v>78</v>
      </c>
      <c r="AH652" s="19" t="s">
        <v>78</v>
      </c>
      <c r="AI652" s="19" t="s">
        <v>63</v>
      </c>
      <c r="AJ652" s="19" t="s">
        <v>4898</v>
      </c>
      <c r="AK652" s="19"/>
      <c r="AL652" s="19"/>
      <c r="AM652" s="19"/>
      <c r="AN652" s="19" t="s">
        <v>103</v>
      </c>
      <c r="AO652" s="23">
        <v>45939.916666666657</v>
      </c>
      <c r="AP652" s="26">
        <f t="shared" si="21"/>
        <v>15</v>
      </c>
    </row>
    <row r="653" spans="1:42" ht="25.5" hidden="1" customHeight="1">
      <c r="A653" s="19" t="s">
        <v>116</v>
      </c>
      <c r="B653" s="19" t="s">
        <v>599</v>
      </c>
      <c r="C653" s="19" t="s">
        <v>1734</v>
      </c>
      <c r="D653" s="19" t="s">
        <v>45</v>
      </c>
      <c r="E653" s="19" t="s">
        <v>46</v>
      </c>
      <c r="F653" s="19" t="s">
        <v>4899</v>
      </c>
      <c r="G653" s="19" t="s">
        <v>48</v>
      </c>
      <c r="H653" s="19" t="s">
        <v>49</v>
      </c>
      <c r="I653" s="20">
        <v>45940.061805555553</v>
      </c>
      <c r="K653" s="19"/>
      <c r="L653" s="20">
        <v>45940.3125</v>
      </c>
      <c r="M653" s="19"/>
      <c r="N653" s="22">
        <f t="shared" si="20"/>
        <v>0.25069444444670808</v>
      </c>
      <c r="O653" s="19" t="s">
        <v>50</v>
      </c>
      <c r="P653" s="19" t="s">
        <v>4900</v>
      </c>
      <c r="Q653" s="19" t="s">
        <v>4901</v>
      </c>
      <c r="R653" s="19"/>
      <c r="S653" s="19"/>
      <c r="U653" s="19"/>
      <c r="W653" s="19"/>
      <c r="X653" s="19" t="s">
        <v>122</v>
      </c>
      <c r="Y653" s="27" t="s">
        <v>147</v>
      </c>
      <c r="Z653" s="27" t="s">
        <v>78</v>
      </c>
      <c r="AA653" s="27" t="s">
        <v>78</v>
      </c>
      <c r="AB653" s="27" t="s">
        <v>78</v>
      </c>
      <c r="AC653" s="37" t="s">
        <v>78</v>
      </c>
      <c r="AD653" s="38" t="s">
        <v>78</v>
      </c>
      <c r="AE653" s="36">
        <v>45931</v>
      </c>
      <c r="AF653" s="19" t="s">
        <v>99</v>
      </c>
      <c r="AG653" s="19" t="s">
        <v>100</v>
      </c>
      <c r="AH653" s="19" t="s">
        <v>62</v>
      </c>
      <c r="AI653" s="19" t="s">
        <v>63</v>
      </c>
      <c r="AJ653" s="19" t="s">
        <v>4902</v>
      </c>
      <c r="AK653" s="19" t="s">
        <v>4903</v>
      </c>
      <c r="AL653" s="19"/>
      <c r="AM653" s="19"/>
      <c r="AN653" s="19" t="s">
        <v>65</v>
      </c>
      <c r="AO653" s="23">
        <v>45940.061805555553</v>
      </c>
      <c r="AP653" s="26">
        <f t="shared" si="21"/>
        <v>361</v>
      </c>
    </row>
    <row r="654" spans="1:42" ht="25.5" hidden="1" customHeight="1">
      <c r="A654" s="19" t="s">
        <v>42</v>
      </c>
      <c r="B654" s="19" t="s">
        <v>4510</v>
      </c>
      <c r="C654" s="19" t="s">
        <v>336</v>
      </c>
      <c r="D654" s="19" t="s">
        <v>45</v>
      </c>
      <c r="E654" s="19" t="s">
        <v>46</v>
      </c>
      <c r="F654" s="19" t="s">
        <v>4904</v>
      </c>
      <c r="G654" s="19" t="s">
        <v>48</v>
      </c>
      <c r="H654" s="19" t="s">
        <v>49</v>
      </c>
      <c r="I654" s="20">
        <v>45940.29791666667</v>
      </c>
      <c r="K654" s="19"/>
      <c r="L654" s="20">
        <v>45940.420138888891</v>
      </c>
      <c r="M654" s="19"/>
      <c r="N654" s="22">
        <f t="shared" si="20"/>
        <v>0.12222222222044365</v>
      </c>
      <c r="O654" s="19" t="s">
        <v>50</v>
      </c>
      <c r="P654" s="19" t="s">
        <v>4905</v>
      </c>
      <c r="Q654" s="19" t="s">
        <v>4906</v>
      </c>
      <c r="R654" s="19"/>
      <c r="S654" s="19"/>
      <c r="U654" s="19"/>
      <c r="W654" s="19"/>
      <c r="X654" s="19" t="s">
        <v>314</v>
      </c>
      <c r="Y654" s="27" t="s">
        <v>54</v>
      </c>
      <c r="Z654" s="27" t="s">
        <v>4907</v>
      </c>
      <c r="AA654" s="27" t="s">
        <v>4908</v>
      </c>
      <c r="AB654" s="27" t="s">
        <v>4909</v>
      </c>
      <c r="AC654" s="37" t="s">
        <v>4910</v>
      </c>
      <c r="AD654" s="38" t="s">
        <v>4911</v>
      </c>
      <c r="AE654" s="36">
        <v>45931</v>
      </c>
      <c r="AF654" s="19" t="s">
        <v>99</v>
      </c>
      <c r="AG654" s="19" t="s">
        <v>100</v>
      </c>
      <c r="AH654" s="19" t="s">
        <v>62</v>
      </c>
      <c r="AI654" s="19" t="s">
        <v>63</v>
      </c>
      <c r="AJ654" s="19" t="s">
        <v>4912</v>
      </c>
      <c r="AK654" s="19" t="s">
        <v>4913</v>
      </c>
      <c r="AL654" s="19"/>
      <c r="AM654" s="19"/>
      <c r="AN654" s="19" t="s">
        <v>103</v>
      </c>
      <c r="AO654" s="23">
        <v>45940.29791666667</v>
      </c>
      <c r="AP654" s="26">
        <f t="shared" si="21"/>
        <v>176</v>
      </c>
    </row>
    <row r="655" spans="1:42" ht="25.5" hidden="1" customHeight="1">
      <c r="A655" s="19" t="s">
        <v>116</v>
      </c>
      <c r="B655" s="19" t="s">
        <v>242</v>
      </c>
      <c r="C655" s="19" t="s">
        <v>995</v>
      </c>
      <c r="D655" s="19" t="s">
        <v>45</v>
      </c>
      <c r="E655" s="19" t="s">
        <v>46</v>
      </c>
      <c r="F655" s="19" t="s">
        <v>4899</v>
      </c>
      <c r="G655" s="19" t="s">
        <v>226</v>
      </c>
      <c r="H655" s="19" t="s">
        <v>49</v>
      </c>
      <c r="I655" s="20">
        <v>45940.397222222222</v>
      </c>
      <c r="K655" s="19"/>
      <c r="L655" s="20">
        <v>45940.423611111109</v>
      </c>
      <c r="M655" s="19"/>
      <c r="N655" s="22">
        <f t="shared" si="20"/>
        <v>2.6388888887595385E-2</v>
      </c>
      <c r="O655" s="19" t="s">
        <v>50</v>
      </c>
      <c r="P655" s="19" t="s">
        <v>4914</v>
      </c>
      <c r="Q655" s="19" t="s">
        <v>4915</v>
      </c>
      <c r="R655" s="19"/>
      <c r="S655" s="19"/>
      <c r="U655" s="19"/>
      <c r="W655" s="19"/>
      <c r="X655" s="19" t="s">
        <v>122</v>
      </c>
      <c r="Y655" s="27" t="s">
        <v>54</v>
      </c>
      <c r="Z655" s="27" t="s">
        <v>55</v>
      </c>
      <c r="AA655" s="27" t="s">
        <v>4916</v>
      </c>
      <c r="AB655" s="27" t="s">
        <v>4917</v>
      </c>
      <c r="AC655" s="37" t="s">
        <v>4918</v>
      </c>
      <c r="AD655" s="38" t="s">
        <v>4919</v>
      </c>
      <c r="AE655" s="36">
        <v>45931</v>
      </c>
      <c r="AF655" s="19" t="s">
        <v>99</v>
      </c>
      <c r="AG655" s="19" t="s">
        <v>100</v>
      </c>
      <c r="AH655" s="19" t="s">
        <v>62</v>
      </c>
      <c r="AI655" s="19" t="s">
        <v>63</v>
      </c>
      <c r="AJ655" s="19" t="s">
        <v>4920</v>
      </c>
      <c r="AK655" s="19"/>
      <c r="AL655" s="19"/>
      <c r="AM655" s="19"/>
      <c r="AN655" s="19" t="s">
        <v>622</v>
      </c>
      <c r="AO655" s="23">
        <v>45940.397222222222</v>
      </c>
      <c r="AP655" s="26">
        <f t="shared" si="21"/>
        <v>38</v>
      </c>
    </row>
    <row r="656" spans="1:42" ht="25.5" hidden="1" customHeight="1">
      <c r="A656" s="19" t="s">
        <v>42</v>
      </c>
      <c r="B656" s="19" t="s">
        <v>4921</v>
      </c>
      <c r="C656" s="19" t="s">
        <v>105</v>
      </c>
      <c r="D656" s="19" t="s">
        <v>45</v>
      </c>
      <c r="E656" s="19" t="s">
        <v>46</v>
      </c>
      <c r="F656" s="19" t="s">
        <v>4922</v>
      </c>
      <c r="G656" s="19" t="s">
        <v>48</v>
      </c>
      <c r="H656" s="19" t="s">
        <v>49</v>
      </c>
      <c r="I656" s="20">
        <v>45940.534722222219</v>
      </c>
      <c r="K656" s="19"/>
      <c r="L656" s="20">
        <v>45940.552777777782</v>
      </c>
      <c r="M656" s="19"/>
      <c r="N656" s="22">
        <f t="shared" ref="N656:N719" si="22">L656-I656</f>
        <v>1.8055555563478265E-2</v>
      </c>
      <c r="O656" s="19" t="s">
        <v>63</v>
      </c>
      <c r="P656" s="19" t="s">
        <v>4923</v>
      </c>
      <c r="Q656" s="19" t="s">
        <v>4924</v>
      </c>
      <c r="R656" s="19"/>
      <c r="S656" s="19"/>
      <c r="U656" s="19"/>
      <c r="W656" s="19"/>
      <c r="X656" s="19" t="s">
        <v>109</v>
      </c>
      <c r="Y656" s="27" t="s">
        <v>54</v>
      </c>
      <c r="Z656" s="27" t="s">
        <v>414</v>
      </c>
      <c r="AA656" s="27" t="s">
        <v>4925</v>
      </c>
      <c r="AB656" s="27" t="s">
        <v>4926</v>
      </c>
      <c r="AC656" s="37">
        <v>45940.543749999997</v>
      </c>
      <c r="AD656" s="38">
        <v>45940.544444444437</v>
      </c>
      <c r="AE656" s="36">
        <v>45931</v>
      </c>
      <c r="AF656" s="19" t="s">
        <v>89</v>
      </c>
      <c r="AG656" s="19" t="s">
        <v>90</v>
      </c>
      <c r="AH656" s="19" t="s">
        <v>62</v>
      </c>
      <c r="AI656" s="19" t="s">
        <v>63</v>
      </c>
      <c r="AJ656" s="19" t="s">
        <v>4927</v>
      </c>
      <c r="AK656" s="19"/>
      <c r="AL656" s="19"/>
      <c r="AM656" s="19"/>
      <c r="AN656" s="19" t="s">
        <v>103</v>
      </c>
      <c r="AO656" s="23">
        <v>45940.534722222219</v>
      </c>
      <c r="AP656" s="26">
        <f t="shared" ref="AP656:AP719" si="23">((HOUR(N656)*60)+MINUTE(N656)+(SECOND(N656)/60))</f>
        <v>26</v>
      </c>
    </row>
    <row r="657" spans="1:42" ht="25.5" hidden="1" customHeight="1">
      <c r="A657" s="19" t="s">
        <v>42</v>
      </c>
      <c r="C657" s="19" t="s">
        <v>4424</v>
      </c>
      <c r="D657" s="19" t="s">
        <v>45</v>
      </c>
      <c r="E657" s="19" t="s">
        <v>46</v>
      </c>
      <c r="F657" s="19" t="s">
        <v>4928</v>
      </c>
      <c r="G657" s="19" t="s">
        <v>48</v>
      </c>
      <c r="H657" s="19" t="s">
        <v>49</v>
      </c>
      <c r="I657" s="20">
        <v>45940.911111111112</v>
      </c>
      <c r="K657" s="19"/>
      <c r="L657" s="20">
        <v>45941</v>
      </c>
      <c r="M657" s="19"/>
      <c r="N657" s="22">
        <f t="shared" si="22"/>
        <v>8.8888888887595385E-2</v>
      </c>
      <c r="O657" s="19" t="s">
        <v>63</v>
      </c>
      <c r="P657" s="19" t="s">
        <v>4426</v>
      </c>
      <c r="Q657" s="19" t="s">
        <v>4929</v>
      </c>
      <c r="R657" s="19"/>
      <c r="S657" s="19"/>
      <c r="U657" s="19"/>
      <c r="W657" s="19"/>
      <c r="X657" s="19" t="s">
        <v>509</v>
      </c>
      <c r="Y657" s="27" t="s">
        <v>133</v>
      </c>
      <c r="Z657" s="27" t="s">
        <v>784</v>
      </c>
      <c r="AA657" s="27" t="s">
        <v>4930</v>
      </c>
      <c r="AB657" s="27" t="s">
        <v>4931</v>
      </c>
      <c r="AC657" s="37">
        <v>45940.750694444447</v>
      </c>
      <c r="AD657" s="38">
        <v>45940.829861111109</v>
      </c>
      <c r="AE657" s="36">
        <v>45931</v>
      </c>
      <c r="AF657" s="19" t="s">
        <v>89</v>
      </c>
      <c r="AG657" s="19" t="s">
        <v>90</v>
      </c>
      <c r="AH657" s="19" t="s">
        <v>62</v>
      </c>
      <c r="AI657" s="19" t="s">
        <v>63</v>
      </c>
      <c r="AJ657" s="19" t="s">
        <v>4932</v>
      </c>
      <c r="AK657" s="19"/>
      <c r="AL657" s="19"/>
      <c r="AM657" s="19"/>
      <c r="AN657" s="19" t="s">
        <v>65</v>
      </c>
      <c r="AO657" s="23">
        <v>45940.911111111112</v>
      </c>
      <c r="AP657" s="26">
        <f t="shared" si="23"/>
        <v>128</v>
      </c>
    </row>
    <row r="658" spans="1:42" ht="25.5" hidden="1" customHeight="1">
      <c r="A658" s="19" t="s">
        <v>42</v>
      </c>
      <c r="B658" s="19" t="s">
        <v>3388</v>
      </c>
      <c r="C658" s="19" t="s">
        <v>1456</v>
      </c>
      <c r="D658" s="19" t="s">
        <v>45</v>
      </c>
      <c r="E658" s="19" t="s">
        <v>46</v>
      </c>
      <c r="F658" s="19" t="s">
        <v>4933</v>
      </c>
      <c r="G658" s="19" t="s">
        <v>48</v>
      </c>
      <c r="H658" s="19" t="s">
        <v>49</v>
      </c>
      <c r="I658" s="20">
        <v>45941.633333333331</v>
      </c>
      <c r="K658" s="19"/>
      <c r="L658" s="20">
        <v>45941.659722222219</v>
      </c>
      <c r="M658" s="19"/>
      <c r="N658" s="22">
        <f t="shared" si="22"/>
        <v>2.6388888887595385E-2</v>
      </c>
      <c r="O658" s="19" t="s">
        <v>50</v>
      </c>
      <c r="P658" s="19" t="s">
        <v>4765</v>
      </c>
      <c r="Q658" s="19" t="s">
        <v>4934</v>
      </c>
      <c r="R658" s="19"/>
      <c r="S658" s="19"/>
      <c r="U658" s="19"/>
      <c r="W658" s="19"/>
      <c r="X658" s="19" t="s">
        <v>53</v>
      </c>
      <c r="Y658" s="27" t="s">
        <v>54</v>
      </c>
      <c r="Z658" s="27" t="s">
        <v>414</v>
      </c>
      <c r="AA658" s="27" t="s">
        <v>4935</v>
      </c>
      <c r="AB658" s="27" t="s">
        <v>4936</v>
      </c>
      <c r="AC658" s="37">
        <v>45941.632638888892</v>
      </c>
      <c r="AD658" s="38">
        <v>45941.695254629631</v>
      </c>
      <c r="AE658" s="36">
        <v>45931</v>
      </c>
      <c r="AF658" s="19" t="s">
        <v>60</v>
      </c>
      <c r="AG658" s="19" t="s">
        <v>78</v>
      </c>
      <c r="AH658" s="19" t="s">
        <v>78</v>
      </c>
      <c r="AI658" s="19" t="s">
        <v>63</v>
      </c>
      <c r="AJ658" s="19" t="s">
        <v>4937</v>
      </c>
      <c r="AK658" s="19"/>
      <c r="AL658" s="19"/>
      <c r="AM658" s="19"/>
      <c r="AN658" s="19" t="s">
        <v>65</v>
      </c>
      <c r="AO658" s="23">
        <v>45941.633333333331</v>
      </c>
      <c r="AP658" s="26">
        <f t="shared" si="23"/>
        <v>38</v>
      </c>
    </row>
    <row r="659" spans="1:42" ht="25.5" hidden="1" customHeight="1">
      <c r="A659" s="19" t="s">
        <v>42</v>
      </c>
      <c r="B659" s="19" t="s">
        <v>4938</v>
      </c>
      <c r="C659" s="19" t="s">
        <v>4939</v>
      </c>
      <c r="D659" s="19" t="s">
        <v>45</v>
      </c>
      <c r="E659" s="19" t="s">
        <v>225</v>
      </c>
      <c r="F659" s="19" t="s">
        <v>4940</v>
      </c>
      <c r="G659" s="19" t="s">
        <v>48</v>
      </c>
      <c r="H659" s="19" t="s">
        <v>49</v>
      </c>
      <c r="I659" s="20">
        <v>45942.836805555547</v>
      </c>
      <c r="K659" s="19"/>
      <c r="L659" s="20">
        <v>45942.861111111109</v>
      </c>
      <c r="M659" s="19"/>
      <c r="N659" s="22">
        <f t="shared" si="22"/>
        <v>2.4305555562023073E-2</v>
      </c>
      <c r="O659" s="19" t="s">
        <v>50</v>
      </c>
      <c r="P659" s="19" t="s">
        <v>4941</v>
      </c>
      <c r="Q659" s="19" t="s">
        <v>4942</v>
      </c>
      <c r="R659" s="19"/>
      <c r="S659" s="19"/>
      <c r="U659" s="19"/>
      <c r="W659" s="19"/>
      <c r="X659" s="19" t="s">
        <v>158</v>
      </c>
      <c r="Y659" s="27" t="s">
        <v>133</v>
      </c>
      <c r="Z659" s="27" t="s">
        <v>4943</v>
      </c>
      <c r="AA659" s="27" t="s">
        <v>4944</v>
      </c>
      <c r="AB659" s="27" t="s">
        <v>4945</v>
      </c>
      <c r="AC659" s="37" t="s">
        <v>4946</v>
      </c>
      <c r="AD659" s="38" t="s">
        <v>4947</v>
      </c>
      <c r="AE659" s="36">
        <v>45931</v>
      </c>
      <c r="AF659" s="19" t="s">
        <v>60</v>
      </c>
      <c r="AG659" s="19" t="s">
        <v>61</v>
      </c>
      <c r="AH659" s="19" t="s">
        <v>62</v>
      </c>
      <c r="AI659" s="19" t="s">
        <v>63</v>
      </c>
      <c r="AJ659" s="19" t="s">
        <v>4948</v>
      </c>
      <c r="AK659" s="19"/>
      <c r="AL659" s="19"/>
      <c r="AM659" s="19"/>
      <c r="AN659" s="19" t="s">
        <v>65</v>
      </c>
      <c r="AO659" s="23">
        <v>45942.852083333331</v>
      </c>
      <c r="AP659" s="26">
        <f t="shared" si="23"/>
        <v>35</v>
      </c>
    </row>
    <row r="660" spans="1:42" ht="25.5" hidden="1" customHeight="1">
      <c r="A660" s="19" t="s">
        <v>42</v>
      </c>
      <c r="B660" s="19" t="s">
        <v>4949</v>
      </c>
      <c r="C660" s="19" t="s">
        <v>4950</v>
      </c>
      <c r="D660" s="19" t="s">
        <v>45</v>
      </c>
      <c r="E660" s="19" t="s">
        <v>46</v>
      </c>
      <c r="F660" s="19" t="s">
        <v>4951</v>
      </c>
      <c r="G660" s="19" t="s">
        <v>48</v>
      </c>
      <c r="H660" s="19" t="s">
        <v>49</v>
      </c>
      <c r="I660" s="20">
        <v>45942.969444444447</v>
      </c>
      <c r="K660" s="19"/>
      <c r="L660" s="20">
        <v>45942.995138888888</v>
      </c>
      <c r="M660" s="19"/>
      <c r="N660" s="22">
        <f t="shared" si="22"/>
        <v>2.569444444088731E-2</v>
      </c>
      <c r="O660" s="19" t="s">
        <v>50</v>
      </c>
      <c r="P660" s="19" t="s">
        <v>4952</v>
      </c>
      <c r="Q660" s="19" t="s">
        <v>4953</v>
      </c>
      <c r="R660" s="19"/>
      <c r="S660" s="19"/>
      <c r="U660" s="19"/>
      <c r="W660" s="19"/>
      <c r="X660" s="19" t="s">
        <v>4954</v>
      </c>
      <c r="Y660" s="27" t="s">
        <v>133</v>
      </c>
      <c r="Z660" s="27" t="s">
        <v>4955</v>
      </c>
      <c r="AA660" s="27" t="s">
        <v>4956</v>
      </c>
      <c r="AB660" s="27" t="s">
        <v>4957</v>
      </c>
      <c r="AC660" s="37" t="s">
        <v>4958</v>
      </c>
      <c r="AD660" s="38" t="s">
        <v>4959</v>
      </c>
      <c r="AE660" s="36">
        <v>45931</v>
      </c>
      <c r="AF660" s="19" t="s">
        <v>60</v>
      </c>
      <c r="AG660" s="19" t="s">
        <v>61</v>
      </c>
      <c r="AH660" s="19" t="s">
        <v>62</v>
      </c>
      <c r="AI660" s="19" t="s">
        <v>63</v>
      </c>
      <c r="AJ660" s="19" t="s">
        <v>4960</v>
      </c>
      <c r="AK660" s="19"/>
      <c r="AL660" s="19"/>
      <c r="AM660" s="19"/>
      <c r="AN660" s="19" t="s">
        <v>65</v>
      </c>
      <c r="AO660" s="23">
        <v>45942.986805555563</v>
      </c>
      <c r="AP660" s="26">
        <f t="shared" si="23"/>
        <v>37</v>
      </c>
    </row>
    <row r="661" spans="1:42" ht="25.5" hidden="1" customHeight="1">
      <c r="A661" s="19" t="s">
        <v>42</v>
      </c>
      <c r="B661" s="19" t="s">
        <v>2048</v>
      </c>
      <c r="C661" s="19" t="s">
        <v>2049</v>
      </c>
      <c r="D661" s="19" t="s">
        <v>45</v>
      </c>
      <c r="E661" s="19" t="s">
        <v>46</v>
      </c>
      <c r="F661" s="19" t="s">
        <v>4961</v>
      </c>
      <c r="G661" s="19" t="s">
        <v>48</v>
      </c>
      <c r="H661" s="19" t="s">
        <v>49</v>
      </c>
      <c r="I661" s="20">
        <v>45943.467361111107</v>
      </c>
      <c r="K661" s="19"/>
      <c r="L661" s="20">
        <v>45943.524305555547</v>
      </c>
      <c r="M661" s="19"/>
      <c r="N661" s="22">
        <f t="shared" si="22"/>
        <v>5.694444444088731E-2</v>
      </c>
      <c r="O661" s="19" t="s">
        <v>50</v>
      </c>
      <c r="P661" s="19" t="s">
        <v>4962</v>
      </c>
      <c r="Q661" s="19" t="s">
        <v>4963</v>
      </c>
      <c r="R661" s="19"/>
      <c r="S661" s="19"/>
      <c r="U661" s="19"/>
      <c r="W661" s="19"/>
      <c r="X661" s="19" t="s">
        <v>2053</v>
      </c>
      <c r="Y661" s="27" t="s">
        <v>54</v>
      </c>
      <c r="Z661" s="27" t="s">
        <v>414</v>
      </c>
      <c r="AA661" s="27" t="s">
        <v>4964</v>
      </c>
      <c r="AB661" s="27" t="s">
        <v>4965</v>
      </c>
      <c r="AC661" s="37">
        <v>45943.395833333343</v>
      </c>
      <c r="AD661" s="38">
        <v>45943.40625</v>
      </c>
      <c r="AE661" s="36">
        <v>45931</v>
      </c>
      <c r="AF661" s="19" t="s">
        <v>89</v>
      </c>
      <c r="AG661" s="19" t="s">
        <v>61</v>
      </c>
      <c r="AH661" s="19" t="s">
        <v>62</v>
      </c>
      <c r="AI661" s="19" t="s">
        <v>63</v>
      </c>
      <c r="AJ661" s="19" t="s">
        <v>4966</v>
      </c>
      <c r="AK661" s="19"/>
      <c r="AL661" s="19"/>
      <c r="AM661" s="19"/>
      <c r="AN661" s="19" t="s">
        <v>65</v>
      </c>
      <c r="AO661" s="23">
        <v>45943.467361111107</v>
      </c>
      <c r="AP661" s="26">
        <f t="shared" si="23"/>
        <v>82</v>
      </c>
    </row>
    <row r="662" spans="1:42" ht="25.5" hidden="1" customHeight="1">
      <c r="A662" s="19" t="s">
        <v>42</v>
      </c>
      <c r="B662" s="19" t="s">
        <v>410</v>
      </c>
      <c r="C662" s="19" t="s">
        <v>3371</v>
      </c>
      <c r="D662" s="19" t="s">
        <v>45</v>
      </c>
      <c r="E662" s="19" t="s">
        <v>46</v>
      </c>
      <c r="F662" s="19" t="s">
        <v>4967</v>
      </c>
      <c r="G662" s="19" t="s">
        <v>48</v>
      </c>
      <c r="H662" s="19" t="s">
        <v>49</v>
      </c>
      <c r="I662" s="20">
        <v>45944.353472222218</v>
      </c>
      <c r="K662" s="19"/>
      <c r="L662" s="20">
        <v>45944.381944444453</v>
      </c>
      <c r="M662" s="19"/>
      <c r="N662" s="22">
        <f t="shared" si="22"/>
        <v>2.847222223499557E-2</v>
      </c>
      <c r="O662" s="19" t="s">
        <v>50</v>
      </c>
      <c r="P662" s="19" t="s">
        <v>4968</v>
      </c>
      <c r="Q662" s="19" t="s">
        <v>4969</v>
      </c>
      <c r="R662" s="19"/>
      <c r="S662" s="19"/>
      <c r="U662" s="19"/>
      <c r="W662" s="19"/>
      <c r="X662" s="19" t="s">
        <v>109</v>
      </c>
      <c r="Y662" s="27" t="s">
        <v>54</v>
      </c>
      <c r="Z662" s="27" t="s">
        <v>414</v>
      </c>
      <c r="AA662" s="27" t="s">
        <v>4970</v>
      </c>
      <c r="AB662" s="27" t="s">
        <v>4971</v>
      </c>
      <c r="AC662" s="37" t="s">
        <v>4972</v>
      </c>
      <c r="AD662" s="38" t="s">
        <v>4973</v>
      </c>
      <c r="AE662" s="36">
        <v>45931</v>
      </c>
      <c r="AF662" s="19" t="s">
        <v>89</v>
      </c>
      <c r="AG662" s="19" t="s">
        <v>61</v>
      </c>
      <c r="AH662" s="19" t="s">
        <v>62</v>
      </c>
      <c r="AI662" s="19" t="s">
        <v>63</v>
      </c>
      <c r="AJ662" s="19" t="s">
        <v>4974</v>
      </c>
      <c r="AK662" s="19"/>
      <c r="AL662" s="19"/>
      <c r="AM662" s="19"/>
      <c r="AN662" s="19" t="s">
        <v>103</v>
      </c>
      <c r="AO662" s="23">
        <v>45944.340277777781</v>
      </c>
      <c r="AP662" s="26">
        <f t="shared" si="23"/>
        <v>41</v>
      </c>
    </row>
    <row r="663" spans="1:42" ht="25.5" hidden="1" customHeight="1">
      <c r="A663" s="19" t="s">
        <v>42</v>
      </c>
      <c r="B663" s="19" t="s">
        <v>3388</v>
      </c>
      <c r="C663" s="19" t="s">
        <v>1456</v>
      </c>
      <c r="D663" s="19" t="s">
        <v>45</v>
      </c>
      <c r="E663" s="19" t="s">
        <v>46</v>
      </c>
      <c r="F663" s="19" t="s">
        <v>4975</v>
      </c>
      <c r="G663" s="19" t="s">
        <v>48</v>
      </c>
      <c r="H663" s="19" t="s">
        <v>49</v>
      </c>
      <c r="I663" s="20">
        <v>45944.54583333333</v>
      </c>
      <c r="K663" s="19"/>
      <c r="L663" s="20">
        <v>45944.568055555559</v>
      </c>
      <c r="M663" s="19"/>
      <c r="N663" s="22">
        <f t="shared" si="22"/>
        <v>2.2222222229174804E-2</v>
      </c>
      <c r="O663" s="19" t="s">
        <v>50</v>
      </c>
      <c r="P663" s="19" t="s">
        <v>4765</v>
      </c>
      <c r="Q663" s="19" t="s">
        <v>4976</v>
      </c>
      <c r="R663" s="19"/>
      <c r="S663" s="19"/>
      <c r="U663" s="19"/>
      <c r="W663" s="19"/>
      <c r="X663" s="19" t="s">
        <v>53</v>
      </c>
      <c r="Y663" s="27" t="s">
        <v>54</v>
      </c>
      <c r="Z663" s="27" t="s">
        <v>209</v>
      </c>
      <c r="AA663" s="27" t="s">
        <v>4977</v>
      </c>
      <c r="AB663" s="27" t="s">
        <v>4978</v>
      </c>
      <c r="AC663" s="37">
        <v>45944.549305555563</v>
      </c>
      <c r="AD663" s="38">
        <v>45944.573611111111</v>
      </c>
      <c r="AE663" s="36">
        <v>45931</v>
      </c>
      <c r="AF663" s="19" t="s">
        <v>60</v>
      </c>
      <c r="AG663" s="19" t="s">
        <v>78</v>
      </c>
      <c r="AH663" s="19" t="s">
        <v>78</v>
      </c>
      <c r="AI663" s="19" t="s">
        <v>63</v>
      </c>
      <c r="AJ663" s="19" t="s">
        <v>4979</v>
      </c>
      <c r="AK663" s="19"/>
      <c r="AL663" s="19"/>
      <c r="AM663" s="19"/>
      <c r="AN663" s="19" t="s">
        <v>65</v>
      </c>
      <c r="AO663" s="23">
        <v>45944.54583333333</v>
      </c>
      <c r="AP663" s="26">
        <f t="shared" si="23"/>
        <v>32</v>
      </c>
    </row>
    <row r="664" spans="1:42" ht="25.5" hidden="1" customHeight="1">
      <c r="A664" s="19" t="s">
        <v>42</v>
      </c>
      <c r="B664" s="19" t="s">
        <v>309</v>
      </c>
      <c r="C664" s="19" t="s">
        <v>1637</v>
      </c>
      <c r="D664" s="19" t="s">
        <v>45</v>
      </c>
      <c r="E664" s="19" t="s">
        <v>46</v>
      </c>
      <c r="F664" s="19" t="s">
        <v>4980</v>
      </c>
      <c r="G664" s="19" t="s">
        <v>48</v>
      </c>
      <c r="H664" s="19" t="s">
        <v>49</v>
      </c>
      <c r="I664" s="20">
        <v>45944.692361111112</v>
      </c>
      <c r="K664" s="19"/>
      <c r="L664" s="20">
        <v>45944.738888888889</v>
      </c>
      <c r="M664" s="19"/>
      <c r="N664" s="22">
        <f t="shared" si="22"/>
        <v>4.6527777776645962E-2</v>
      </c>
      <c r="O664" s="19" t="s">
        <v>50</v>
      </c>
      <c r="P664" s="19" t="s">
        <v>4981</v>
      </c>
      <c r="Q664" s="19" t="s">
        <v>4982</v>
      </c>
      <c r="R664" s="19"/>
      <c r="S664" s="19"/>
      <c r="U664" s="19"/>
      <c r="W664" s="19"/>
      <c r="X664" s="19" t="s">
        <v>314</v>
      </c>
      <c r="Y664" s="27" t="s">
        <v>54</v>
      </c>
      <c r="Z664" s="27" t="s">
        <v>838</v>
      </c>
      <c r="AA664" s="27" t="s">
        <v>4983</v>
      </c>
      <c r="AB664" s="27" t="s">
        <v>4984</v>
      </c>
      <c r="AC664" s="37" t="s">
        <v>4985</v>
      </c>
      <c r="AD664" s="38" t="s">
        <v>4986</v>
      </c>
      <c r="AE664" s="36">
        <v>45931</v>
      </c>
      <c r="AF664" s="19" t="s">
        <v>89</v>
      </c>
      <c r="AG664" s="19" t="s">
        <v>61</v>
      </c>
      <c r="AH664" s="19" t="s">
        <v>62</v>
      </c>
      <c r="AI664" s="19" t="s">
        <v>63</v>
      </c>
      <c r="AJ664" s="19" t="s">
        <v>4987</v>
      </c>
      <c r="AK664" s="19"/>
      <c r="AL664" s="19"/>
      <c r="AM664" s="19"/>
      <c r="AN664" s="19" t="s">
        <v>65</v>
      </c>
      <c r="AO664" s="23">
        <v>45944.692361111112</v>
      </c>
      <c r="AP664" s="26">
        <f t="shared" si="23"/>
        <v>67</v>
      </c>
    </row>
    <row r="665" spans="1:42" ht="25.5" hidden="1" customHeight="1">
      <c r="A665" s="19" t="s">
        <v>42</v>
      </c>
      <c r="B665" s="19" t="s">
        <v>4988</v>
      </c>
      <c r="C665" s="19" t="s">
        <v>4989</v>
      </c>
      <c r="D665" s="19" t="s">
        <v>45</v>
      </c>
      <c r="E665" s="19" t="s">
        <v>46</v>
      </c>
      <c r="F665" s="19" t="s">
        <v>4990</v>
      </c>
      <c r="G665" s="19" t="s">
        <v>48</v>
      </c>
      <c r="H665" s="19" t="s">
        <v>49</v>
      </c>
      <c r="I665" s="20">
        <v>45945.611111111109</v>
      </c>
      <c r="K665" s="19"/>
      <c r="L665" s="20">
        <v>45945.619444444441</v>
      </c>
      <c r="M665" s="19"/>
      <c r="N665" s="22">
        <f t="shared" si="22"/>
        <v>8.333333331393078E-3</v>
      </c>
      <c r="O665" s="19" t="s">
        <v>50</v>
      </c>
      <c r="P665" s="19" t="s">
        <v>4991</v>
      </c>
      <c r="Q665" s="19" t="s">
        <v>4992</v>
      </c>
      <c r="R665" s="19"/>
      <c r="S665" s="19"/>
      <c r="U665" s="19"/>
      <c r="W665" s="19"/>
      <c r="X665" s="19" t="s">
        <v>4993</v>
      </c>
      <c r="Y665" s="27" t="s">
        <v>133</v>
      </c>
      <c r="Z665" s="27" t="s">
        <v>4994</v>
      </c>
      <c r="AA665" s="27" t="s">
        <v>4995</v>
      </c>
      <c r="AB665" s="27" t="s">
        <v>4996</v>
      </c>
      <c r="AC665" s="37" t="s">
        <v>4997</v>
      </c>
      <c r="AD665" s="38" t="s">
        <v>4998</v>
      </c>
      <c r="AE665" s="36">
        <v>45931</v>
      </c>
      <c r="AF665" s="19" t="s">
        <v>89</v>
      </c>
      <c r="AG665" s="19" t="s">
        <v>61</v>
      </c>
      <c r="AH665" s="19" t="s">
        <v>62</v>
      </c>
      <c r="AI665" s="19" t="s">
        <v>63</v>
      </c>
      <c r="AJ665" s="19" t="s">
        <v>4999</v>
      </c>
      <c r="AK665" s="19"/>
      <c r="AL665" s="19"/>
      <c r="AM665" s="19"/>
      <c r="AN665" s="19" t="s">
        <v>128</v>
      </c>
      <c r="AO665" s="23">
        <v>45945.611111111109</v>
      </c>
      <c r="AP665" s="26">
        <f t="shared" si="23"/>
        <v>12</v>
      </c>
    </row>
    <row r="666" spans="1:42" ht="25.5" hidden="1" customHeight="1">
      <c r="A666" s="19" t="s">
        <v>42</v>
      </c>
      <c r="B666" s="19" t="s">
        <v>451</v>
      </c>
      <c r="C666" s="19" t="s">
        <v>452</v>
      </c>
      <c r="D666" s="19" t="s">
        <v>45</v>
      </c>
      <c r="E666" s="19" t="s">
        <v>46</v>
      </c>
      <c r="F666" s="19" t="s">
        <v>5000</v>
      </c>
      <c r="G666" s="19" t="s">
        <v>48</v>
      </c>
      <c r="H666" s="19" t="s">
        <v>49</v>
      </c>
      <c r="I666" s="20">
        <v>45945.738888888889</v>
      </c>
      <c r="K666" s="19"/>
      <c r="L666" s="20">
        <v>45945.762499999997</v>
      </c>
      <c r="M666" s="19"/>
      <c r="N666" s="22">
        <f t="shared" si="22"/>
        <v>2.361111110803904E-2</v>
      </c>
      <c r="O666" s="19" t="s">
        <v>50</v>
      </c>
      <c r="P666" s="19" t="s">
        <v>5001</v>
      </c>
      <c r="Q666" s="19" t="s">
        <v>5002</v>
      </c>
      <c r="R666" s="19"/>
      <c r="S666" s="19"/>
      <c r="U666" s="19"/>
      <c r="W666" s="19"/>
      <c r="X666" s="19" t="s">
        <v>122</v>
      </c>
      <c r="Y666" s="27" t="s">
        <v>54</v>
      </c>
      <c r="Z666" s="27" t="s">
        <v>1852</v>
      </c>
      <c r="AA666" s="27" t="s">
        <v>5003</v>
      </c>
      <c r="AB666" s="27" t="s">
        <v>5004</v>
      </c>
      <c r="AC666" s="37" t="s">
        <v>5005</v>
      </c>
      <c r="AD666" s="38" t="s">
        <v>5006</v>
      </c>
      <c r="AE666" s="36">
        <v>45931</v>
      </c>
      <c r="AF666" s="19" t="s">
        <v>89</v>
      </c>
      <c r="AG666" s="19" t="s">
        <v>61</v>
      </c>
      <c r="AH666" s="19" t="s">
        <v>62</v>
      </c>
      <c r="AI666" s="19" t="s">
        <v>63</v>
      </c>
      <c r="AJ666" s="19" t="s">
        <v>5007</v>
      </c>
      <c r="AK666" s="19"/>
      <c r="AL666" s="19"/>
      <c r="AM666" s="19"/>
      <c r="AN666" s="19" t="s">
        <v>65</v>
      </c>
      <c r="AO666" s="23">
        <v>45945.738888888889</v>
      </c>
      <c r="AP666" s="26">
        <f t="shared" si="23"/>
        <v>34</v>
      </c>
    </row>
    <row r="667" spans="1:42" ht="25.5" hidden="1" customHeight="1">
      <c r="A667" s="19" t="s">
        <v>42</v>
      </c>
      <c r="B667" s="19" t="s">
        <v>2605</v>
      </c>
      <c r="C667" s="19" t="s">
        <v>2606</v>
      </c>
      <c r="D667" s="19" t="s">
        <v>45</v>
      </c>
      <c r="E667" s="19" t="s">
        <v>46</v>
      </c>
      <c r="F667" s="19" t="s">
        <v>5008</v>
      </c>
      <c r="G667" s="19" t="s">
        <v>48</v>
      </c>
      <c r="H667" s="19" t="s">
        <v>49</v>
      </c>
      <c r="I667" s="20">
        <v>45946.895833333343</v>
      </c>
      <c r="K667" s="19"/>
      <c r="L667" s="20">
        <v>45946.922222222223</v>
      </c>
      <c r="M667" s="19"/>
      <c r="N667" s="22">
        <f t="shared" si="22"/>
        <v>2.6388888880319428E-2</v>
      </c>
      <c r="O667" s="19" t="s">
        <v>63</v>
      </c>
      <c r="P667" s="19" t="s">
        <v>5009</v>
      </c>
      <c r="Q667" s="19" t="s">
        <v>5010</v>
      </c>
      <c r="R667" s="19"/>
      <c r="S667" s="19"/>
      <c r="U667" s="19"/>
      <c r="W667" s="19"/>
      <c r="X667" s="19" t="s">
        <v>1412</v>
      </c>
      <c r="Y667" s="27" t="s">
        <v>54</v>
      </c>
      <c r="Z667" s="27" t="s">
        <v>414</v>
      </c>
      <c r="AA667" s="27" t="s">
        <v>5011</v>
      </c>
      <c r="AB667" s="27" t="s">
        <v>5012</v>
      </c>
      <c r="AC667" s="37">
        <v>45946.909722222219</v>
      </c>
      <c r="AD667" s="38">
        <v>45946.930555555547</v>
      </c>
      <c r="AE667" s="36">
        <v>45931</v>
      </c>
      <c r="AF667" s="19" t="s">
        <v>89</v>
      </c>
      <c r="AG667" s="19" t="s">
        <v>61</v>
      </c>
      <c r="AH667" s="19" t="s">
        <v>62</v>
      </c>
      <c r="AI667" s="19" t="s">
        <v>63</v>
      </c>
      <c r="AJ667" s="19" t="s">
        <v>5013</v>
      </c>
      <c r="AK667" s="19"/>
      <c r="AL667" s="19"/>
      <c r="AM667" s="19"/>
      <c r="AN667" s="19" t="s">
        <v>65</v>
      </c>
      <c r="AO667" s="23">
        <v>45946.913888888892</v>
      </c>
      <c r="AP667" s="26">
        <f t="shared" si="23"/>
        <v>38</v>
      </c>
    </row>
    <row r="668" spans="1:42" ht="25.5" customHeight="1">
      <c r="A668" s="19" t="s">
        <v>42</v>
      </c>
      <c r="C668" s="19" t="s">
        <v>5014</v>
      </c>
      <c r="D668" s="19" t="s">
        <v>45</v>
      </c>
      <c r="E668" s="19" t="s">
        <v>46</v>
      </c>
      <c r="F668" s="19" t="s">
        <v>5015</v>
      </c>
      <c r="G668" s="19" t="s">
        <v>48</v>
      </c>
      <c r="H668" s="19" t="s">
        <v>144</v>
      </c>
      <c r="I668" s="20">
        <v>45946.25</v>
      </c>
      <c r="K668" s="19">
        <v>45946.270833333343</v>
      </c>
      <c r="L668" s="20">
        <v>45946.350694444453</v>
      </c>
      <c r="M668" s="19"/>
      <c r="N668" s="22">
        <f t="shared" si="22"/>
        <v>0.10069444445252884</v>
      </c>
      <c r="O668" s="19" t="s">
        <v>50</v>
      </c>
      <c r="P668" s="19" t="s">
        <v>5016</v>
      </c>
      <c r="Q668" s="19" t="s">
        <v>5017</v>
      </c>
      <c r="R668" s="19"/>
      <c r="S668" s="19"/>
      <c r="U668" s="19"/>
      <c r="W668" s="19"/>
      <c r="X668" s="19" t="s">
        <v>72</v>
      </c>
      <c r="Y668" s="27" t="s">
        <v>147</v>
      </c>
      <c r="Z668" s="27" t="s">
        <v>78</v>
      </c>
      <c r="AA668" s="27" t="s">
        <v>78</v>
      </c>
      <c r="AB668" s="27" t="s">
        <v>78</v>
      </c>
      <c r="AC668" s="37" t="s">
        <v>78</v>
      </c>
      <c r="AD668" s="38" t="s">
        <v>78</v>
      </c>
      <c r="AE668" s="36">
        <v>45931</v>
      </c>
      <c r="AF668" s="19" t="s">
        <v>89</v>
      </c>
      <c r="AG668" s="19" t="s">
        <v>61</v>
      </c>
      <c r="AH668" s="19" t="s">
        <v>62</v>
      </c>
      <c r="AI668" s="19" t="s">
        <v>63</v>
      </c>
      <c r="AJ668" s="19" t="s">
        <v>5018</v>
      </c>
      <c r="AK668" s="19"/>
      <c r="AL668" s="19"/>
      <c r="AM668" s="19"/>
      <c r="AN668" s="19" t="s">
        <v>65</v>
      </c>
      <c r="AO668" s="23">
        <v>45946.379861111112</v>
      </c>
      <c r="AP668" s="26">
        <f t="shared" si="23"/>
        <v>145</v>
      </c>
    </row>
    <row r="669" spans="1:42" ht="25.5" hidden="1" customHeight="1">
      <c r="A669" s="19" t="s">
        <v>42</v>
      </c>
      <c r="B669" s="19" t="s">
        <v>5019</v>
      </c>
      <c r="C669" s="19" t="s">
        <v>5020</v>
      </c>
      <c r="D669" s="19" t="s">
        <v>45</v>
      </c>
      <c r="E669" s="19" t="s">
        <v>405</v>
      </c>
      <c r="F669" s="19" t="s">
        <v>5021</v>
      </c>
      <c r="G669" s="19" t="s">
        <v>48</v>
      </c>
      <c r="H669" s="19" t="s">
        <v>49</v>
      </c>
      <c r="I669" s="20">
        <v>45947.86041666667</v>
      </c>
      <c r="K669" s="19"/>
      <c r="L669" s="20">
        <v>45947.869444444441</v>
      </c>
      <c r="M669" s="19"/>
      <c r="N669" s="22">
        <f t="shared" si="22"/>
        <v>9.0277777708251961E-3</v>
      </c>
      <c r="O669" s="19" t="s">
        <v>50</v>
      </c>
      <c r="P669" s="19" t="s">
        <v>5022</v>
      </c>
      <c r="Q669" s="19" t="s">
        <v>5023</v>
      </c>
      <c r="R669" s="19"/>
      <c r="S669" s="19"/>
      <c r="U669" s="19"/>
      <c r="W669" s="19"/>
      <c r="X669" s="19" t="s">
        <v>1589</v>
      </c>
      <c r="Y669" s="27" t="s">
        <v>133</v>
      </c>
      <c r="Z669" s="27" t="s">
        <v>694</v>
      </c>
      <c r="AA669" s="27" t="s">
        <v>5024</v>
      </c>
      <c r="AB669" s="27" t="s">
        <v>5025</v>
      </c>
      <c r="AC669" s="37" t="s">
        <v>5026</v>
      </c>
      <c r="AD669" s="38" t="s">
        <v>5027</v>
      </c>
      <c r="AE669" s="36">
        <v>45931</v>
      </c>
      <c r="AF669" s="19" t="s">
        <v>60</v>
      </c>
      <c r="AG669" s="19" t="s">
        <v>78</v>
      </c>
      <c r="AH669" s="19" t="s">
        <v>78</v>
      </c>
      <c r="AI669" s="19" t="s">
        <v>63</v>
      </c>
      <c r="AJ669" s="19" t="s">
        <v>5028</v>
      </c>
      <c r="AK669" s="19"/>
      <c r="AL669" s="19"/>
      <c r="AM669" s="19"/>
      <c r="AN669" s="19" t="s">
        <v>65</v>
      </c>
      <c r="AO669" s="23">
        <v>45947.86041666667</v>
      </c>
      <c r="AP669" s="26">
        <f t="shared" si="23"/>
        <v>13</v>
      </c>
    </row>
    <row r="670" spans="1:42" ht="25.5" hidden="1" customHeight="1">
      <c r="A670" s="19" t="s">
        <v>42</v>
      </c>
      <c r="C670" s="19" t="s">
        <v>5029</v>
      </c>
      <c r="D670" s="19" t="s">
        <v>45</v>
      </c>
      <c r="E670" s="19" t="s">
        <v>46</v>
      </c>
      <c r="F670" s="19" t="s">
        <v>5030</v>
      </c>
      <c r="G670" s="19" t="s">
        <v>48</v>
      </c>
      <c r="H670" s="19" t="s">
        <v>49</v>
      </c>
      <c r="I670" s="20">
        <v>45947.372916666667</v>
      </c>
      <c r="K670" s="19"/>
      <c r="L670" s="20">
        <v>45947.472222222219</v>
      </c>
      <c r="M670" s="19"/>
      <c r="N670" s="22">
        <f t="shared" si="22"/>
        <v>9.9305555551836733E-2</v>
      </c>
      <c r="O670" s="19" t="s">
        <v>63</v>
      </c>
      <c r="P670" s="19" t="s">
        <v>5031</v>
      </c>
      <c r="Q670" s="19" t="s">
        <v>5032</v>
      </c>
      <c r="R670" s="19"/>
      <c r="S670" s="19"/>
      <c r="U670" s="19"/>
      <c r="W670" s="19"/>
      <c r="X670" s="19" t="s">
        <v>109</v>
      </c>
      <c r="Y670" s="27" t="s">
        <v>147</v>
      </c>
      <c r="Z670" s="27" t="s">
        <v>78</v>
      </c>
      <c r="AA670" s="27" t="s">
        <v>78</v>
      </c>
      <c r="AB670" s="27" t="s">
        <v>78</v>
      </c>
      <c r="AC670" s="37" t="s">
        <v>78</v>
      </c>
      <c r="AD670" s="38" t="s">
        <v>78</v>
      </c>
      <c r="AE670" s="36">
        <v>45931</v>
      </c>
      <c r="AF670" s="19" t="s">
        <v>89</v>
      </c>
      <c r="AG670" s="19" t="s">
        <v>90</v>
      </c>
      <c r="AH670" s="19" t="s">
        <v>62</v>
      </c>
      <c r="AI670" s="19" t="s">
        <v>63</v>
      </c>
      <c r="AJ670" s="19" t="s">
        <v>5033</v>
      </c>
      <c r="AK670" s="19"/>
      <c r="AL670" s="19"/>
      <c r="AM670" s="19"/>
      <c r="AN670" s="19" t="s">
        <v>65</v>
      </c>
      <c r="AO670" s="23">
        <v>45947.372916666667</v>
      </c>
      <c r="AP670" s="26">
        <f t="shared" si="23"/>
        <v>143</v>
      </c>
    </row>
    <row r="671" spans="1:42" ht="25.5" hidden="1" customHeight="1">
      <c r="A671" s="19" t="s">
        <v>42</v>
      </c>
      <c r="B671" s="19" t="s">
        <v>4763</v>
      </c>
      <c r="C671" s="19" t="s">
        <v>44</v>
      </c>
      <c r="D671" s="19" t="s">
        <v>45</v>
      </c>
      <c r="E671" s="19" t="s">
        <v>46</v>
      </c>
      <c r="F671" s="19" t="s">
        <v>5034</v>
      </c>
      <c r="G671" s="19" t="s">
        <v>48</v>
      </c>
      <c r="H671" s="19" t="s">
        <v>49</v>
      </c>
      <c r="I671" s="20">
        <v>45947.589583333327</v>
      </c>
      <c r="K671" s="19"/>
      <c r="L671" s="20">
        <v>45947.604861111111</v>
      </c>
      <c r="M671" s="19"/>
      <c r="N671" s="22">
        <f t="shared" si="22"/>
        <v>1.527777778392192E-2</v>
      </c>
      <c r="O671" s="19" t="s">
        <v>50</v>
      </c>
      <c r="P671" s="19" t="s">
        <v>4765</v>
      </c>
      <c r="Q671" s="19" t="s">
        <v>5035</v>
      </c>
      <c r="R671" s="19"/>
      <c r="S671" s="19"/>
      <c r="U671" s="19"/>
      <c r="W671" s="19"/>
      <c r="X671" s="19" t="s">
        <v>620</v>
      </c>
      <c r="Y671" s="27" t="s">
        <v>54</v>
      </c>
      <c r="Z671" s="27" t="s">
        <v>209</v>
      </c>
      <c r="AA671" s="27" t="s">
        <v>5036</v>
      </c>
      <c r="AB671" s="27" t="s">
        <v>5037</v>
      </c>
      <c r="AC671" s="37">
        <v>45947.601388888892</v>
      </c>
      <c r="AD671" s="38">
        <v>45947.604861111111</v>
      </c>
      <c r="AE671" s="36">
        <v>45931</v>
      </c>
      <c r="AF671" s="19" t="s">
        <v>89</v>
      </c>
      <c r="AG671" s="19" t="s">
        <v>90</v>
      </c>
      <c r="AH671" s="19" t="s">
        <v>62</v>
      </c>
      <c r="AI671" s="19" t="s">
        <v>63</v>
      </c>
      <c r="AJ671" s="19" t="s">
        <v>5038</v>
      </c>
      <c r="AK671" s="19"/>
      <c r="AL671" s="19"/>
      <c r="AM671" s="19"/>
      <c r="AN671" s="19" t="s">
        <v>128</v>
      </c>
      <c r="AO671" s="23">
        <v>45947.589583333327</v>
      </c>
      <c r="AP671" s="26">
        <f t="shared" si="23"/>
        <v>22</v>
      </c>
    </row>
    <row r="672" spans="1:42" ht="25.5" hidden="1" customHeight="1">
      <c r="A672" s="19" t="s">
        <v>42</v>
      </c>
      <c r="B672" s="19" t="s">
        <v>4875</v>
      </c>
      <c r="C672" s="19" t="s">
        <v>336</v>
      </c>
      <c r="D672" s="19" t="s">
        <v>45</v>
      </c>
      <c r="E672" s="19" t="s">
        <v>46</v>
      </c>
      <c r="F672" s="19" t="s">
        <v>5039</v>
      </c>
      <c r="G672" s="19" t="s">
        <v>48</v>
      </c>
      <c r="H672" s="19" t="s">
        <v>49</v>
      </c>
      <c r="I672" s="20">
        <v>45948.125</v>
      </c>
      <c r="K672" s="19"/>
      <c r="L672" s="20">
        <v>45948.21875</v>
      </c>
      <c r="M672" s="19"/>
      <c r="N672" s="22">
        <f t="shared" si="22"/>
        <v>9.375E-2</v>
      </c>
      <c r="O672" s="19" t="s">
        <v>50</v>
      </c>
      <c r="P672" s="19" t="s">
        <v>5040</v>
      </c>
      <c r="Q672" s="19" t="s">
        <v>5041</v>
      </c>
      <c r="R672" s="19"/>
      <c r="S672" s="19"/>
      <c r="U672" s="19"/>
      <c r="W672" s="19"/>
      <c r="X672" s="19" t="s">
        <v>314</v>
      </c>
      <c r="Y672" s="27" t="s">
        <v>54</v>
      </c>
      <c r="Z672" s="27" t="s">
        <v>4105</v>
      </c>
      <c r="AA672" s="27" t="s">
        <v>5042</v>
      </c>
      <c r="AB672" s="27" t="s">
        <v>5043</v>
      </c>
      <c r="AC672" s="37" t="s">
        <v>5044</v>
      </c>
      <c r="AD672" s="38" t="s">
        <v>5045</v>
      </c>
      <c r="AE672" s="36">
        <v>45931</v>
      </c>
      <c r="AF672" s="19" t="s">
        <v>89</v>
      </c>
      <c r="AG672" s="19" t="s">
        <v>90</v>
      </c>
      <c r="AH672" s="19" t="s">
        <v>62</v>
      </c>
      <c r="AI672" s="19" t="s">
        <v>63</v>
      </c>
      <c r="AJ672" s="19" t="s">
        <v>5046</v>
      </c>
      <c r="AK672" s="19"/>
      <c r="AL672" s="19"/>
      <c r="AM672" s="19"/>
      <c r="AN672" s="19" t="s">
        <v>65</v>
      </c>
      <c r="AO672" s="23">
        <v>45948.125</v>
      </c>
      <c r="AP672" s="26">
        <f t="shared" si="23"/>
        <v>135</v>
      </c>
    </row>
    <row r="673" spans="1:42" ht="25.5" hidden="1" customHeight="1">
      <c r="A673" s="19" t="s">
        <v>42</v>
      </c>
      <c r="B673" s="19" t="s">
        <v>2902</v>
      </c>
      <c r="C673" s="19" t="s">
        <v>105</v>
      </c>
      <c r="D673" s="19" t="s">
        <v>45</v>
      </c>
      <c r="E673" s="19" t="s">
        <v>46</v>
      </c>
      <c r="F673" s="19" t="s">
        <v>5047</v>
      </c>
      <c r="G673" s="19" t="s">
        <v>48</v>
      </c>
      <c r="H673" s="19" t="s">
        <v>49</v>
      </c>
      <c r="I673" s="20">
        <v>45948.1875</v>
      </c>
      <c r="K673" s="19"/>
      <c r="L673" s="20">
        <v>45948.222916666673</v>
      </c>
      <c r="M673" s="19"/>
      <c r="N673" s="22">
        <f t="shared" si="22"/>
        <v>3.5416666672972497E-2</v>
      </c>
      <c r="O673" s="19" t="s">
        <v>50</v>
      </c>
      <c r="P673" s="19" t="s">
        <v>5048</v>
      </c>
      <c r="Q673" s="19" t="s">
        <v>5049</v>
      </c>
      <c r="R673" s="19"/>
      <c r="S673" s="19"/>
      <c r="U673" s="19"/>
      <c r="W673" s="19"/>
      <c r="X673" s="19" t="s">
        <v>109</v>
      </c>
      <c r="Y673" s="27" t="s">
        <v>54</v>
      </c>
      <c r="Z673" s="27" t="s">
        <v>1852</v>
      </c>
      <c r="AA673" s="27" t="s">
        <v>5050</v>
      </c>
      <c r="AB673" s="27" t="s">
        <v>5051</v>
      </c>
      <c r="AC673" s="37" t="s">
        <v>5052</v>
      </c>
      <c r="AD673" s="38" t="s">
        <v>5053</v>
      </c>
      <c r="AE673" s="36">
        <v>45931</v>
      </c>
      <c r="AF673" s="19" t="s">
        <v>99</v>
      </c>
      <c r="AG673" s="19" t="s">
        <v>971</v>
      </c>
      <c r="AH673" s="19" t="s">
        <v>62</v>
      </c>
      <c r="AI673" s="19" t="s">
        <v>63</v>
      </c>
      <c r="AJ673" s="19" t="s">
        <v>5054</v>
      </c>
      <c r="AK673" s="19" t="s">
        <v>5055</v>
      </c>
      <c r="AL673" s="19"/>
      <c r="AM673" s="19"/>
      <c r="AN673" s="19" t="s">
        <v>103</v>
      </c>
      <c r="AO673" s="23">
        <v>45948.206944444442</v>
      </c>
      <c r="AP673" s="26">
        <f t="shared" si="23"/>
        <v>51</v>
      </c>
    </row>
    <row r="674" spans="1:42" ht="25.5" hidden="1" customHeight="1">
      <c r="A674" s="19" t="s">
        <v>42</v>
      </c>
      <c r="B674" s="19" t="s">
        <v>4875</v>
      </c>
      <c r="C674" s="19" t="s">
        <v>336</v>
      </c>
      <c r="D674" s="19" t="s">
        <v>45</v>
      </c>
      <c r="E674" s="19" t="s">
        <v>46</v>
      </c>
      <c r="F674" s="19" t="s">
        <v>5039</v>
      </c>
      <c r="G674" s="19" t="s">
        <v>226</v>
      </c>
      <c r="H674" s="19" t="s">
        <v>49</v>
      </c>
      <c r="I674" s="20">
        <v>45948.326388888891</v>
      </c>
      <c r="K674" s="19"/>
      <c r="L674" s="20">
        <v>45948.527777777781</v>
      </c>
      <c r="M674" s="19"/>
      <c r="N674" s="22">
        <f t="shared" si="22"/>
        <v>0.20138888889050577</v>
      </c>
      <c r="O674" s="19" t="s">
        <v>50</v>
      </c>
      <c r="P674" s="19" t="s">
        <v>5040</v>
      </c>
      <c r="Q674" s="19" t="s">
        <v>5056</v>
      </c>
      <c r="R674" s="19" t="s">
        <v>5057</v>
      </c>
      <c r="S674" s="19" t="s">
        <v>5058</v>
      </c>
      <c r="T674" s="20">
        <v>45948.658946759257</v>
      </c>
      <c r="U674" s="19">
        <v>45960.707638888889</v>
      </c>
      <c r="V674" s="19" t="s">
        <v>157</v>
      </c>
      <c r="W674" s="19"/>
      <c r="X674" s="19" t="s">
        <v>314</v>
      </c>
      <c r="Y674" s="27" t="s">
        <v>54</v>
      </c>
      <c r="Z674" s="27" t="s">
        <v>5059</v>
      </c>
      <c r="AA674" s="27" t="s">
        <v>5060</v>
      </c>
      <c r="AB674" s="27" t="s">
        <v>5061</v>
      </c>
      <c r="AC674" s="37" t="s">
        <v>5062</v>
      </c>
      <c r="AD674" s="38" t="s">
        <v>5063</v>
      </c>
      <c r="AE674" s="36">
        <v>45931</v>
      </c>
      <c r="AF674" s="19" t="s">
        <v>293</v>
      </c>
      <c r="AG674" s="19" t="s">
        <v>556</v>
      </c>
      <c r="AH674" s="19" t="s">
        <v>62</v>
      </c>
      <c r="AI674" s="19" t="s">
        <v>63</v>
      </c>
      <c r="AJ674" s="19" t="s">
        <v>5064</v>
      </c>
      <c r="AK674" s="19"/>
      <c r="AL674" s="19"/>
      <c r="AM674" s="19"/>
      <c r="AN674" s="19" t="s">
        <v>65</v>
      </c>
      <c r="AO674" s="23">
        <v>45948.326388888891</v>
      </c>
      <c r="AP674" s="26">
        <f t="shared" si="23"/>
        <v>290</v>
      </c>
    </row>
    <row r="675" spans="1:42" ht="25.5" hidden="1" customHeight="1">
      <c r="A675" s="19" t="s">
        <v>42</v>
      </c>
      <c r="C675" s="19" t="s">
        <v>430</v>
      </c>
      <c r="D675" s="19" t="s">
        <v>45</v>
      </c>
      <c r="E675" s="19" t="s">
        <v>46</v>
      </c>
      <c r="F675" s="19" t="s">
        <v>5065</v>
      </c>
      <c r="G675" s="19" t="s">
        <v>48</v>
      </c>
      <c r="H675" s="19" t="s">
        <v>49</v>
      </c>
      <c r="I675" s="20">
        <v>45949.663194444453</v>
      </c>
      <c r="K675" s="19"/>
      <c r="L675" s="20">
        <v>45949.702777777777</v>
      </c>
      <c r="M675" s="19"/>
      <c r="N675" s="22">
        <f t="shared" si="22"/>
        <v>3.958333332411712E-2</v>
      </c>
      <c r="O675" s="19" t="s">
        <v>50</v>
      </c>
      <c r="P675" s="19" t="s">
        <v>5066</v>
      </c>
      <c r="Q675" s="19" t="s">
        <v>5067</v>
      </c>
      <c r="R675" s="19"/>
      <c r="S675" s="19"/>
      <c r="U675" s="19"/>
      <c r="W675" s="19"/>
      <c r="X675" s="19" t="s">
        <v>434</v>
      </c>
      <c r="Y675" s="27" t="s">
        <v>54</v>
      </c>
      <c r="Z675" s="27" t="s">
        <v>838</v>
      </c>
      <c r="AA675" s="27" t="s">
        <v>5068</v>
      </c>
      <c r="AB675" s="27" t="s">
        <v>5069</v>
      </c>
      <c r="AC675" s="37" t="s">
        <v>5070</v>
      </c>
      <c r="AD675" s="38" t="s">
        <v>5071</v>
      </c>
      <c r="AE675" s="36">
        <v>45955</v>
      </c>
      <c r="AF675" s="19" t="s">
        <v>89</v>
      </c>
      <c r="AG675" s="19" t="s">
        <v>90</v>
      </c>
      <c r="AH675" s="19" t="s">
        <v>62</v>
      </c>
      <c r="AI675" s="19" t="s">
        <v>63</v>
      </c>
      <c r="AJ675" s="19" t="s">
        <v>5072</v>
      </c>
      <c r="AK675" s="19"/>
      <c r="AL675" s="19"/>
      <c r="AM675" s="19"/>
      <c r="AN675" s="19" t="s">
        <v>65</v>
      </c>
      <c r="AO675" s="23">
        <v>45949.663194444453</v>
      </c>
      <c r="AP675" s="26">
        <f t="shared" si="23"/>
        <v>57</v>
      </c>
    </row>
    <row r="676" spans="1:42" ht="25.5" hidden="1" customHeight="1">
      <c r="A676" s="19" t="s">
        <v>42</v>
      </c>
      <c r="B676" s="19" t="s">
        <v>5073</v>
      </c>
      <c r="C676" s="19" t="s">
        <v>2677</v>
      </c>
      <c r="D676" s="19" t="s">
        <v>45</v>
      </c>
      <c r="E676" s="19" t="s">
        <v>225</v>
      </c>
      <c r="F676" s="19" t="s">
        <v>5074</v>
      </c>
      <c r="G676" s="19" t="s">
        <v>48</v>
      </c>
      <c r="H676" s="19" t="s">
        <v>49</v>
      </c>
      <c r="I676" s="20">
        <v>45952.773611111108</v>
      </c>
      <c r="K676" s="19"/>
      <c r="L676" s="20">
        <v>45952.875</v>
      </c>
      <c r="M676" s="19"/>
      <c r="N676" s="22">
        <f t="shared" si="22"/>
        <v>0.10138888889196096</v>
      </c>
      <c r="O676" s="19" t="s">
        <v>50</v>
      </c>
      <c r="P676" s="19" t="s">
        <v>5075</v>
      </c>
      <c r="Q676" s="19" t="s">
        <v>5076</v>
      </c>
      <c r="R676" s="19"/>
      <c r="S676" s="19"/>
      <c r="U676" s="19"/>
      <c r="W676" s="19"/>
      <c r="X676" s="19" t="s">
        <v>314</v>
      </c>
      <c r="Y676" s="27" t="s">
        <v>54</v>
      </c>
      <c r="Z676" s="27" t="s">
        <v>414</v>
      </c>
      <c r="AA676" s="27" t="s">
        <v>5077</v>
      </c>
      <c r="AB676" s="27" t="s">
        <v>5078</v>
      </c>
      <c r="AC676" s="37" t="s">
        <v>5079</v>
      </c>
      <c r="AD676" s="38" t="s">
        <v>5080</v>
      </c>
      <c r="AE676" s="36">
        <v>45931</v>
      </c>
      <c r="AF676" s="19" t="s">
        <v>89</v>
      </c>
      <c r="AG676" s="19" t="s">
        <v>90</v>
      </c>
      <c r="AH676" s="19" t="s">
        <v>62</v>
      </c>
      <c r="AI676" s="19" t="s">
        <v>63</v>
      </c>
      <c r="AJ676" s="19" t="s">
        <v>5081</v>
      </c>
      <c r="AK676" s="19"/>
      <c r="AL676" s="19"/>
      <c r="AM676" s="19"/>
      <c r="AN676" s="19" t="s">
        <v>103</v>
      </c>
      <c r="AO676" s="23">
        <v>45952.773611111108</v>
      </c>
      <c r="AP676" s="26">
        <f t="shared" si="23"/>
        <v>146</v>
      </c>
    </row>
    <row r="677" spans="1:42" ht="25.5" hidden="1" customHeight="1">
      <c r="A677" s="19" t="s">
        <v>42</v>
      </c>
      <c r="B677" s="19" t="s">
        <v>5082</v>
      </c>
      <c r="C677" s="19" t="s">
        <v>5083</v>
      </c>
      <c r="D677" s="19" t="s">
        <v>45</v>
      </c>
      <c r="E677" s="19" t="s">
        <v>46</v>
      </c>
      <c r="F677" s="19" t="s">
        <v>5084</v>
      </c>
      <c r="G677" s="19" t="s">
        <v>48</v>
      </c>
      <c r="H677" s="19" t="s">
        <v>49</v>
      </c>
      <c r="I677" s="20">
        <v>45953.963194444441</v>
      </c>
      <c r="K677" s="19"/>
      <c r="L677" s="20">
        <v>45953.973611111112</v>
      </c>
      <c r="M677" s="19"/>
      <c r="N677" s="22">
        <f t="shared" si="22"/>
        <v>1.0416666671517305E-2</v>
      </c>
      <c r="O677" s="19" t="s">
        <v>50</v>
      </c>
      <c r="P677" s="19" t="s">
        <v>5085</v>
      </c>
      <c r="Q677" s="19" t="s">
        <v>5086</v>
      </c>
      <c r="R677" s="19"/>
      <c r="S677" s="19"/>
      <c r="U677" s="19"/>
      <c r="W677" s="19"/>
      <c r="X677" s="19" t="s">
        <v>5087</v>
      </c>
      <c r="Y677" s="27" t="s">
        <v>133</v>
      </c>
      <c r="Z677" s="27" t="s">
        <v>5088</v>
      </c>
      <c r="AA677" s="27" t="s">
        <v>5089</v>
      </c>
      <c r="AB677" s="27" t="s">
        <v>5090</v>
      </c>
      <c r="AC677" s="37" t="s">
        <v>5091</v>
      </c>
      <c r="AD677" s="38" t="s">
        <v>5092</v>
      </c>
      <c r="AE677" s="36">
        <v>45931</v>
      </c>
      <c r="AF677" s="19" t="s">
        <v>78</v>
      </c>
      <c r="AG677" s="19" t="s">
        <v>78</v>
      </c>
      <c r="AH677" s="19" t="s">
        <v>78</v>
      </c>
      <c r="AI677" s="19" t="s">
        <v>63</v>
      </c>
      <c r="AJ677" s="19" t="s">
        <v>5093</v>
      </c>
      <c r="AK677" s="19"/>
      <c r="AL677" s="19"/>
      <c r="AM677" s="19"/>
      <c r="AN677" s="19" t="s">
        <v>103</v>
      </c>
      <c r="AO677" s="23">
        <v>45953.965277777781</v>
      </c>
      <c r="AP677" s="26">
        <f t="shared" si="23"/>
        <v>15</v>
      </c>
    </row>
    <row r="678" spans="1:42" ht="25.5" hidden="1" customHeight="1">
      <c r="A678" s="19" t="s">
        <v>42</v>
      </c>
      <c r="B678" s="19" t="s">
        <v>43</v>
      </c>
      <c r="C678" s="19" t="s">
        <v>129</v>
      </c>
      <c r="D678" s="19" t="s">
        <v>45</v>
      </c>
      <c r="E678" s="19" t="s">
        <v>46</v>
      </c>
      <c r="F678" s="19" t="s">
        <v>5094</v>
      </c>
      <c r="G678" s="19" t="s">
        <v>48</v>
      </c>
      <c r="H678" s="19" t="s">
        <v>49</v>
      </c>
      <c r="I678" s="20">
        <v>45954.455555555563</v>
      </c>
      <c r="K678" s="19"/>
      <c r="L678" s="20">
        <v>45954.461805555547</v>
      </c>
      <c r="M678" s="19"/>
      <c r="N678" s="22">
        <f t="shared" si="22"/>
        <v>6.2499999839928932E-3</v>
      </c>
      <c r="O678" s="19" t="s">
        <v>50</v>
      </c>
      <c r="P678" s="19" t="s">
        <v>4765</v>
      </c>
      <c r="Q678" s="19" t="s">
        <v>5095</v>
      </c>
      <c r="R678" s="19"/>
      <c r="S678" s="19"/>
      <c r="U678" s="19"/>
      <c r="W678" s="19"/>
      <c r="X678" s="19" t="s">
        <v>109</v>
      </c>
      <c r="Y678" s="27" t="s">
        <v>133</v>
      </c>
      <c r="Z678" s="27" t="s">
        <v>5096</v>
      </c>
      <c r="AA678" s="27" t="s">
        <v>5097</v>
      </c>
      <c r="AB678" s="27" t="s">
        <v>5098</v>
      </c>
      <c r="AC678" s="37" t="s">
        <v>5099</v>
      </c>
      <c r="AD678" s="38" t="s">
        <v>5100</v>
      </c>
      <c r="AE678" s="36">
        <v>45931</v>
      </c>
      <c r="AF678" s="19" t="s">
        <v>89</v>
      </c>
      <c r="AG678" s="19" t="s">
        <v>90</v>
      </c>
      <c r="AH678" s="19" t="s">
        <v>62</v>
      </c>
      <c r="AI678" s="19" t="s">
        <v>63</v>
      </c>
      <c r="AJ678" s="19" t="s">
        <v>5101</v>
      </c>
      <c r="AK678" s="19"/>
      <c r="AL678" s="19"/>
      <c r="AM678" s="19"/>
      <c r="AN678" s="19" t="s">
        <v>65</v>
      </c>
      <c r="AO678" s="23">
        <v>45954.457638888889</v>
      </c>
      <c r="AP678" s="26">
        <f t="shared" si="23"/>
        <v>9</v>
      </c>
    </row>
    <row r="679" spans="1:42" ht="25.5" hidden="1" customHeight="1">
      <c r="A679" s="19" t="s">
        <v>42</v>
      </c>
      <c r="B679" s="19" t="s">
        <v>5102</v>
      </c>
      <c r="C679" s="19" t="s">
        <v>5103</v>
      </c>
      <c r="D679" s="19" t="s">
        <v>45</v>
      </c>
      <c r="E679" s="19" t="s">
        <v>46</v>
      </c>
      <c r="F679" s="19" t="s">
        <v>5104</v>
      </c>
      <c r="G679" s="19" t="s">
        <v>48</v>
      </c>
      <c r="H679" s="19" t="s">
        <v>49</v>
      </c>
      <c r="I679" s="20">
        <v>45955.613194444442</v>
      </c>
      <c r="K679" s="19"/>
      <c r="L679" s="20">
        <v>45955.864583333343</v>
      </c>
      <c r="M679" s="19"/>
      <c r="N679" s="22">
        <f t="shared" si="22"/>
        <v>0.25138888890069211</v>
      </c>
      <c r="O679" s="19" t="s">
        <v>63</v>
      </c>
      <c r="P679" s="19" t="s">
        <v>5105</v>
      </c>
      <c r="Q679" s="19" t="s">
        <v>5106</v>
      </c>
      <c r="R679" s="19" t="s">
        <v>5107</v>
      </c>
      <c r="S679" s="19" t="s">
        <v>5108</v>
      </c>
      <c r="T679" s="20">
        <v>45957.515231481477</v>
      </c>
      <c r="U679" s="19">
        <v>45960.556250000001</v>
      </c>
      <c r="V679" s="19" t="s">
        <v>157</v>
      </c>
      <c r="W679" s="19"/>
      <c r="X679" s="19" t="s">
        <v>5109</v>
      </c>
      <c r="Y679" s="27" t="s">
        <v>54</v>
      </c>
      <c r="Z679" s="27" t="s">
        <v>1852</v>
      </c>
      <c r="AA679" s="27" t="s">
        <v>5110</v>
      </c>
      <c r="AB679" s="27" t="s">
        <v>5111</v>
      </c>
      <c r="AC679" s="37" t="s">
        <v>5112</v>
      </c>
      <c r="AD679" s="38" t="s">
        <v>5113</v>
      </c>
      <c r="AE679" s="36">
        <v>45931</v>
      </c>
      <c r="AF679" s="19" t="s">
        <v>89</v>
      </c>
      <c r="AG679" s="19" t="s">
        <v>126</v>
      </c>
      <c r="AH679" s="19" t="s">
        <v>62</v>
      </c>
      <c r="AI679" s="19" t="s">
        <v>63</v>
      </c>
      <c r="AJ679" s="19" t="s">
        <v>5114</v>
      </c>
      <c r="AK679" s="19"/>
      <c r="AL679" s="19"/>
      <c r="AM679" s="19"/>
      <c r="AN679" s="19" t="s">
        <v>103</v>
      </c>
      <c r="AO679" s="23">
        <v>45955.613194444442</v>
      </c>
      <c r="AP679" s="26">
        <f t="shared" si="23"/>
        <v>362</v>
      </c>
    </row>
    <row r="680" spans="1:42" ht="25.5" hidden="1" customHeight="1">
      <c r="A680" s="19" t="s">
        <v>42</v>
      </c>
      <c r="B680" s="19" t="s">
        <v>2605</v>
      </c>
      <c r="C680" s="19" t="s">
        <v>2606</v>
      </c>
      <c r="D680" s="19" t="s">
        <v>45</v>
      </c>
      <c r="E680" s="19" t="s">
        <v>46</v>
      </c>
      <c r="F680" s="19" t="s">
        <v>5115</v>
      </c>
      <c r="G680" s="19" t="s">
        <v>48</v>
      </c>
      <c r="H680" s="19" t="s">
        <v>49</v>
      </c>
      <c r="I680" s="20">
        <v>45955.918749999997</v>
      </c>
      <c r="K680" s="19"/>
      <c r="L680" s="20">
        <v>45955.936111111107</v>
      </c>
      <c r="M680" s="19"/>
      <c r="N680" s="22">
        <f t="shared" si="22"/>
        <v>1.7361111109494232E-2</v>
      </c>
      <c r="O680" s="19" t="s">
        <v>63</v>
      </c>
      <c r="P680" s="19" t="s">
        <v>5116</v>
      </c>
      <c r="Q680" s="19" t="s">
        <v>5117</v>
      </c>
      <c r="R680" s="19"/>
      <c r="S680" s="19"/>
      <c r="U680" s="19"/>
      <c r="W680" s="19"/>
      <c r="X680" s="19" t="s">
        <v>1412</v>
      </c>
      <c r="Y680" s="27" t="s">
        <v>147</v>
      </c>
      <c r="Z680" s="27" t="s">
        <v>78</v>
      </c>
      <c r="AA680" s="27" t="s">
        <v>78</v>
      </c>
      <c r="AB680" s="27" t="s">
        <v>78</v>
      </c>
      <c r="AC680" s="37" t="s">
        <v>78</v>
      </c>
      <c r="AD680" s="38" t="s">
        <v>78</v>
      </c>
      <c r="AE680" s="36">
        <v>45931</v>
      </c>
      <c r="AF680" s="19" t="s">
        <v>89</v>
      </c>
      <c r="AG680" s="19" t="s">
        <v>61</v>
      </c>
      <c r="AH680" s="19" t="s">
        <v>62</v>
      </c>
      <c r="AI680" s="19" t="s">
        <v>63</v>
      </c>
      <c r="AJ680" s="19" t="s">
        <v>5013</v>
      </c>
      <c r="AK680" s="19"/>
      <c r="AL680" s="19"/>
      <c r="AM680" s="19"/>
      <c r="AN680" s="19" t="s">
        <v>65</v>
      </c>
      <c r="AO680" s="23">
        <v>45955.918749999997</v>
      </c>
      <c r="AP680" s="26">
        <f t="shared" si="23"/>
        <v>25</v>
      </c>
    </row>
    <row r="681" spans="1:42" ht="25.5" hidden="1" customHeight="1">
      <c r="A681" s="19" t="s">
        <v>42</v>
      </c>
      <c r="B681" s="19" t="s">
        <v>186</v>
      </c>
      <c r="C681" s="19" t="s">
        <v>577</v>
      </c>
      <c r="D681" s="19" t="s">
        <v>45</v>
      </c>
      <c r="E681" s="19" t="s">
        <v>46</v>
      </c>
      <c r="F681" s="19" t="s">
        <v>5118</v>
      </c>
      <c r="G681" s="19" t="s">
        <v>48</v>
      </c>
      <c r="H681" s="19" t="s">
        <v>49</v>
      </c>
      <c r="I681" s="20">
        <v>45957.20416666667</v>
      </c>
      <c r="K681" s="19"/>
      <c r="L681" s="20">
        <v>45957.263194444437</v>
      </c>
      <c r="M681" s="19"/>
      <c r="N681" s="22">
        <f t="shared" si="22"/>
        <v>5.9027777766459621E-2</v>
      </c>
      <c r="O681" s="19" t="s">
        <v>63</v>
      </c>
      <c r="P681" s="19" t="s">
        <v>5119</v>
      </c>
      <c r="Q681" s="19" t="s">
        <v>5120</v>
      </c>
      <c r="R681" s="19" t="s">
        <v>5121</v>
      </c>
      <c r="S681" s="19" t="s">
        <v>5122</v>
      </c>
      <c r="T681" s="20">
        <v>45960.536111111112</v>
      </c>
      <c r="U681" s="19">
        <v>45960.546527777777</v>
      </c>
      <c r="V681" s="19" t="s">
        <v>157</v>
      </c>
      <c r="W681" s="19"/>
      <c r="X681" s="19" t="s">
        <v>191</v>
      </c>
      <c r="Y681" s="27" t="s">
        <v>54</v>
      </c>
      <c r="Z681" s="27" t="s">
        <v>209</v>
      </c>
      <c r="AA681" s="27" t="s">
        <v>5123</v>
      </c>
      <c r="AB681" s="27" t="s">
        <v>5124</v>
      </c>
      <c r="AC681" s="37" t="s">
        <v>5125</v>
      </c>
      <c r="AD681" s="38" t="s">
        <v>861</v>
      </c>
      <c r="AE681" s="36">
        <v>45931</v>
      </c>
      <c r="AF681" s="19" t="s">
        <v>89</v>
      </c>
      <c r="AG681" s="19" t="s">
        <v>90</v>
      </c>
      <c r="AH681" s="19" t="s">
        <v>62</v>
      </c>
      <c r="AI681" s="19" t="s">
        <v>63</v>
      </c>
      <c r="AJ681" s="19" t="s">
        <v>5126</v>
      </c>
      <c r="AK681" s="19"/>
      <c r="AL681" s="19"/>
      <c r="AM681" s="19"/>
      <c r="AN681" s="19" t="s">
        <v>65</v>
      </c>
      <c r="AO681" s="23">
        <v>45957.20416666667</v>
      </c>
      <c r="AP681" s="26">
        <f t="shared" si="23"/>
        <v>85</v>
      </c>
    </row>
    <row r="682" spans="1:42" ht="25.5" hidden="1" customHeight="1">
      <c r="A682" s="19" t="s">
        <v>42</v>
      </c>
      <c r="B682" s="19" t="s">
        <v>4825</v>
      </c>
      <c r="C682" s="19" t="s">
        <v>5029</v>
      </c>
      <c r="D682" s="19" t="s">
        <v>45</v>
      </c>
      <c r="E682" s="19" t="s">
        <v>46</v>
      </c>
      <c r="F682" s="19" t="s">
        <v>5127</v>
      </c>
      <c r="G682" s="19" t="s">
        <v>48</v>
      </c>
      <c r="H682" s="19" t="s">
        <v>49</v>
      </c>
      <c r="I682" s="20">
        <v>45957.439583333333</v>
      </c>
      <c r="K682" s="19"/>
      <c r="L682" s="20">
        <v>45957.470138888893</v>
      </c>
      <c r="M682" s="19"/>
      <c r="N682" s="22">
        <f t="shared" si="22"/>
        <v>3.0555555560567882E-2</v>
      </c>
      <c r="O682" s="19" t="s">
        <v>63</v>
      </c>
      <c r="P682" s="19" t="s">
        <v>5128</v>
      </c>
      <c r="Q682" s="19" t="s">
        <v>5129</v>
      </c>
      <c r="R682" s="19"/>
      <c r="S682" s="19"/>
      <c r="U682" s="19"/>
      <c r="W682" s="19"/>
      <c r="X682" s="19" t="s">
        <v>109</v>
      </c>
      <c r="Y682" s="27" t="s">
        <v>54</v>
      </c>
      <c r="Z682" s="27" t="s">
        <v>110</v>
      </c>
      <c r="AA682" s="27" t="s">
        <v>5130</v>
      </c>
      <c r="AB682" s="27" t="s">
        <v>5131</v>
      </c>
      <c r="AC682" s="37" t="s">
        <v>5132</v>
      </c>
      <c r="AD682" s="38" t="s">
        <v>5133</v>
      </c>
      <c r="AE682" s="36">
        <v>45931</v>
      </c>
      <c r="AF682" s="19" t="s">
        <v>99</v>
      </c>
      <c r="AG682" s="19" t="s">
        <v>971</v>
      </c>
      <c r="AH682" s="19" t="s">
        <v>62</v>
      </c>
      <c r="AI682" s="19" t="s">
        <v>63</v>
      </c>
      <c r="AJ682" s="19" t="s">
        <v>5134</v>
      </c>
      <c r="AK682" s="19" t="s">
        <v>5135</v>
      </c>
      <c r="AL682" s="19"/>
      <c r="AM682" s="19"/>
      <c r="AN682" s="19" t="s">
        <v>65</v>
      </c>
      <c r="AO682" s="23">
        <v>45957.439583333333</v>
      </c>
      <c r="AP682" s="26">
        <f t="shared" si="23"/>
        <v>44</v>
      </c>
    </row>
    <row r="683" spans="1:42" ht="25.5" customHeight="1">
      <c r="A683" s="19" t="s">
        <v>285</v>
      </c>
      <c r="B683" s="19" t="s">
        <v>5136</v>
      </c>
      <c r="C683" s="19" t="s">
        <v>5137</v>
      </c>
      <c r="D683" s="19" t="s">
        <v>45</v>
      </c>
      <c r="E683" s="19" t="s">
        <v>46</v>
      </c>
      <c r="F683" s="19" t="s">
        <v>5138</v>
      </c>
      <c r="G683" s="19" t="s">
        <v>48</v>
      </c>
      <c r="H683" s="19" t="s">
        <v>152</v>
      </c>
      <c r="I683" s="20">
        <v>45957.6875</v>
      </c>
      <c r="J683" s="20">
        <v>45957.714583333327</v>
      </c>
      <c r="K683" s="19"/>
      <c r="L683" s="20">
        <v>45957.772916666669</v>
      </c>
      <c r="M683" s="19"/>
      <c r="N683" s="22">
        <f t="shared" si="22"/>
        <v>8.5416666668606922E-2</v>
      </c>
      <c r="O683" s="19" t="s">
        <v>50</v>
      </c>
      <c r="P683" s="19" t="s">
        <v>5139</v>
      </c>
      <c r="Q683" s="19" t="s">
        <v>5140</v>
      </c>
      <c r="R683" s="19" t="s">
        <v>5141</v>
      </c>
      <c r="S683" s="19" t="s">
        <v>5142</v>
      </c>
      <c r="T683" s="20">
        <v>45957.890648148154</v>
      </c>
      <c r="U683" s="19">
        <v>45961.736805555563</v>
      </c>
      <c r="V683" s="19" t="s">
        <v>157</v>
      </c>
      <c r="W683" s="19"/>
      <c r="X683" s="19" t="s">
        <v>5143</v>
      </c>
      <c r="Y683" s="27" t="s">
        <v>133</v>
      </c>
      <c r="Z683" s="27" t="s">
        <v>5144</v>
      </c>
      <c r="AA683" s="27" t="s">
        <v>5145</v>
      </c>
      <c r="AB683" s="27" t="s">
        <v>5146</v>
      </c>
      <c r="AC683" s="37" t="s">
        <v>5147</v>
      </c>
      <c r="AD683" s="38" t="s">
        <v>5148</v>
      </c>
      <c r="AE683" s="36">
        <v>45931</v>
      </c>
      <c r="AF683" s="19" t="s">
        <v>1555</v>
      </c>
      <c r="AG683" s="19" t="s">
        <v>1556</v>
      </c>
      <c r="AH683" s="19" t="s">
        <v>62</v>
      </c>
      <c r="AI683" s="19" t="s">
        <v>63</v>
      </c>
      <c r="AJ683" s="19" t="s">
        <v>5149</v>
      </c>
      <c r="AK683" s="19"/>
      <c r="AL683" s="19"/>
      <c r="AM683" s="19"/>
      <c r="AN683" s="19" t="s">
        <v>65</v>
      </c>
      <c r="AO683" s="23">
        <v>45957.6875</v>
      </c>
      <c r="AP683" s="26">
        <f t="shared" si="23"/>
        <v>123</v>
      </c>
    </row>
    <row r="684" spans="1:42" ht="25.5" hidden="1" customHeight="1">
      <c r="A684" s="19" t="s">
        <v>42</v>
      </c>
      <c r="B684" s="19" t="s">
        <v>186</v>
      </c>
      <c r="C684" s="19" t="s">
        <v>187</v>
      </c>
      <c r="D684" s="19" t="s">
        <v>45</v>
      </c>
      <c r="E684" s="19" t="s">
        <v>46</v>
      </c>
      <c r="F684" s="19" t="s">
        <v>5150</v>
      </c>
      <c r="G684" s="19" t="s">
        <v>48</v>
      </c>
      <c r="H684" s="19" t="s">
        <v>49</v>
      </c>
      <c r="I684" s="20">
        <v>45957.977777777778</v>
      </c>
      <c r="K684" s="19"/>
      <c r="L684" s="20">
        <v>45958.25</v>
      </c>
      <c r="M684" s="19"/>
      <c r="N684" s="22">
        <f t="shared" si="22"/>
        <v>0.27222222222189885</v>
      </c>
      <c r="O684" s="19" t="s">
        <v>63</v>
      </c>
      <c r="P684" s="19" t="s">
        <v>5151</v>
      </c>
      <c r="Q684" s="19" t="s">
        <v>5152</v>
      </c>
      <c r="R684" s="19"/>
      <c r="S684" s="19"/>
      <c r="U684" s="19"/>
      <c r="W684" s="19"/>
      <c r="X684" s="19" t="s">
        <v>191</v>
      </c>
      <c r="Y684" s="27" t="s">
        <v>147</v>
      </c>
      <c r="Z684" s="27" t="s">
        <v>78</v>
      </c>
      <c r="AA684" s="27" t="s">
        <v>78</v>
      </c>
      <c r="AB684" s="27" t="s">
        <v>78</v>
      </c>
      <c r="AC684" s="37" t="s">
        <v>78</v>
      </c>
      <c r="AD684" s="38" t="s">
        <v>78</v>
      </c>
      <c r="AE684" s="36">
        <v>45931</v>
      </c>
      <c r="AF684" s="19" t="s">
        <v>89</v>
      </c>
      <c r="AG684" s="19" t="s">
        <v>90</v>
      </c>
      <c r="AH684" s="19" t="s">
        <v>62</v>
      </c>
      <c r="AI684" s="19" t="s">
        <v>63</v>
      </c>
      <c r="AJ684" s="19" t="s">
        <v>5153</v>
      </c>
      <c r="AK684" s="19"/>
      <c r="AL684" s="19"/>
      <c r="AM684" s="19"/>
      <c r="AN684" s="19" t="s">
        <v>65</v>
      </c>
      <c r="AO684" s="23">
        <v>45957.977777777778</v>
      </c>
      <c r="AP684" s="26">
        <f t="shared" si="23"/>
        <v>392</v>
      </c>
    </row>
    <row r="685" spans="1:42" ht="25.5" hidden="1" customHeight="1">
      <c r="A685" s="19" t="s">
        <v>42</v>
      </c>
      <c r="B685" s="19" t="s">
        <v>202</v>
      </c>
      <c r="C685" s="19" t="s">
        <v>3818</v>
      </c>
      <c r="D685" s="19" t="s">
        <v>45</v>
      </c>
      <c r="E685" s="19" t="s">
        <v>46</v>
      </c>
      <c r="F685" s="19" t="s">
        <v>5154</v>
      </c>
      <c r="G685" s="19" t="s">
        <v>48</v>
      </c>
      <c r="H685" s="19" t="s">
        <v>49</v>
      </c>
      <c r="I685" s="20">
        <v>45959.475694444453</v>
      </c>
      <c r="K685" s="19"/>
      <c r="L685" s="20">
        <v>45959.5</v>
      </c>
      <c r="M685" s="19"/>
      <c r="N685" s="22">
        <f t="shared" si="22"/>
        <v>2.4305555547471158E-2</v>
      </c>
      <c r="O685" s="19" t="s">
        <v>50</v>
      </c>
      <c r="P685" s="19" t="s">
        <v>5155</v>
      </c>
      <c r="Q685" s="19" t="s">
        <v>5156</v>
      </c>
      <c r="R685" s="19"/>
      <c r="S685" s="19"/>
      <c r="U685" s="19"/>
      <c r="W685" s="19"/>
      <c r="X685" s="19" t="s">
        <v>1589</v>
      </c>
      <c r="Y685" s="27" t="s">
        <v>147</v>
      </c>
      <c r="Z685" s="27" t="s">
        <v>78</v>
      </c>
      <c r="AA685" s="27" t="s">
        <v>78</v>
      </c>
      <c r="AB685" s="27" t="s">
        <v>78</v>
      </c>
      <c r="AC685" s="37" t="s">
        <v>78</v>
      </c>
      <c r="AD685" s="38" t="s">
        <v>78</v>
      </c>
      <c r="AE685" s="36">
        <v>45931</v>
      </c>
      <c r="AF685" s="19" t="s">
        <v>89</v>
      </c>
      <c r="AG685" s="19" t="s">
        <v>90</v>
      </c>
      <c r="AH685" s="19" t="s">
        <v>62</v>
      </c>
      <c r="AI685" s="19" t="s">
        <v>63</v>
      </c>
      <c r="AJ685" s="19" t="s">
        <v>5157</v>
      </c>
      <c r="AK685" s="19"/>
      <c r="AL685" s="19"/>
      <c r="AM685" s="19"/>
      <c r="AN685" s="19" t="s">
        <v>65</v>
      </c>
      <c r="AO685" s="23">
        <v>45959.475694444453</v>
      </c>
      <c r="AP685" s="26">
        <f t="shared" si="23"/>
        <v>35</v>
      </c>
    </row>
    <row r="686" spans="1:42" ht="25.5" hidden="1" customHeight="1">
      <c r="A686" s="19" t="s">
        <v>42</v>
      </c>
      <c r="C686" s="19" t="s">
        <v>2101</v>
      </c>
      <c r="D686" s="19" t="s">
        <v>45</v>
      </c>
      <c r="E686" s="19" t="s">
        <v>46</v>
      </c>
      <c r="F686" s="19" t="s">
        <v>5158</v>
      </c>
      <c r="G686" s="19" t="s">
        <v>48</v>
      </c>
      <c r="H686" s="19" t="s">
        <v>49</v>
      </c>
      <c r="I686" s="20">
        <v>45959.76666666667</v>
      </c>
      <c r="K686" s="19"/>
      <c r="L686" s="20">
        <v>45959.8</v>
      </c>
      <c r="M686" s="19"/>
      <c r="N686" s="22">
        <f t="shared" si="22"/>
        <v>3.3333333332848269E-2</v>
      </c>
      <c r="O686" s="19" t="s">
        <v>63</v>
      </c>
      <c r="P686" s="19" t="s">
        <v>5159</v>
      </c>
      <c r="Q686" s="19" t="s">
        <v>5160</v>
      </c>
      <c r="R686" s="19"/>
      <c r="S686" s="19"/>
      <c r="U686" s="19"/>
      <c r="W686" s="19"/>
      <c r="X686" s="19" t="s">
        <v>314</v>
      </c>
      <c r="Y686" s="27" t="s">
        <v>54</v>
      </c>
      <c r="Z686" s="27" t="s">
        <v>5161</v>
      </c>
      <c r="AA686" s="27" t="s">
        <v>5162</v>
      </c>
      <c r="AB686" s="27" t="s">
        <v>5163</v>
      </c>
      <c r="AC686" s="37" t="s">
        <v>5164</v>
      </c>
      <c r="AD686" s="38" t="s">
        <v>5165</v>
      </c>
      <c r="AE686" s="36">
        <v>45931</v>
      </c>
      <c r="AF686" s="19" t="s">
        <v>89</v>
      </c>
      <c r="AG686" s="19" t="s">
        <v>90</v>
      </c>
      <c r="AH686" s="19" t="s">
        <v>62</v>
      </c>
      <c r="AI686" s="19" t="s">
        <v>63</v>
      </c>
      <c r="AJ686" s="19" t="s">
        <v>5166</v>
      </c>
      <c r="AK686" s="19"/>
      <c r="AL686" s="19"/>
      <c r="AM686" s="19"/>
      <c r="AN686" s="19" t="s">
        <v>65</v>
      </c>
      <c r="AO686" s="23">
        <v>45959.76666666667</v>
      </c>
      <c r="AP686" s="26">
        <f t="shared" si="23"/>
        <v>48</v>
      </c>
    </row>
    <row r="687" spans="1:42" ht="25.5" hidden="1" customHeight="1">
      <c r="A687" s="19" t="s">
        <v>92</v>
      </c>
      <c r="B687" s="19" t="s">
        <v>5167</v>
      </c>
      <c r="C687" s="19" t="s">
        <v>1021</v>
      </c>
      <c r="D687" s="19" t="s">
        <v>45</v>
      </c>
      <c r="E687" s="19" t="s">
        <v>46</v>
      </c>
      <c r="F687" s="19" t="s">
        <v>5168</v>
      </c>
      <c r="G687" s="19" t="s">
        <v>48</v>
      </c>
      <c r="H687" s="19" t="s">
        <v>49</v>
      </c>
      <c r="I687" s="20">
        <v>45960.405555555553</v>
      </c>
      <c r="K687" s="19"/>
      <c r="L687" s="20">
        <v>45960.51458333333</v>
      </c>
      <c r="M687" s="19"/>
      <c r="N687" s="22">
        <f t="shared" si="22"/>
        <v>0.10902777777664596</v>
      </c>
      <c r="O687" s="19" t="s">
        <v>50</v>
      </c>
      <c r="P687" s="19" t="s">
        <v>5169</v>
      </c>
      <c r="Q687" s="19" t="s">
        <v>5170</v>
      </c>
      <c r="R687" s="19"/>
      <c r="S687" s="19"/>
      <c r="U687" s="19"/>
      <c r="W687" s="19"/>
      <c r="X687" s="19" t="s">
        <v>109</v>
      </c>
      <c r="Y687" s="27" t="s">
        <v>147</v>
      </c>
      <c r="Z687" s="27" t="s">
        <v>78</v>
      </c>
      <c r="AA687" s="27" t="s">
        <v>78</v>
      </c>
      <c r="AB687" s="27" t="s">
        <v>78</v>
      </c>
      <c r="AC687" s="37" t="s">
        <v>78</v>
      </c>
      <c r="AD687" s="38" t="s">
        <v>78</v>
      </c>
      <c r="AE687" s="36">
        <v>45931</v>
      </c>
      <c r="AF687" s="19" t="s">
        <v>60</v>
      </c>
      <c r="AG687" s="19" t="s">
        <v>78</v>
      </c>
      <c r="AH687" s="19" t="s">
        <v>78</v>
      </c>
      <c r="AI687" s="19" t="s">
        <v>63</v>
      </c>
      <c r="AJ687" s="19" t="s">
        <v>5171</v>
      </c>
      <c r="AK687" s="19"/>
      <c r="AL687" s="19"/>
      <c r="AM687" s="19"/>
      <c r="AN687" s="19" t="s">
        <v>103</v>
      </c>
      <c r="AO687" s="23">
        <v>45960.405555555553</v>
      </c>
      <c r="AP687" s="26">
        <f t="shared" si="23"/>
        <v>157</v>
      </c>
    </row>
    <row r="688" spans="1:42" ht="25.5" customHeight="1">
      <c r="A688" s="19" t="s">
        <v>42</v>
      </c>
      <c r="C688" s="19" t="s">
        <v>752</v>
      </c>
      <c r="D688" s="19" t="s">
        <v>45</v>
      </c>
      <c r="E688" s="19" t="s">
        <v>46</v>
      </c>
      <c r="F688" s="19" t="s">
        <v>5172</v>
      </c>
      <c r="G688" s="19" t="s">
        <v>48</v>
      </c>
      <c r="H688" s="19" t="s">
        <v>144</v>
      </c>
      <c r="I688" s="20">
        <v>45960.395833333343</v>
      </c>
      <c r="K688" s="19">
        <v>45960.4375</v>
      </c>
      <c r="L688" s="20">
        <v>45960.503472222219</v>
      </c>
      <c r="M688" s="19"/>
      <c r="N688" s="22">
        <f t="shared" si="22"/>
        <v>0.10763888887595385</v>
      </c>
      <c r="O688" s="19" t="s">
        <v>50</v>
      </c>
      <c r="P688" s="19" t="s">
        <v>5173</v>
      </c>
      <c r="Q688" s="19" t="s">
        <v>5174</v>
      </c>
      <c r="R688" s="19"/>
      <c r="S688" s="19"/>
      <c r="U688" s="19"/>
      <c r="W688" s="19"/>
      <c r="X688" s="19" t="s">
        <v>72</v>
      </c>
      <c r="Y688" s="27" t="s">
        <v>147</v>
      </c>
      <c r="Z688" s="27" t="s">
        <v>78</v>
      </c>
      <c r="AA688" s="27" t="s">
        <v>78</v>
      </c>
      <c r="AB688" s="27" t="s">
        <v>78</v>
      </c>
      <c r="AC688" s="37" t="s">
        <v>78</v>
      </c>
      <c r="AD688" s="38" t="s">
        <v>78</v>
      </c>
      <c r="AE688" s="36">
        <v>45931</v>
      </c>
      <c r="AF688" s="19" t="s">
        <v>60</v>
      </c>
      <c r="AG688" s="19" t="s">
        <v>78</v>
      </c>
      <c r="AH688" s="19" t="s">
        <v>78</v>
      </c>
      <c r="AI688" s="19" t="s">
        <v>63</v>
      </c>
      <c r="AJ688" s="19" t="s">
        <v>5175</v>
      </c>
      <c r="AK688" s="19"/>
      <c r="AL688" s="19"/>
      <c r="AM688" s="19"/>
      <c r="AN688" s="19" t="s">
        <v>65</v>
      </c>
      <c r="AO688" s="23">
        <v>45960.395833333343</v>
      </c>
      <c r="AP688" s="26">
        <f t="shared" si="23"/>
        <v>155</v>
      </c>
    </row>
    <row r="689" spans="1:42" ht="25.5" hidden="1" customHeight="1">
      <c r="A689" s="19" t="s">
        <v>116</v>
      </c>
      <c r="B689" s="19" t="s">
        <v>599</v>
      </c>
      <c r="C689" s="19" t="s">
        <v>1206</v>
      </c>
      <c r="D689" s="19" t="s">
        <v>45</v>
      </c>
      <c r="E689" s="19" t="s">
        <v>46</v>
      </c>
      <c r="F689" s="19" t="s">
        <v>5176</v>
      </c>
      <c r="G689" s="19" t="s">
        <v>48</v>
      </c>
      <c r="H689" s="19" t="s">
        <v>49</v>
      </c>
      <c r="I689" s="20">
        <v>45961.106944444437</v>
      </c>
      <c r="K689" s="19"/>
      <c r="L689" s="20">
        <v>45961.29791666667</v>
      </c>
      <c r="M689" s="19"/>
      <c r="N689" s="22">
        <f t="shared" si="22"/>
        <v>0.19097222223354038</v>
      </c>
      <c r="O689" s="19" t="s">
        <v>50</v>
      </c>
      <c r="P689" s="19" t="s">
        <v>5177</v>
      </c>
      <c r="Q689" s="19" t="s">
        <v>5178</v>
      </c>
      <c r="R689" s="19"/>
      <c r="S689" s="19"/>
      <c r="U689" s="19"/>
      <c r="W689" s="19"/>
      <c r="X689" s="19" t="s">
        <v>122</v>
      </c>
      <c r="Y689" s="27" t="s">
        <v>147</v>
      </c>
      <c r="Z689" s="27" t="s">
        <v>78</v>
      </c>
      <c r="AA689" s="27" t="s">
        <v>78</v>
      </c>
      <c r="AB689" s="27" t="s">
        <v>78</v>
      </c>
      <c r="AC689" s="37" t="s">
        <v>78</v>
      </c>
      <c r="AD689" s="38" t="s">
        <v>78</v>
      </c>
      <c r="AE689" s="36">
        <v>45931</v>
      </c>
      <c r="AF689" s="19" t="s">
        <v>89</v>
      </c>
      <c r="AG689" s="19" t="s">
        <v>90</v>
      </c>
      <c r="AH689" s="19" t="s">
        <v>62</v>
      </c>
      <c r="AI689" s="19" t="s">
        <v>63</v>
      </c>
      <c r="AJ689" s="19" t="s">
        <v>5179</v>
      </c>
      <c r="AK689" s="19"/>
      <c r="AL689" s="19"/>
      <c r="AM689" s="19"/>
      <c r="AN689" s="19" t="s">
        <v>65</v>
      </c>
      <c r="AO689" s="23">
        <v>45961.106944444437</v>
      </c>
      <c r="AP689" s="26">
        <f t="shared" si="23"/>
        <v>275</v>
      </c>
    </row>
    <row r="690" spans="1:42" ht="25.5" hidden="1" customHeight="1">
      <c r="A690" s="19" t="s">
        <v>42</v>
      </c>
      <c r="B690" s="19" t="s">
        <v>4075</v>
      </c>
      <c r="C690" s="19" t="s">
        <v>336</v>
      </c>
      <c r="D690" s="19" t="s">
        <v>45</v>
      </c>
      <c r="E690" s="19" t="s">
        <v>46</v>
      </c>
      <c r="F690" s="19" t="s">
        <v>5180</v>
      </c>
      <c r="G690" s="19" t="s">
        <v>48</v>
      </c>
      <c r="H690" s="19" t="s">
        <v>49</v>
      </c>
      <c r="I690" s="20">
        <v>45961.37777777778</v>
      </c>
      <c r="K690" s="19"/>
      <c r="L690" s="20">
        <v>45961.397222222222</v>
      </c>
      <c r="M690" s="19"/>
      <c r="N690" s="22">
        <f t="shared" si="22"/>
        <v>1.9444444442342501E-2</v>
      </c>
      <c r="O690" s="19" t="s">
        <v>50</v>
      </c>
      <c r="P690" s="19" t="s">
        <v>4264</v>
      </c>
      <c r="Q690" s="19" t="s">
        <v>5181</v>
      </c>
      <c r="R690" s="19"/>
      <c r="S690" s="19"/>
      <c r="U690" s="19"/>
      <c r="W690" s="19"/>
      <c r="X690" s="19" t="s">
        <v>314</v>
      </c>
      <c r="Y690" s="27" t="s">
        <v>54</v>
      </c>
      <c r="Z690" s="27" t="s">
        <v>5182</v>
      </c>
      <c r="AA690" s="27" t="s">
        <v>5183</v>
      </c>
      <c r="AB690" s="27" t="s">
        <v>5184</v>
      </c>
      <c r="AC690" s="37" t="s">
        <v>5185</v>
      </c>
      <c r="AD690" s="38" t="s">
        <v>5186</v>
      </c>
      <c r="AE690" s="36">
        <v>45931</v>
      </c>
      <c r="AF690" s="19" t="s">
        <v>60</v>
      </c>
      <c r="AG690" s="19" t="s">
        <v>61</v>
      </c>
      <c r="AH690" s="19" t="s">
        <v>78</v>
      </c>
      <c r="AI690" s="19" t="s">
        <v>63</v>
      </c>
      <c r="AJ690" s="19" t="s">
        <v>5187</v>
      </c>
      <c r="AK690" s="19"/>
      <c r="AL690" s="19"/>
      <c r="AM690" s="19"/>
      <c r="AN690" s="19" t="s">
        <v>103</v>
      </c>
      <c r="AO690" s="23">
        <v>45961.37777777778</v>
      </c>
      <c r="AP690" s="26">
        <f t="shared" si="23"/>
        <v>28</v>
      </c>
    </row>
    <row r="691" spans="1:42" ht="25.5" hidden="1" customHeight="1">
      <c r="A691" s="19" t="s">
        <v>42</v>
      </c>
      <c r="C691" s="19" t="s">
        <v>129</v>
      </c>
      <c r="D691" s="19" t="s">
        <v>45</v>
      </c>
      <c r="E691" s="19" t="s">
        <v>46</v>
      </c>
      <c r="F691" s="19" t="s">
        <v>5188</v>
      </c>
      <c r="G691" s="19" t="s">
        <v>48</v>
      </c>
      <c r="H691" s="19" t="s">
        <v>49</v>
      </c>
      <c r="I691" s="20">
        <v>45961.436805555553</v>
      </c>
      <c r="K691" s="19"/>
      <c r="L691" s="20">
        <v>45961.474305555559</v>
      </c>
      <c r="M691" s="19"/>
      <c r="N691" s="22">
        <f t="shared" si="22"/>
        <v>3.7500000005820766E-2</v>
      </c>
      <c r="O691" s="19" t="s">
        <v>63</v>
      </c>
      <c r="P691" s="19" t="s">
        <v>5189</v>
      </c>
      <c r="Q691" s="19" t="s">
        <v>5190</v>
      </c>
      <c r="R691" s="19"/>
      <c r="S691" s="19"/>
      <c r="U691" s="19"/>
      <c r="W691" s="19"/>
      <c r="X691" s="19" t="s">
        <v>109</v>
      </c>
      <c r="Y691" s="27" t="s">
        <v>147</v>
      </c>
      <c r="Z691" s="27" t="s">
        <v>78</v>
      </c>
      <c r="AA691" s="27" t="s">
        <v>78</v>
      </c>
      <c r="AB691" s="27" t="s">
        <v>78</v>
      </c>
      <c r="AC691" s="37" t="s">
        <v>78</v>
      </c>
      <c r="AD691" s="38" t="s">
        <v>78</v>
      </c>
      <c r="AE691" s="36">
        <v>45931</v>
      </c>
      <c r="AF691" s="19" t="s">
        <v>89</v>
      </c>
      <c r="AG691" s="19" t="s">
        <v>90</v>
      </c>
      <c r="AH691" s="19" t="s">
        <v>62</v>
      </c>
      <c r="AI691" s="19" t="s">
        <v>63</v>
      </c>
      <c r="AJ691" s="19" t="s">
        <v>5191</v>
      </c>
      <c r="AK691" s="19"/>
      <c r="AL691" s="19"/>
      <c r="AM691" s="19"/>
      <c r="AN691" s="19" t="s">
        <v>103</v>
      </c>
      <c r="AO691" s="23">
        <v>45961.436805555553</v>
      </c>
      <c r="AP691" s="26">
        <f t="shared" si="23"/>
        <v>54</v>
      </c>
    </row>
    <row r="692" spans="1:42" ht="25.5" hidden="1" customHeight="1">
      <c r="A692" s="19" t="s">
        <v>42</v>
      </c>
      <c r="B692" s="19" t="s">
        <v>5192</v>
      </c>
      <c r="C692" s="19" t="s">
        <v>1697</v>
      </c>
      <c r="D692" s="19" t="s">
        <v>45</v>
      </c>
      <c r="E692" s="19" t="s">
        <v>356</v>
      </c>
      <c r="F692" s="19" t="s">
        <v>5193</v>
      </c>
      <c r="G692" s="19" t="s">
        <v>48</v>
      </c>
      <c r="H692" s="19" t="s">
        <v>49</v>
      </c>
      <c r="I692" s="20">
        <v>45961.55972222222</v>
      </c>
      <c r="K692" s="19"/>
      <c r="L692" s="20">
        <v>45961.587500000001</v>
      </c>
      <c r="M692" s="19"/>
      <c r="N692" s="22">
        <f t="shared" si="22"/>
        <v>2.7777777781011537E-2</v>
      </c>
      <c r="O692" s="19" t="s">
        <v>50</v>
      </c>
      <c r="P692" s="19" t="s">
        <v>5194</v>
      </c>
      <c r="Q692" s="19" t="s">
        <v>5195</v>
      </c>
      <c r="R692" s="19"/>
      <c r="S692" s="19"/>
      <c r="U692" s="19"/>
      <c r="W692" s="19"/>
      <c r="X692" s="19" t="s">
        <v>301</v>
      </c>
      <c r="Y692" s="27" t="s">
        <v>133</v>
      </c>
      <c r="Z692" s="27" t="s">
        <v>5196</v>
      </c>
      <c r="AA692" s="27" t="s">
        <v>5197</v>
      </c>
      <c r="AB692" s="27" t="s">
        <v>5198</v>
      </c>
      <c r="AC692" s="37" t="s">
        <v>5199</v>
      </c>
      <c r="AD692" s="38" t="s">
        <v>5200</v>
      </c>
      <c r="AE692" s="36">
        <v>45931</v>
      </c>
      <c r="AF692" s="19" t="s">
        <v>89</v>
      </c>
      <c r="AG692" s="19" t="s">
        <v>90</v>
      </c>
      <c r="AH692" s="19" t="s">
        <v>62</v>
      </c>
      <c r="AI692" s="19" t="s">
        <v>63</v>
      </c>
      <c r="AJ692" s="19" t="s">
        <v>5201</v>
      </c>
      <c r="AK692" s="19"/>
      <c r="AL692" s="19"/>
      <c r="AM692" s="19"/>
      <c r="AN692" s="19" t="s">
        <v>65</v>
      </c>
      <c r="AO692" s="23">
        <v>45961.55972222222</v>
      </c>
      <c r="AP692" s="26">
        <f t="shared" si="23"/>
        <v>40</v>
      </c>
    </row>
    <row r="693" spans="1:42" ht="25.5" hidden="1" customHeight="1">
      <c r="A693" s="19" t="s">
        <v>42</v>
      </c>
      <c r="C693" s="19" t="s">
        <v>658</v>
      </c>
      <c r="D693" s="19" t="s">
        <v>45</v>
      </c>
      <c r="E693" s="19" t="s">
        <v>46</v>
      </c>
      <c r="F693" s="19" t="s">
        <v>5202</v>
      </c>
      <c r="G693" s="19" t="s">
        <v>48</v>
      </c>
      <c r="H693" s="19" t="s">
        <v>49</v>
      </c>
      <c r="I693" s="20">
        <v>45961.804166666669</v>
      </c>
      <c r="K693" s="19"/>
      <c r="L693" s="20">
        <v>45961.847222222219</v>
      </c>
      <c r="M693" s="19"/>
      <c r="N693" s="22">
        <f t="shared" si="22"/>
        <v>4.3055555550381541E-2</v>
      </c>
      <c r="O693" s="19" t="s">
        <v>63</v>
      </c>
      <c r="P693" s="19" t="s">
        <v>5203</v>
      </c>
      <c r="Q693" s="19" t="s">
        <v>5204</v>
      </c>
      <c r="R693" s="19"/>
      <c r="S693" s="19"/>
      <c r="U693" s="19"/>
      <c r="W693" s="19"/>
      <c r="X693" s="19" t="s">
        <v>1069</v>
      </c>
      <c r="Y693" s="27" t="s">
        <v>54</v>
      </c>
      <c r="Z693" s="27" t="s">
        <v>5205</v>
      </c>
      <c r="AA693" s="27" t="s">
        <v>5206</v>
      </c>
      <c r="AB693" s="27" t="s">
        <v>5207</v>
      </c>
      <c r="AC693" s="37" t="s">
        <v>5208</v>
      </c>
      <c r="AD693" s="38" t="s">
        <v>5209</v>
      </c>
      <c r="AE693" s="36">
        <v>45931</v>
      </c>
      <c r="AF693" s="19" t="s">
        <v>99</v>
      </c>
      <c r="AG693" s="19" t="s">
        <v>100</v>
      </c>
      <c r="AH693" s="19" t="s">
        <v>62</v>
      </c>
      <c r="AI693" s="19" t="s">
        <v>63</v>
      </c>
      <c r="AJ693" s="19" t="s">
        <v>5210</v>
      </c>
      <c r="AK693" s="19" t="s">
        <v>5211</v>
      </c>
      <c r="AL693" s="19"/>
      <c r="AM693" s="19"/>
      <c r="AN693" s="19" t="s">
        <v>65</v>
      </c>
      <c r="AO693" s="23">
        <v>45961.804166666669</v>
      </c>
      <c r="AP693" s="26">
        <f t="shared" si="23"/>
        <v>62</v>
      </c>
    </row>
    <row r="694" spans="1:42" ht="25.5" hidden="1" customHeight="1">
      <c r="A694" s="19" t="s">
        <v>42</v>
      </c>
      <c r="B694" s="19" t="s">
        <v>4075</v>
      </c>
      <c r="C694" s="19" t="s">
        <v>336</v>
      </c>
      <c r="D694" s="19" t="s">
        <v>45</v>
      </c>
      <c r="E694" s="19" t="s">
        <v>46</v>
      </c>
      <c r="F694" s="19" t="s">
        <v>5180</v>
      </c>
      <c r="G694" s="19" t="s">
        <v>226</v>
      </c>
      <c r="H694" s="19" t="s">
        <v>49</v>
      </c>
      <c r="I694" s="20">
        <v>45962.5625</v>
      </c>
      <c r="K694" s="19"/>
      <c r="L694" s="20">
        <v>45962.572916666657</v>
      </c>
      <c r="M694" s="19"/>
      <c r="N694" s="22">
        <f t="shared" si="22"/>
        <v>1.041666665696539E-2</v>
      </c>
      <c r="O694" s="19" t="s">
        <v>50</v>
      </c>
      <c r="P694" s="19" t="s">
        <v>5212</v>
      </c>
      <c r="Q694" s="19" t="s">
        <v>5213</v>
      </c>
      <c r="R694" s="19"/>
      <c r="S694" s="19"/>
      <c r="U694" s="19"/>
      <c r="W694" s="19"/>
      <c r="X694" s="19" t="s">
        <v>314</v>
      </c>
      <c r="Y694" s="27" t="s">
        <v>54</v>
      </c>
      <c r="Z694" s="27" t="s">
        <v>838</v>
      </c>
      <c r="AA694" s="27" t="s">
        <v>5214</v>
      </c>
      <c r="AB694" s="27" t="s">
        <v>5215</v>
      </c>
      <c r="AC694" s="37" t="s">
        <v>5216</v>
      </c>
      <c r="AD694" s="38" t="s">
        <v>5217</v>
      </c>
      <c r="AE694" s="36">
        <v>45962</v>
      </c>
      <c r="AF694" s="19" t="s">
        <v>60</v>
      </c>
      <c r="AG694" s="19" t="s">
        <v>61</v>
      </c>
      <c r="AH694" s="19" t="s">
        <v>62</v>
      </c>
      <c r="AI694" s="19" t="s">
        <v>50</v>
      </c>
      <c r="AJ694" s="19" t="s">
        <v>5218</v>
      </c>
      <c r="AK694" s="19"/>
      <c r="AL694" s="19"/>
      <c r="AM694" s="19"/>
      <c r="AN694" s="19" t="s">
        <v>128</v>
      </c>
      <c r="AO694" s="23">
        <v>45962.5625</v>
      </c>
      <c r="AP694" s="26">
        <f t="shared" si="23"/>
        <v>15</v>
      </c>
    </row>
    <row r="695" spans="1:42" ht="32.25" hidden="1" customHeight="1">
      <c r="A695" s="19" t="s">
        <v>42</v>
      </c>
      <c r="B695" s="19" t="s">
        <v>5219</v>
      </c>
      <c r="C695" s="19" t="s">
        <v>336</v>
      </c>
      <c r="D695" s="19" t="s">
        <v>45</v>
      </c>
      <c r="E695" s="19" t="s">
        <v>46</v>
      </c>
      <c r="F695" s="19" t="s">
        <v>5220</v>
      </c>
      <c r="G695" s="19" t="s">
        <v>48</v>
      </c>
      <c r="H695" s="19" t="s">
        <v>49</v>
      </c>
      <c r="I695" s="20">
        <v>45963.436111111107</v>
      </c>
      <c r="K695" s="19"/>
      <c r="L695" s="20">
        <v>45963.527777777781</v>
      </c>
      <c r="M695" s="19"/>
      <c r="N695" s="22">
        <f t="shared" si="22"/>
        <v>9.1666666674427688E-2</v>
      </c>
      <c r="O695" s="19" t="s">
        <v>50</v>
      </c>
      <c r="P695" s="19" t="s">
        <v>5221</v>
      </c>
      <c r="Q695" s="19" t="s">
        <v>5222</v>
      </c>
      <c r="R695" s="19"/>
      <c r="S695" s="19"/>
      <c r="U695" s="19"/>
      <c r="W695" s="19"/>
      <c r="X695" s="19" t="s">
        <v>314</v>
      </c>
      <c r="Y695" s="27" t="s">
        <v>147</v>
      </c>
      <c r="Z695" s="27" t="s">
        <v>78</v>
      </c>
      <c r="AA695" s="27" t="s">
        <v>78</v>
      </c>
      <c r="AB695" s="27" t="s">
        <v>78</v>
      </c>
      <c r="AC695" s="37" t="s">
        <v>78</v>
      </c>
      <c r="AD695" s="38" t="s">
        <v>78</v>
      </c>
      <c r="AE695" s="36">
        <v>45962</v>
      </c>
      <c r="AF695" s="19" t="s">
        <v>89</v>
      </c>
      <c r="AG695" s="19" t="s">
        <v>61</v>
      </c>
      <c r="AH695" s="19" t="s">
        <v>62</v>
      </c>
      <c r="AI695" s="19" t="s">
        <v>63</v>
      </c>
      <c r="AJ695" s="19" t="s">
        <v>5223</v>
      </c>
      <c r="AK695" s="19"/>
      <c r="AL695" s="19"/>
      <c r="AM695" s="19"/>
      <c r="AN695" s="19" t="s">
        <v>103</v>
      </c>
      <c r="AO695" s="23">
        <v>45963.436111111107</v>
      </c>
      <c r="AP695" s="26">
        <f t="shared" si="23"/>
        <v>132</v>
      </c>
    </row>
    <row r="696" spans="1:42" ht="25.5" hidden="1" customHeight="1">
      <c r="A696" s="19" t="s">
        <v>42</v>
      </c>
      <c r="C696" s="19" t="s">
        <v>5224</v>
      </c>
      <c r="D696" s="19" t="s">
        <v>45</v>
      </c>
      <c r="E696" s="19" t="s">
        <v>46</v>
      </c>
      <c r="F696" s="19" t="s">
        <v>5225</v>
      </c>
      <c r="G696" s="19" t="s">
        <v>48</v>
      </c>
      <c r="H696" s="19" t="s">
        <v>49</v>
      </c>
      <c r="I696" s="20">
        <v>45965.430555555547</v>
      </c>
      <c r="K696" s="19"/>
      <c r="L696" s="20">
        <v>45965.503472222219</v>
      </c>
      <c r="M696" s="19"/>
      <c r="N696" s="22">
        <f t="shared" si="22"/>
        <v>7.2916666671517305E-2</v>
      </c>
      <c r="O696" s="19" t="s">
        <v>63</v>
      </c>
      <c r="P696" s="19" t="s">
        <v>5226</v>
      </c>
      <c r="Q696" s="19" t="s">
        <v>5227</v>
      </c>
      <c r="R696" s="19"/>
      <c r="S696" s="19"/>
      <c r="U696" s="19"/>
      <c r="W696" s="19"/>
      <c r="X696" s="19" t="s">
        <v>475</v>
      </c>
      <c r="Y696" s="27" t="s">
        <v>133</v>
      </c>
      <c r="Z696" s="27" t="s">
        <v>55</v>
      </c>
      <c r="AA696" s="27" t="s">
        <v>5228</v>
      </c>
      <c r="AB696" s="27" t="s">
        <v>5229</v>
      </c>
      <c r="AC696" s="37" t="s">
        <v>5230</v>
      </c>
      <c r="AD696" s="38" t="s">
        <v>5231</v>
      </c>
      <c r="AE696" s="36">
        <v>45962</v>
      </c>
      <c r="AF696" s="19" t="s">
        <v>89</v>
      </c>
      <c r="AG696" s="19" t="s">
        <v>61</v>
      </c>
      <c r="AH696" s="19" t="s">
        <v>62</v>
      </c>
      <c r="AI696" s="19" t="s">
        <v>63</v>
      </c>
      <c r="AJ696" s="19" t="s">
        <v>5232</v>
      </c>
      <c r="AK696" s="19"/>
      <c r="AL696" s="19"/>
      <c r="AM696" s="19"/>
      <c r="AN696" s="19" t="s">
        <v>103</v>
      </c>
      <c r="AO696" s="23">
        <v>45965.430555555547</v>
      </c>
      <c r="AP696" s="26">
        <f t="shared" si="23"/>
        <v>105</v>
      </c>
    </row>
    <row r="697" spans="1:42" ht="25.5" hidden="1" customHeight="1">
      <c r="A697" s="19" t="s">
        <v>42</v>
      </c>
      <c r="B697" s="19" t="s">
        <v>1407</v>
      </c>
      <c r="C697" s="19" t="s">
        <v>1408</v>
      </c>
      <c r="D697" s="19" t="s">
        <v>45</v>
      </c>
      <c r="E697" s="19" t="s">
        <v>46</v>
      </c>
      <c r="F697" s="19" t="s">
        <v>5233</v>
      </c>
      <c r="G697" s="19" t="s">
        <v>48</v>
      </c>
      <c r="H697" s="19" t="s">
        <v>49</v>
      </c>
      <c r="I697" s="20">
        <v>45965.498611111107</v>
      </c>
      <c r="K697" s="19"/>
      <c r="L697" s="20">
        <v>45965.541666666657</v>
      </c>
      <c r="M697" s="19"/>
      <c r="N697" s="22">
        <f t="shared" si="22"/>
        <v>4.3055555550381541E-2</v>
      </c>
      <c r="O697" s="19" t="s">
        <v>50</v>
      </c>
      <c r="P697" s="19" t="s">
        <v>5234</v>
      </c>
      <c r="Q697" s="19" t="s">
        <v>5235</v>
      </c>
      <c r="R697" s="19"/>
      <c r="S697" s="19"/>
      <c r="U697" s="19"/>
      <c r="W697" s="19"/>
      <c r="X697" s="19" t="s">
        <v>1412</v>
      </c>
      <c r="Y697" s="27" t="s">
        <v>54</v>
      </c>
      <c r="Z697" s="27" t="s">
        <v>209</v>
      </c>
      <c r="AA697" s="27" t="s">
        <v>5236</v>
      </c>
      <c r="AB697" s="27" t="s">
        <v>5237</v>
      </c>
      <c r="AC697" s="37">
        <v>45965.505555555559</v>
      </c>
      <c r="AD697" s="38">
        <v>45965.547222222223</v>
      </c>
      <c r="AE697" s="36">
        <v>45962</v>
      </c>
      <c r="AF697" s="19" t="s">
        <v>60</v>
      </c>
      <c r="AG697" s="19" t="s">
        <v>78</v>
      </c>
      <c r="AH697" s="19" t="s">
        <v>78</v>
      </c>
      <c r="AI697" s="19" t="s">
        <v>63</v>
      </c>
      <c r="AJ697" s="19" t="s">
        <v>5238</v>
      </c>
      <c r="AK697" s="19"/>
      <c r="AL697" s="19"/>
      <c r="AM697" s="19"/>
      <c r="AN697" s="19" t="s">
        <v>65</v>
      </c>
      <c r="AO697" s="23">
        <v>45965.498611111107</v>
      </c>
      <c r="AP697" s="26">
        <f t="shared" si="23"/>
        <v>62</v>
      </c>
    </row>
    <row r="698" spans="1:42" ht="25.5" hidden="1" customHeight="1">
      <c r="A698" s="19" t="s">
        <v>42</v>
      </c>
      <c r="B698" s="19" t="s">
        <v>4763</v>
      </c>
      <c r="C698" s="19" t="s">
        <v>1456</v>
      </c>
      <c r="D698" s="19" t="s">
        <v>45</v>
      </c>
      <c r="E698" s="19" t="s">
        <v>46</v>
      </c>
      <c r="F698" s="19" t="s">
        <v>5239</v>
      </c>
      <c r="G698" s="19" t="s">
        <v>48</v>
      </c>
      <c r="H698" s="19" t="s">
        <v>49</v>
      </c>
      <c r="I698" s="20">
        <v>45965.556944444441</v>
      </c>
      <c r="K698" s="19"/>
      <c r="L698" s="20">
        <v>45965.583333333343</v>
      </c>
      <c r="M698" s="19"/>
      <c r="N698" s="22">
        <f t="shared" si="22"/>
        <v>2.6388888902147301E-2</v>
      </c>
      <c r="O698" s="19" t="s">
        <v>50</v>
      </c>
      <c r="P698" s="19" t="s">
        <v>4765</v>
      </c>
      <c r="Q698" s="19" t="s">
        <v>5240</v>
      </c>
      <c r="R698" s="19"/>
      <c r="S698" s="19"/>
      <c r="U698" s="19"/>
      <c r="W698" s="19"/>
      <c r="X698" s="19" t="s">
        <v>620</v>
      </c>
      <c r="Y698" s="27" t="s">
        <v>147</v>
      </c>
      <c r="Z698" s="27" t="s">
        <v>78</v>
      </c>
      <c r="AA698" s="27" t="s">
        <v>78</v>
      </c>
      <c r="AB698" s="27" t="s">
        <v>78</v>
      </c>
      <c r="AC698" s="37" t="s">
        <v>78</v>
      </c>
      <c r="AD698" s="38" t="s">
        <v>78</v>
      </c>
      <c r="AE698" s="36">
        <v>45962</v>
      </c>
      <c r="AF698" s="19" t="s">
        <v>60</v>
      </c>
      <c r="AG698" s="19" t="s">
        <v>307</v>
      </c>
      <c r="AH698" s="19" t="s">
        <v>78</v>
      </c>
      <c r="AI698" s="19" t="s">
        <v>63</v>
      </c>
      <c r="AJ698" s="19" t="s">
        <v>5241</v>
      </c>
      <c r="AK698" s="19"/>
      <c r="AL698" s="19"/>
      <c r="AM698" s="19"/>
      <c r="AN698" s="19" t="s">
        <v>103</v>
      </c>
      <c r="AO698" s="23">
        <v>45965.556944444441</v>
      </c>
      <c r="AP698" s="26">
        <f t="shared" si="23"/>
        <v>38</v>
      </c>
    </row>
    <row r="699" spans="1:42" ht="25.5" hidden="1" customHeight="1">
      <c r="A699" s="19" t="s">
        <v>42</v>
      </c>
      <c r="C699" s="19" t="s">
        <v>5242</v>
      </c>
      <c r="D699" s="19" t="s">
        <v>45</v>
      </c>
      <c r="E699" s="19" t="s">
        <v>46</v>
      </c>
      <c r="F699" s="19" t="s">
        <v>5243</v>
      </c>
      <c r="G699" s="19" t="s">
        <v>48</v>
      </c>
      <c r="H699" s="19" t="s">
        <v>49</v>
      </c>
      <c r="I699" s="20">
        <v>45966</v>
      </c>
      <c r="K699" s="19"/>
      <c r="L699" s="20">
        <v>45966.284722222219</v>
      </c>
      <c r="M699" s="19"/>
      <c r="N699" s="22">
        <f t="shared" si="22"/>
        <v>0.28472222221898846</v>
      </c>
      <c r="O699" s="19" t="s">
        <v>63</v>
      </c>
      <c r="P699" s="19" t="s">
        <v>5244</v>
      </c>
      <c r="Q699" s="19" t="s">
        <v>5245</v>
      </c>
      <c r="R699" s="19"/>
      <c r="S699" s="19"/>
      <c r="U699" s="19"/>
      <c r="W699" s="19"/>
      <c r="X699" s="19" t="s">
        <v>72</v>
      </c>
      <c r="Y699" s="27" t="s">
        <v>147</v>
      </c>
      <c r="Z699" s="27" t="s">
        <v>78</v>
      </c>
      <c r="AA699" s="27" t="s">
        <v>78</v>
      </c>
      <c r="AB699" s="27" t="s">
        <v>78</v>
      </c>
      <c r="AC699" s="37" t="s">
        <v>78</v>
      </c>
      <c r="AD699" s="38" t="s">
        <v>78</v>
      </c>
      <c r="AE699" s="36">
        <v>45962</v>
      </c>
      <c r="AF699" s="19" t="s">
        <v>99</v>
      </c>
      <c r="AG699" s="19" t="s">
        <v>100</v>
      </c>
      <c r="AH699" s="19" t="s">
        <v>62</v>
      </c>
      <c r="AI699" s="19" t="s">
        <v>63</v>
      </c>
      <c r="AJ699" s="19" t="s">
        <v>5246</v>
      </c>
      <c r="AK699" s="19" t="s">
        <v>5247</v>
      </c>
      <c r="AL699" s="19"/>
      <c r="AM699" s="19"/>
      <c r="AN699" s="19" t="s">
        <v>65</v>
      </c>
      <c r="AO699" s="23">
        <v>45966.243055555547</v>
      </c>
      <c r="AP699" s="26">
        <f t="shared" si="23"/>
        <v>410</v>
      </c>
    </row>
    <row r="700" spans="1:42" ht="25.5" hidden="1" customHeight="1">
      <c r="A700" s="19" t="s">
        <v>42</v>
      </c>
      <c r="B700" s="19" t="s">
        <v>5248</v>
      </c>
      <c r="C700" s="19" t="s">
        <v>336</v>
      </c>
      <c r="D700" s="19" t="s">
        <v>45</v>
      </c>
      <c r="E700" s="19" t="s">
        <v>46</v>
      </c>
      <c r="F700" s="19" t="s">
        <v>5249</v>
      </c>
      <c r="G700" s="19" t="s">
        <v>48</v>
      </c>
      <c r="H700" s="19" t="s">
        <v>49</v>
      </c>
      <c r="I700" s="20">
        <v>45966.490972222222</v>
      </c>
      <c r="K700" s="19"/>
      <c r="L700" s="20">
        <v>45966.510416666657</v>
      </c>
      <c r="M700" s="19"/>
      <c r="N700" s="22">
        <f t="shared" si="22"/>
        <v>1.9444444435066544E-2</v>
      </c>
      <c r="O700" s="19" t="s">
        <v>50</v>
      </c>
      <c r="P700" s="19" t="s">
        <v>5250</v>
      </c>
      <c r="Q700" s="19" t="s">
        <v>5251</v>
      </c>
      <c r="R700" s="19"/>
      <c r="S700" s="19"/>
      <c r="U700" s="19"/>
      <c r="W700" s="19"/>
      <c r="X700" s="19" t="s">
        <v>314</v>
      </c>
      <c r="Y700" s="27" t="s">
        <v>54</v>
      </c>
      <c r="Z700" s="27" t="s">
        <v>3374</v>
      </c>
      <c r="AA700" s="27" t="s">
        <v>5252</v>
      </c>
      <c r="AB700" s="27" t="s">
        <v>5253</v>
      </c>
      <c r="AC700" s="37">
        <v>45966.493750000001</v>
      </c>
      <c r="AD700" s="38">
        <v>45966.515277777777</v>
      </c>
      <c r="AE700" s="36">
        <v>45962</v>
      </c>
      <c r="AF700" s="19" t="s">
        <v>89</v>
      </c>
      <c r="AG700" s="19" t="s">
        <v>90</v>
      </c>
      <c r="AH700" s="19" t="s">
        <v>62</v>
      </c>
      <c r="AI700" s="19" t="s">
        <v>63</v>
      </c>
      <c r="AJ700" s="19" t="s">
        <v>5254</v>
      </c>
      <c r="AK700" s="19"/>
      <c r="AL700" s="19"/>
      <c r="AM700" s="19"/>
      <c r="AN700" s="19" t="s">
        <v>103</v>
      </c>
      <c r="AO700" s="23">
        <v>45966.490972222222</v>
      </c>
      <c r="AP700" s="26">
        <f t="shared" si="23"/>
        <v>28</v>
      </c>
    </row>
    <row r="701" spans="1:42" ht="25.5" customHeight="1">
      <c r="A701" s="19" t="s">
        <v>42</v>
      </c>
      <c r="C701" s="19" t="s">
        <v>4049</v>
      </c>
      <c r="D701" s="19" t="s">
        <v>45</v>
      </c>
      <c r="E701" s="19" t="s">
        <v>46</v>
      </c>
      <c r="F701" s="19" t="s">
        <v>5255</v>
      </c>
      <c r="G701" s="19" t="s">
        <v>48</v>
      </c>
      <c r="H701" s="19" t="s">
        <v>69</v>
      </c>
      <c r="I701" s="20">
        <v>45967.104166666657</v>
      </c>
      <c r="J701" s="20">
        <v>45967.270833333343</v>
      </c>
      <c r="K701" s="19">
        <v>45967.291666666657</v>
      </c>
      <c r="L701" s="20">
        <v>45967.310416666667</v>
      </c>
      <c r="M701" s="19"/>
      <c r="N701" s="22">
        <f t="shared" si="22"/>
        <v>0.20625000001018634</v>
      </c>
      <c r="O701" s="19" t="s">
        <v>50</v>
      </c>
      <c r="P701" s="19" t="s">
        <v>5256</v>
      </c>
      <c r="Q701" s="19" t="s">
        <v>5257</v>
      </c>
      <c r="R701" s="19"/>
      <c r="S701" s="19"/>
      <c r="U701" s="19"/>
      <c r="W701" s="19"/>
      <c r="X701" s="19" t="s">
        <v>72</v>
      </c>
      <c r="Y701" s="27" t="s">
        <v>147</v>
      </c>
      <c r="Z701" s="27" t="s">
        <v>78</v>
      </c>
      <c r="AA701" s="27" t="s">
        <v>147</v>
      </c>
      <c r="AB701" s="27" t="s">
        <v>147</v>
      </c>
      <c r="AC701" s="37" t="s">
        <v>78</v>
      </c>
      <c r="AD701" s="38" t="s">
        <v>78</v>
      </c>
      <c r="AE701" s="36">
        <v>45962</v>
      </c>
      <c r="AF701" s="19" t="s">
        <v>60</v>
      </c>
      <c r="AG701" s="19" t="s">
        <v>78</v>
      </c>
      <c r="AH701" s="19" t="s">
        <v>78</v>
      </c>
      <c r="AI701" s="19" t="s">
        <v>63</v>
      </c>
      <c r="AJ701" s="19" t="s">
        <v>5258</v>
      </c>
      <c r="AK701" s="19"/>
      <c r="AL701" s="19"/>
      <c r="AM701" s="19"/>
      <c r="AN701" s="19" t="s">
        <v>65</v>
      </c>
      <c r="AO701" s="23">
        <v>45967.104166666657</v>
      </c>
      <c r="AP701" s="26">
        <f t="shared" si="23"/>
        <v>297</v>
      </c>
    </row>
    <row r="702" spans="1:42" ht="25.5" hidden="1" customHeight="1">
      <c r="A702" s="19" t="s">
        <v>42</v>
      </c>
      <c r="B702" s="19" t="s">
        <v>3327</v>
      </c>
      <c r="C702" s="19" t="s">
        <v>868</v>
      </c>
      <c r="D702" s="19" t="s">
        <v>45</v>
      </c>
      <c r="E702" s="19" t="s">
        <v>46</v>
      </c>
      <c r="F702" s="19" t="s">
        <v>5259</v>
      </c>
      <c r="G702" s="19" t="s">
        <v>48</v>
      </c>
      <c r="H702" s="19" t="s">
        <v>49</v>
      </c>
      <c r="I702" s="20">
        <v>45967.739583333343</v>
      </c>
      <c r="K702" s="19"/>
      <c r="L702" s="20">
        <v>45967.754861111112</v>
      </c>
      <c r="M702" s="19"/>
      <c r="N702" s="22">
        <f t="shared" si="22"/>
        <v>1.5277777769370005E-2</v>
      </c>
      <c r="O702" s="19" t="s">
        <v>63</v>
      </c>
      <c r="P702" s="19" t="s">
        <v>5260</v>
      </c>
      <c r="Q702" s="19" t="s">
        <v>5261</v>
      </c>
      <c r="R702" s="19"/>
      <c r="S702" s="19"/>
      <c r="U702" s="19"/>
      <c r="W702" s="19"/>
      <c r="X702" s="19" t="s">
        <v>746</v>
      </c>
      <c r="Y702" s="27" t="s">
        <v>133</v>
      </c>
      <c r="Z702" s="27" t="s">
        <v>5262</v>
      </c>
      <c r="AA702" s="27" t="s">
        <v>5263</v>
      </c>
      <c r="AB702" s="27" t="s">
        <v>5264</v>
      </c>
      <c r="AC702" s="37" t="s">
        <v>5265</v>
      </c>
      <c r="AD702" s="38" t="s">
        <v>5266</v>
      </c>
      <c r="AE702" s="36">
        <v>45962</v>
      </c>
      <c r="AF702" s="19" t="s">
        <v>89</v>
      </c>
      <c r="AG702" s="19" t="s">
        <v>90</v>
      </c>
      <c r="AH702" s="19" t="s">
        <v>62</v>
      </c>
      <c r="AI702" s="19" t="s">
        <v>63</v>
      </c>
      <c r="AJ702" s="19" t="s">
        <v>5267</v>
      </c>
      <c r="AK702" s="19"/>
      <c r="AL702" s="19"/>
      <c r="AM702" s="19"/>
      <c r="AN702" s="19" t="s">
        <v>103</v>
      </c>
      <c r="AO702" s="23">
        <v>45967.739583333343</v>
      </c>
      <c r="AP702" s="26">
        <f t="shared" si="23"/>
        <v>22</v>
      </c>
    </row>
    <row r="703" spans="1:42" ht="25.5" hidden="1" customHeight="1">
      <c r="A703" s="19" t="s">
        <v>42</v>
      </c>
      <c r="B703" s="19" t="s">
        <v>186</v>
      </c>
      <c r="C703" s="19" t="s">
        <v>577</v>
      </c>
      <c r="D703" s="19" t="s">
        <v>45</v>
      </c>
      <c r="E703" s="19" t="s">
        <v>46</v>
      </c>
      <c r="F703" s="19" t="s">
        <v>5268</v>
      </c>
      <c r="G703" s="19" t="s">
        <v>48</v>
      </c>
      <c r="H703" s="19" t="s">
        <v>49</v>
      </c>
      <c r="I703" s="20">
        <v>45968.105555555558</v>
      </c>
      <c r="K703" s="19"/>
      <c r="L703" s="20">
        <v>45968.166666666657</v>
      </c>
      <c r="M703" s="19"/>
      <c r="N703" s="22">
        <f t="shared" si="22"/>
        <v>6.1111111099307891E-2</v>
      </c>
      <c r="O703" s="19" t="s">
        <v>63</v>
      </c>
      <c r="P703" s="19" t="s">
        <v>5269</v>
      </c>
      <c r="Q703" s="19" t="s">
        <v>5270</v>
      </c>
      <c r="R703" s="19"/>
      <c r="S703" s="19"/>
      <c r="U703" s="19"/>
      <c r="W703" s="19"/>
      <c r="X703" s="19" t="s">
        <v>191</v>
      </c>
      <c r="Y703" s="27" t="s">
        <v>63</v>
      </c>
      <c r="Z703" s="27" t="s">
        <v>78</v>
      </c>
      <c r="AA703" s="27" t="s">
        <v>78</v>
      </c>
      <c r="AB703" s="27" t="s">
        <v>78</v>
      </c>
      <c r="AC703" s="37" t="s">
        <v>78</v>
      </c>
      <c r="AD703" s="38" t="s">
        <v>78</v>
      </c>
      <c r="AE703" s="36">
        <v>45962</v>
      </c>
      <c r="AF703" s="19" t="s">
        <v>89</v>
      </c>
      <c r="AG703" s="19" t="s">
        <v>90</v>
      </c>
      <c r="AH703" s="19" t="s">
        <v>62</v>
      </c>
      <c r="AI703" s="19" t="s">
        <v>63</v>
      </c>
      <c r="AJ703" s="19" t="s">
        <v>5271</v>
      </c>
      <c r="AK703" s="19"/>
      <c r="AL703" s="19"/>
      <c r="AM703" s="19"/>
      <c r="AN703" s="19" t="s">
        <v>65</v>
      </c>
      <c r="AO703" s="23">
        <v>45968.105555555558</v>
      </c>
      <c r="AP703" s="26">
        <f t="shared" si="23"/>
        <v>88</v>
      </c>
    </row>
    <row r="704" spans="1:42" ht="32.25" hidden="1" customHeight="1">
      <c r="A704" s="19" t="s">
        <v>42</v>
      </c>
      <c r="B704" s="19" t="s">
        <v>3038</v>
      </c>
      <c r="C704" s="19" t="s">
        <v>452</v>
      </c>
      <c r="D704" s="19" t="s">
        <v>45</v>
      </c>
      <c r="E704" s="19" t="s">
        <v>46</v>
      </c>
      <c r="F704" s="19" t="s">
        <v>5272</v>
      </c>
      <c r="G704" s="19" t="s">
        <v>48</v>
      </c>
      <c r="H704" s="19" t="s">
        <v>49</v>
      </c>
      <c r="I704" s="20">
        <v>45968.382638888892</v>
      </c>
      <c r="K704" s="19"/>
      <c r="L704" s="20">
        <v>45968.404166666667</v>
      </c>
      <c r="M704" s="19"/>
      <c r="N704" s="22">
        <f t="shared" si="22"/>
        <v>2.1527777775190771E-2</v>
      </c>
      <c r="O704" s="19" t="s">
        <v>50</v>
      </c>
      <c r="P704" s="19" t="s">
        <v>5273</v>
      </c>
      <c r="Q704" s="19" t="s">
        <v>5274</v>
      </c>
      <c r="R704" s="19"/>
      <c r="S704" s="19"/>
      <c r="U704" s="19"/>
      <c r="W704" s="19"/>
      <c r="X704" s="19" t="s">
        <v>122</v>
      </c>
      <c r="Y704" s="27" t="s">
        <v>133</v>
      </c>
      <c r="Z704" s="27" t="s">
        <v>4812</v>
      </c>
      <c r="AA704" s="27" t="s">
        <v>5275</v>
      </c>
      <c r="AB704" s="27" t="s">
        <v>5276</v>
      </c>
      <c r="AC704" s="37" t="s">
        <v>5277</v>
      </c>
      <c r="AD704" s="38" t="s">
        <v>5278</v>
      </c>
      <c r="AE704" s="36">
        <v>45962</v>
      </c>
      <c r="AF704" s="19" t="s">
        <v>89</v>
      </c>
      <c r="AG704" s="19" t="s">
        <v>90</v>
      </c>
      <c r="AH704" s="19" t="s">
        <v>62</v>
      </c>
      <c r="AI704" s="19" t="s">
        <v>63</v>
      </c>
      <c r="AJ704" s="19" t="s">
        <v>5279</v>
      </c>
      <c r="AK704" s="19"/>
      <c r="AL704" s="19"/>
      <c r="AM704" s="19"/>
      <c r="AN704" s="19" t="s">
        <v>65</v>
      </c>
      <c r="AO704" s="23">
        <v>45968.382638888892</v>
      </c>
      <c r="AP704" s="26">
        <f t="shared" si="23"/>
        <v>31</v>
      </c>
    </row>
    <row r="705" spans="1:42" ht="32.25" hidden="1" customHeight="1">
      <c r="A705" s="19" t="s">
        <v>42</v>
      </c>
      <c r="B705" s="19" t="s">
        <v>309</v>
      </c>
      <c r="C705" s="19" t="s">
        <v>5280</v>
      </c>
      <c r="D705" s="19" t="s">
        <v>45</v>
      </c>
      <c r="E705" s="19" t="s">
        <v>46</v>
      </c>
      <c r="F705" s="19" t="s">
        <v>5281</v>
      </c>
      <c r="G705" s="19" t="s">
        <v>48</v>
      </c>
      <c r="H705" s="19" t="s">
        <v>49</v>
      </c>
      <c r="I705" s="20">
        <v>45968.445833333331</v>
      </c>
      <c r="K705" s="19"/>
      <c r="L705" s="20">
        <v>45968.470138888893</v>
      </c>
      <c r="M705" s="19"/>
      <c r="N705" s="22">
        <f t="shared" si="22"/>
        <v>2.4305555562023073E-2</v>
      </c>
      <c r="O705" s="19" t="s">
        <v>50</v>
      </c>
      <c r="P705" s="19" t="s">
        <v>5282</v>
      </c>
      <c r="Q705" s="19" t="s">
        <v>5283</v>
      </c>
      <c r="R705" s="19"/>
      <c r="S705" s="19"/>
      <c r="U705" s="19"/>
      <c r="W705" s="19"/>
      <c r="X705" s="19" t="s">
        <v>314</v>
      </c>
      <c r="Y705" s="27" t="s">
        <v>54</v>
      </c>
      <c r="Z705" s="27" t="s">
        <v>1852</v>
      </c>
      <c r="AA705" s="27" t="s">
        <v>5284</v>
      </c>
      <c r="AB705" s="27" t="s">
        <v>5285</v>
      </c>
      <c r="AC705" s="37" t="s">
        <v>5286</v>
      </c>
      <c r="AD705" s="38" t="s">
        <v>5287</v>
      </c>
      <c r="AE705" s="36">
        <v>45962</v>
      </c>
      <c r="AF705" s="19" t="s">
        <v>99</v>
      </c>
      <c r="AG705" s="19" t="s">
        <v>100</v>
      </c>
      <c r="AH705" s="19" t="s">
        <v>62</v>
      </c>
      <c r="AI705" s="19" t="s">
        <v>63</v>
      </c>
      <c r="AJ705" s="19" t="s">
        <v>5288</v>
      </c>
      <c r="AK705" s="19" t="s">
        <v>5289</v>
      </c>
      <c r="AL705" s="19"/>
      <c r="AM705" s="19"/>
      <c r="AN705" s="19" t="s">
        <v>65</v>
      </c>
      <c r="AO705" s="23">
        <v>45968.445833333331</v>
      </c>
      <c r="AP705" s="26">
        <f t="shared" si="23"/>
        <v>35</v>
      </c>
    </row>
    <row r="706" spans="1:42" ht="25.5" hidden="1" customHeight="1">
      <c r="A706" s="19" t="s">
        <v>42</v>
      </c>
      <c r="B706" s="19" t="s">
        <v>66</v>
      </c>
      <c r="C706" s="19" t="s">
        <v>5290</v>
      </c>
      <c r="D706" s="19" t="s">
        <v>45</v>
      </c>
      <c r="E706" s="19" t="s">
        <v>46</v>
      </c>
      <c r="F706" s="19" t="s">
        <v>5291</v>
      </c>
      <c r="G706" s="19" t="s">
        <v>48</v>
      </c>
      <c r="H706" s="19" t="s">
        <v>49</v>
      </c>
      <c r="I706" s="20">
        <v>45968.052083333343</v>
      </c>
      <c r="K706" s="19"/>
      <c r="L706" s="20">
        <v>45968.295138888891</v>
      </c>
      <c r="M706" s="19"/>
      <c r="N706" s="22">
        <f t="shared" si="22"/>
        <v>0.24305555554747116</v>
      </c>
      <c r="O706" s="19" t="s">
        <v>50</v>
      </c>
      <c r="P706" s="19" t="s">
        <v>5292</v>
      </c>
      <c r="Q706" s="19" t="s">
        <v>5293</v>
      </c>
      <c r="R706" s="19"/>
      <c r="S706" s="19"/>
      <c r="U706" s="19"/>
      <c r="W706" s="19"/>
      <c r="X706" s="19" t="s">
        <v>72</v>
      </c>
      <c r="Y706" s="27" t="s">
        <v>63</v>
      </c>
      <c r="Z706" s="27" t="s">
        <v>78</v>
      </c>
      <c r="AA706" s="27" t="s">
        <v>78</v>
      </c>
      <c r="AB706" s="27" t="s">
        <v>78</v>
      </c>
      <c r="AC706" s="37" t="s">
        <v>78</v>
      </c>
      <c r="AD706" s="38" t="s">
        <v>78</v>
      </c>
      <c r="AE706" s="36">
        <v>45962</v>
      </c>
      <c r="AF706" s="19" t="s">
        <v>99</v>
      </c>
      <c r="AG706" s="19" t="s">
        <v>100</v>
      </c>
      <c r="AH706" s="19" t="s">
        <v>62</v>
      </c>
      <c r="AI706" s="19" t="s">
        <v>63</v>
      </c>
      <c r="AJ706" s="19" t="s">
        <v>5294</v>
      </c>
      <c r="AK706" s="19" t="s">
        <v>5295</v>
      </c>
      <c r="AL706" s="19"/>
      <c r="AM706" s="19"/>
      <c r="AN706" s="19" t="s">
        <v>65</v>
      </c>
      <c r="AO706" s="23">
        <v>45968.333333333343</v>
      </c>
      <c r="AP706" s="26">
        <f t="shared" si="23"/>
        <v>350</v>
      </c>
    </row>
    <row r="707" spans="1:42" ht="25.5" customHeight="1">
      <c r="A707" s="19" t="s">
        <v>42</v>
      </c>
      <c r="B707" s="19" t="s">
        <v>66</v>
      </c>
      <c r="C707" s="19" t="s">
        <v>2123</v>
      </c>
      <c r="D707" s="19" t="s">
        <v>45</v>
      </c>
      <c r="E707" s="19" t="s">
        <v>46</v>
      </c>
      <c r="F707" s="19" t="s">
        <v>5296</v>
      </c>
      <c r="G707" s="19" t="s">
        <v>48</v>
      </c>
      <c r="H707" s="19" t="s">
        <v>144</v>
      </c>
      <c r="I707" s="20">
        <v>45968.25</v>
      </c>
      <c r="K707" s="19">
        <v>45968.291666666657</v>
      </c>
      <c r="L707" s="20">
        <v>45968.368055555547</v>
      </c>
      <c r="M707" s="19"/>
      <c r="N707" s="22">
        <f t="shared" si="22"/>
        <v>0.11805555554747116</v>
      </c>
      <c r="O707" s="19" t="s">
        <v>50</v>
      </c>
      <c r="P707" s="19" t="s">
        <v>5297</v>
      </c>
      <c r="Q707" s="19" t="s">
        <v>5298</v>
      </c>
      <c r="R707" s="19"/>
      <c r="S707" s="19"/>
      <c r="U707" s="19"/>
      <c r="W707" s="19"/>
      <c r="X707" s="19" t="s">
        <v>72</v>
      </c>
      <c r="Y707" s="27" t="s">
        <v>63</v>
      </c>
      <c r="Z707" s="27" t="s">
        <v>78</v>
      </c>
      <c r="AA707" s="27" t="s">
        <v>78</v>
      </c>
      <c r="AB707" s="27" t="s">
        <v>78</v>
      </c>
      <c r="AC707" s="37" t="s">
        <v>78</v>
      </c>
      <c r="AD707" s="38" t="s">
        <v>78</v>
      </c>
      <c r="AE707" s="36">
        <v>45962</v>
      </c>
      <c r="AF707" s="19" t="s">
        <v>99</v>
      </c>
      <c r="AG707" s="19" t="s">
        <v>100</v>
      </c>
      <c r="AH707" s="19" t="s">
        <v>62</v>
      </c>
      <c r="AI707" s="19" t="s">
        <v>63</v>
      </c>
      <c r="AJ707" s="19" t="s">
        <v>5299</v>
      </c>
      <c r="AK707" s="19" t="s">
        <v>5295</v>
      </c>
      <c r="AL707" s="19"/>
      <c r="AM707" s="19"/>
      <c r="AN707" s="19" t="s">
        <v>65</v>
      </c>
      <c r="AO707" s="23">
        <v>45968.418055555558</v>
      </c>
      <c r="AP707" s="26">
        <f t="shared" si="23"/>
        <v>170</v>
      </c>
    </row>
    <row r="708" spans="1:42" ht="25.5" customHeight="1">
      <c r="A708" s="19" t="s">
        <v>42</v>
      </c>
      <c r="B708" s="19" t="s">
        <v>66</v>
      </c>
      <c r="C708" s="19" t="s">
        <v>5300</v>
      </c>
      <c r="D708" s="19" t="s">
        <v>45</v>
      </c>
      <c r="E708" s="19" t="s">
        <v>46</v>
      </c>
      <c r="F708" s="19" t="s">
        <v>5301</v>
      </c>
      <c r="G708" s="19" t="s">
        <v>48</v>
      </c>
      <c r="H708" s="19" t="s">
        <v>144</v>
      </c>
      <c r="I708" s="20">
        <v>45968.448611111111</v>
      </c>
      <c r="K708" s="19">
        <v>45968.461805555547</v>
      </c>
      <c r="L708" s="20">
        <v>45968.470138888893</v>
      </c>
      <c r="M708" s="19"/>
      <c r="N708" s="22">
        <f t="shared" si="22"/>
        <v>2.1527777782466728E-2</v>
      </c>
      <c r="O708" s="19" t="s">
        <v>50</v>
      </c>
      <c r="P708" s="19" t="s">
        <v>5302</v>
      </c>
      <c r="Q708" s="19" t="s">
        <v>5303</v>
      </c>
      <c r="R708" s="19"/>
      <c r="S708" s="19"/>
      <c r="U708" s="19"/>
      <c r="W708" s="19"/>
      <c r="X708" s="19" t="s">
        <v>72</v>
      </c>
      <c r="Y708" s="27" t="s">
        <v>63</v>
      </c>
      <c r="Z708" s="27" t="s">
        <v>78</v>
      </c>
      <c r="AA708" s="27" t="s">
        <v>78</v>
      </c>
      <c r="AB708" s="27" t="s">
        <v>78</v>
      </c>
      <c r="AC708" s="37" t="s">
        <v>78</v>
      </c>
      <c r="AD708" s="38" t="s">
        <v>78</v>
      </c>
      <c r="AE708" s="36">
        <v>45962</v>
      </c>
      <c r="AF708" s="19" t="s">
        <v>99</v>
      </c>
      <c r="AG708" s="19" t="s">
        <v>100</v>
      </c>
      <c r="AH708" s="19" t="s">
        <v>62</v>
      </c>
      <c r="AI708" s="19" t="s">
        <v>63</v>
      </c>
      <c r="AJ708" s="19" t="s">
        <v>5304</v>
      </c>
      <c r="AK708" s="19" t="s">
        <v>5289</v>
      </c>
      <c r="AL708" s="19"/>
      <c r="AM708" s="19"/>
      <c r="AN708" s="19" t="s">
        <v>65</v>
      </c>
      <c r="AO708" s="23">
        <v>45968.445833333331</v>
      </c>
      <c r="AP708" s="26">
        <f t="shared" si="23"/>
        <v>31</v>
      </c>
    </row>
    <row r="709" spans="1:42" ht="25.5" hidden="1" customHeight="1">
      <c r="A709" s="19" t="s">
        <v>42</v>
      </c>
      <c r="B709" s="19" t="s">
        <v>93</v>
      </c>
      <c r="C709" s="19" t="s">
        <v>129</v>
      </c>
      <c r="D709" s="19" t="s">
        <v>45</v>
      </c>
      <c r="E709" s="19" t="s">
        <v>46</v>
      </c>
      <c r="F709" s="19" t="s">
        <v>5305</v>
      </c>
      <c r="G709" s="19" t="s">
        <v>48</v>
      </c>
      <c r="H709" s="19" t="s">
        <v>49</v>
      </c>
      <c r="I709" s="20">
        <v>45968.474999999999</v>
      </c>
      <c r="K709" s="19"/>
      <c r="L709" s="20">
        <v>45968.486111111109</v>
      </c>
      <c r="M709" s="19"/>
      <c r="N709" s="22">
        <f t="shared" si="22"/>
        <v>1.1111111110949423E-2</v>
      </c>
      <c r="O709" s="19" t="s">
        <v>50</v>
      </c>
      <c r="P709" s="19" t="s">
        <v>5306</v>
      </c>
      <c r="Q709" s="19" t="s">
        <v>5307</v>
      </c>
      <c r="R709" s="19"/>
      <c r="S709" s="19"/>
      <c r="U709" s="19"/>
      <c r="W709" s="19"/>
      <c r="X709" s="19" t="s">
        <v>109</v>
      </c>
      <c r="Y709" s="27" t="s">
        <v>54</v>
      </c>
      <c r="Z709" s="27" t="s">
        <v>1852</v>
      </c>
      <c r="AA709" s="27" t="s">
        <v>5308</v>
      </c>
      <c r="AB709" s="27" t="s">
        <v>5309</v>
      </c>
      <c r="AC709" s="37" t="s">
        <v>5310</v>
      </c>
      <c r="AD709" s="38" t="s">
        <v>5311</v>
      </c>
      <c r="AE709" s="36">
        <v>45962</v>
      </c>
      <c r="AF709" s="19" t="s">
        <v>99</v>
      </c>
      <c r="AG709" s="19" t="s">
        <v>100</v>
      </c>
      <c r="AH709" s="19" t="s">
        <v>62</v>
      </c>
      <c r="AI709" s="19" t="s">
        <v>63</v>
      </c>
      <c r="AJ709" s="19" t="s">
        <v>5312</v>
      </c>
      <c r="AK709" s="19" t="s">
        <v>5313</v>
      </c>
      <c r="AL709" s="19"/>
      <c r="AM709" s="19"/>
      <c r="AN709" s="19" t="s">
        <v>65</v>
      </c>
      <c r="AO709" s="23">
        <v>45968.474999999999</v>
      </c>
      <c r="AP709" s="26">
        <f t="shared" si="23"/>
        <v>16</v>
      </c>
    </row>
    <row r="710" spans="1:42" ht="25.5" hidden="1" customHeight="1">
      <c r="A710" s="19" t="s">
        <v>285</v>
      </c>
      <c r="C710" s="19" t="s">
        <v>5314</v>
      </c>
      <c r="D710" s="19" t="s">
        <v>45</v>
      </c>
      <c r="E710" s="19" t="s">
        <v>46</v>
      </c>
      <c r="F710" s="19" t="s">
        <v>5315</v>
      </c>
      <c r="G710" s="19" t="s">
        <v>48</v>
      </c>
      <c r="H710" s="19" t="s">
        <v>49</v>
      </c>
      <c r="I710" s="20">
        <v>45968.330555555563</v>
      </c>
      <c r="K710" s="19"/>
      <c r="L710" s="20">
        <v>45968.427083333343</v>
      </c>
      <c r="M710" s="19"/>
      <c r="N710" s="22">
        <f t="shared" si="22"/>
        <v>9.6527777779556345E-2</v>
      </c>
      <c r="O710" s="19" t="s">
        <v>63</v>
      </c>
      <c r="P710" s="19" t="s">
        <v>5316</v>
      </c>
      <c r="Q710" s="19" t="s">
        <v>5317</v>
      </c>
      <c r="R710" s="19"/>
      <c r="S710" s="19"/>
      <c r="U710" s="19"/>
      <c r="W710" s="19"/>
      <c r="X710" s="19" t="s">
        <v>122</v>
      </c>
      <c r="Y710" s="27" t="s">
        <v>63</v>
      </c>
      <c r="Z710" s="27" t="s">
        <v>78</v>
      </c>
      <c r="AA710" s="27" t="s">
        <v>78</v>
      </c>
      <c r="AB710" s="27" t="s">
        <v>78</v>
      </c>
      <c r="AC710" s="37" t="s">
        <v>78</v>
      </c>
      <c r="AD710" s="38" t="s">
        <v>78</v>
      </c>
      <c r="AE710" s="36">
        <v>45962</v>
      </c>
      <c r="AF710" s="19" t="s">
        <v>99</v>
      </c>
      <c r="AG710" s="19" t="s">
        <v>100</v>
      </c>
      <c r="AH710" s="19" t="s">
        <v>62</v>
      </c>
      <c r="AI710" s="19" t="s">
        <v>50</v>
      </c>
      <c r="AJ710" s="19" t="s">
        <v>5318</v>
      </c>
      <c r="AK710" s="19" t="s">
        <v>5319</v>
      </c>
      <c r="AL710" s="19"/>
      <c r="AM710" s="19"/>
      <c r="AN710" s="19" t="s">
        <v>65</v>
      </c>
      <c r="AO710" s="23">
        <v>45968.330555555563</v>
      </c>
      <c r="AP710" s="26">
        <f t="shared" si="23"/>
        <v>139</v>
      </c>
    </row>
    <row r="711" spans="1:42" ht="25.5" hidden="1" customHeight="1">
      <c r="A711" s="19" t="s">
        <v>42</v>
      </c>
      <c r="C711" s="19" t="s">
        <v>404</v>
      </c>
      <c r="D711" s="19" t="s">
        <v>45</v>
      </c>
      <c r="E711" s="19" t="s">
        <v>46</v>
      </c>
      <c r="F711" s="19" t="s">
        <v>5320</v>
      </c>
      <c r="G711" s="19" t="s">
        <v>48</v>
      </c>
      <c r="H711" s="19" t="s">
        <v>49</v>
      </c>
      <c r="I711" s="20">
        <v>45969.362500000003</v>
      </c>
      <c r="K711" s="19"/>
      <c r="L711" s="20">
        <v>45969.465277777781</v>
      </c>
      <c r="M711" s="19"/>
      <c r="N711" s="22">
        <f t="shared" si="22"/>
        <v>0.10277777777810115</v>
      </c>
      <c r="O711" s="19" t="s">
        <v>63</v>
      </c>
      <c r="P711" s="19" t="s">
        <v>5321</v>
      </c>
      <c r="Q711" s="19" t="s">
        <v>5322</v>
      </c>
      <c r="R711" s="19"/>
      <c r="S711" s="19"/>
      <c r="U711" s="19"/>
      <c r="W711" s="19"/>
      <c r="X711" s="19" t="s">
        <v>109</v>
      </c>
      <c r="Y711" s="27" t="s">
        <v>63</v>
      </c>
      <c r="Z711" s="27" t="s">
        <v>78</v>
      </c>
      <c r="AA711" s="27" t="s">
        <v>78</v>
      </c>
      <c r="AB711" s="27" t="s">
        <v>78</v>
      </c>
      <c r="AC711" s="37" t="s">
        <v>78</v>
      </c>
      <c r="AD711" s="38" t="s">
        <v>78</v>
      </c>
      <c r="AE711" s="36">
        <v>45962</v>
      </c>
      <c r="AF711" s="19" t="s">
        <v>89</v>
      </c>
      <c r="AG711" s="19" t="s">
        <v>90</v>
      </c>
      <c r="AH711" s="19" t="s">
        <v>62</v>
      </c>
      <c r="AI711" s="19" t="s">
        <v>63</v>
      </c>
      <c r="AJ711" s="19" t="s">
        <v>5323</v>
      </c>
      <c r="AK711" s="19"/>
      <c r="AL711" s="19"/>
      <c r="AM711" s="19"/>
      <c r="AN711" s="19" t="s">
        <v>103</v>
      </c>
      <c r="AO711" s="23">
        <v>45969.362500000003</v>
      </c>
      <c r="AP711" s="26">
        <f t="shared" si="23"/>
        <v>148</v>
      </c>
    </row>
    <row r="712" spans="1:42" ht="25.5" hidden="1" customHeight="1">
      <c r="A712" s="19" t="s">
        <v>42</v>
      </c>
      <c r="B712" s="19" t="s">
        <v>66</v>
      </c>
      <c r="C712" s="19" t="s">
        <v>5324</v>
      </c>
      <c r="D712" s="19" t="s">
        <v>45</v>
      </c>
      <c r="E712" s="19" t="s">
        <v>46</v>
      </c>
      <c r="F712" s="19" t="s">
        <v>5325</v>
      </c>
      <c r="G712" s="19" t="s">
        <v>48</v>
      </c>
      <c r="H712" s="19" t="s">
        <v>49</v>
      </c>
      <c r="I712" s="20">
        <v>45969.333333333343</v>
      </c>
      <c r="K712" s="19"/>
      <c r="L712" s="20">
        <v>45969.494444444441</v>
      </c>
      <c r="M712" s="19"/>
      <c r="N712" s="22">
        <f t="shared" si="22"/>
        <v>0.1611111110978527</v>
      </c>
      <c r="O712" s="19" t="s">
        <v>50</v>
      </c>
      <c r="P712" s="19" t="s">
        <v>5326</v>
      </c>
      <c r="Q712" s="19" t="s">
        <v>5327</v>
      </c>
      <c r="R712" s="19"/>
      <c r="S712" s="19"/>
      <c r="U712" s="19"/>
      <c r="W712" s="19"/>
      <c r="X712" s="19" t="s">
        <v>72</v>
      </c>
      <c r="Y712" s="27" t="s">
        <v>63</v>
      </c>
      <c r="Z712" s="27" t="s">
        <v>78</v>
      </c>
      <c r="AA712" s="27" t="s">
        <v>78</v>
      </c>
      <c r="AB712" s="27" t="s">
        <v>78</v>
      </c>
      <c r="AC712" s="37" t="s">
        <v>78</v>
      </c>
      <c r="AD712" s="38" t="s">
        <v>78</v>
      </c>
      <c r="AE712" s="36">
        <v>45962</v>
      </c>
      <c r="AF712" s="19" t="s">
        <v>89</v>
      </c>
      <c r="AG712" s="19" t="s">
        <v>90</v>
      </c>
      <c r="AH712" s="19" t="s">
        <v>62</v>
      </c>
      <c r="AI712" s="19" t="s">
        <v>63</v>
      </c>
      <c r="AJ712" s="19" t="s">
        <v>5328</v>
      </c>
      <c r="AK712" s="19"/>
      <c r="AL712" s="19"/>
      <c r="AM712" s="19"/>
      <c r="AN712" s="19" t="s">
        <v>65</v>
      </c>
      <c r="AO712" s="23">
        <v>45969.560416666667</v>
      </c>
      <c r="AP712" s="26">
        <f t="shared" si="23"/>
        <v>232</v>
      </c>
    </row>
    <row r="713" spans="1:42" ht="25.5" hidden="1" customHeight="1">
      <c r="A713" s="19" t="s">
        <v>42</v>
      </c>
      <c r="B713" s="19" t="s">
        <v>5329</v>
      </c>
      <c r="C713" s="19" t="s">
        <v>5330</v>
      </c>
      <c r="D713" s="19" t="s">
        <v>45</v>
      </c>
      <c r="E713" s="19" t="s">
        <v>46</v>
      </c>
      <c r="F713" s="19" t="s">
        <v>5331</v>
      </c>
      <c r="G713" s="19" t="s">
        <v>48</v>
      </c>
      <c r="H713" s="19" t="s">
        <v>49</v>
      </c>
      <c r="I713" s="20">
        <v>45970.634722222218</v>
      </c>
      <c r="K713" s="19"/>
      <c r="L713" s="20">
        <v>45970.664583333331</v>
      </c>
      <c r="M713" s="19"/>
      <c r="N713" s="22">
        <f t="shared" si="22"/>
        <v>2.9861111113859806E-2</v>
      </c>
      <c r="O713" s="19" t="s">
        <v>63</v>
      </c>
      <c r="P713" s="19" t="s">
        <v>5332</v>
      </c>
      <c r="Q713" s="19" t="s">
        <v>5333</v>
      </c>
      <c r="R713" s="19"/>
      <c r="S713" s="19"/>
      <c r="U713" s="19"/>
      <c r="W713" s="19"/>
      <c r="X713" s="19" t="s">
        <v>109</v>
      </c>
      <c r="Y713" s="27" t="s">
        <v>54</v>
      </c>
      <c r="Z713" s="27" t="s">
        <v>331</v>
      </c>
      <c r="AA713" s="27" t="s">
        <v>5334</v>
      </c>
      <c r="AB713" s="27" t="s">
        <v>5335</v>
      </c>
      <c r="AC713" s="37" t="s">
        <v>5336</v>
      </c>
      <c r="AD713" s="38" t="s">
        <v>5337</v>
      </c>
      <c r="AE713" s="36">
        <v>45962</v>
      </c>
      <c r="AF713" s="19" t="s">
        <v>78</v>
      </c>
      <c r="AG713" s="19" t="s">
        <v>78</v>
      </c>
      <c r="AH713" s="19" t="s">
        <v>62</v>
      </c>
      <c r="AI713" s="19" t="s">
        <v>63</v>
      </c>
      <c r="AJ713" s="19" t="s">
        <v>5338</v>
      </c>
      <c r="AK713" s="19"/>
      <c r="AL713" s="19"/>
      <c r="AM713" s="19"/>
      <c r="AN713" s="19" t="s">
        <v>166</v>
      </c>
      <c r="AO713" s="23">
        <v>45970.634722222218</v>
      </c>
      <c r="AP713" s="26">
        <f t="shared" si="23"/>
        <v>43</v>
      </c>
    </row>
    <row r="714" spans="1:42" ht="25.5" hidden="1" customHeight="1">
      <c r="A714" s="19" t="s">
        <v>42</v>
      </c>
      <c r="B714" s="19" t="s">
        <v>909</v>
      </c>
      <c r="C714" s="19" t="s">
        <v>336</v>
      </c>
      <c r="D714" s="19" t="s">
        <v>45</v>
      </c>
      <c r="E714" s="19" t="s">
        <v>46</v>
      </c>
      <c r="F714" s="19" t="s">
        <v>5339</v>
      </c>
      <c r="G714" s="19" t="s">
        <v>48</v>
      </c>
      <c r="H714" s="19" t="s">
        <v>49</v>
      </c>
      <c r="I714" s="20">
        <v>45970.970138888893</v>
      </c>
      <c r="K714" s="19"/>
      <c r="L714" s="20">
        <v>45971.008333333331</v>
      </c>
      <c r="M714" s="19"/>
      <c r="N714" s="22">
        <f t="shared" si="22"/>
        <v>3.8194444437976927E-2</v>
      </c>
      <c r="O714" s="19" t="s">
        <v>50</v>
      </c>
      <c r="P714" s="19" t="s">
        <v>5340</v>
      </c>
      <c r="Q714" s="19" t="s">
        <v>5341</v>
      </c>
      <c r="R714" s="19"/>
      <c r="S714" s="19"/>
      <c r="U714" s="19"/>
      <c r="W714" s="19"/>
      <c r="X714" s="19" t="s">
        <v>314</v>
      </c>
      <c r="Y714" s="27" t="s">
        <v>133</v>
      </c>
      <c r="Z714" s="27" t="s">
        <v>5342</v>
      </c>
      <c r="AA714" s="27" t="s">
        <v>5343</v>
      </c>
      <c r="AB714" s="27" t="s">
        <v>5344</v>
      </c>
      <c r="AC714" s="37" t="s">
        <v>5345</v>
      </c>
      <c r="AD714" s="38" t="s">
        <v>5346</v>
      </c>
      <c r="AE714" s="36">
        <v>45962</v>
      </c>
      <c r="AF714" s="19" t="s">
        <v>99</v>
      </c>
      <c r="AG714" s="19" t="s">
        <v>100</v>
      </c>
      <c r="AH714" s="19" t="s">
        <v>62</v>
      </c>
      <c r="AI714" s="19" t="s">
        <v>63</v>
      </c>
      <c r="AJ714" s="19" t="s">
        <v>5347</v>
      </c>
      <c r="AK714" s="19" t="s">
        <v>5348</v>
      </c>
      <c r="AL714" s="19"/>
      <c r="AM714" s="19"/>
      <c r="AN714" s="19" t="s">
        <v>103</v>
      </c>
      <c r="AO714" s="23">
        <v>45970.970138888893</v>
      </c>
      <c r="AP714" s="26">
        <f t="shared" si="23"/>
        <v>55</v>
      </c>
    </row>
    <row r="715" spans="1:42" ht="25.5" hidden="1" customHeight="1">
      <c r="A715" s="19" t="s">
        <v>42</v>
      </c>
      <c r="B715" s="19" t="s">
        <v>5349</v>
      </c>
      <c r="C715" s="19" t="s">
        <v>1767</v>
      </c>
      <c r="D715" s="19" t="s">
        <v>45</v>
      </c>
      <c r="E715" s="19" t="s">
        <v>46</v>
      </c>
      <c r="F715" s="19" t="s">
        <v>5350</v>
      </c>
      <c r="G715" s="19" t="s">
        <v>48</v>
      </c>
      <c r="H715" s="19" t="s">
        <v>49</v>
      </c>
      <c r="I715" s="20">
        <v>45971.359027777777</v>
      </c>
      <c r="K715" s="19"/>
      <c r="L715" s="20">
        <v>45971.388888888891</v>
      </c>
      <c r="M715" s="19"/>
      <c r="N715" s="22">
        <f t="shared" si="22"/>
        <v>2.9861111113859806E-2</v>
      </c>
      <c r="O715" s="19" t="s">
        <v>50</v>
      </c>
      <c r="P715" s="19" t="s">
        <v>5351</v>
      </c>
      <c r="Q715" s="19" t="s">
        <v>5352</v>
      </c>
      <c r="R715" s="19" t="s">
        <v>5353</v>
      </c>
      <c r="S715" s="19" t="s">
        <v>5354</v>
      </c>
      <c r="T715" s="20">
        <v>45971.755925925929</v>
      </c>
      <c r="U715" s="19">
        <v>45978.819814814808</v>
      </c>
      <c r="V715" s="19" t="s">
        <v>157</v>
      </c>
      <c r="W715" s="19"/>
      <c r="X715" s="19" t="s">
        <v>53</v>
      </c>
      <c r="Y715" s="27" t="s">
        <v>54</v>
      </c>
      <c r="Z715" s="27" t="s">
        <v>414</v>
      </c>
      <c r="AA715" s="27" t="s">
        <v>5355</v>
      </c>
      <c r="AB715" s="27" t="s">
        <v>5356</v>
      </c>
      <c r="AC715" s="37">
        <v>45971.291944444441</v>
      </c>
      <c r="AD715" s="38">
        <v>45971.30190972222</v>
      </c>
      <c r="AE715" s="36">
        <v>45962</v>
      </c>
      <c r="AF715" s="19" t="s">
        <v>89</v>
      </c>
      <c r="AG715" s="19" t="s">
        <v>126</v>
      </c>
      <c r="AH715" s="19" t="s">
        <v>62</v>
      </c>
      <c r="AI715" s="19" t="s">
        <v>63</v>
      </c>
      <c r="AJ715" s="19" t="s">
        <v>5357</v>
      </c>
      <c r="AK715" s="19"/>
      <c r="AL715" s="19"/>
      <c r="AM715" s="19"/>
      <c r="AN715" s="19" t="s">
        <v>65</v>
      </c>
      <c r="AO715" s="23">
        <v>45971.359027777777</v>
      </c>
      <c r="AP715" s="26">
        <f t="shared" si="23"/>
        <v>43</v>
      </c>
    </row>
    <row r="716" spans="1:42" ht="25.5" hidden="1" customHeight="1">
      <c r="A716" s="19" t="s">
        <v>42</v>
      </c>
      <c r="B716" s="19" t="s">
        <v>93</v>
      </c>
      <c r="C716" s="19" t="s">
        <v>1903</v>
      </c>
      <c r="D716" s="19" t="s">
        <v>45</v>
      </c>
      <c r="E716" s="19" t="s">
        <v>46</v>
      </c>
      <c r="F716" s="19" t="s">
        <v>5358</v>
      </c>
      <c r="G716" s="19" t="s">
        <v>48</v>
      </c>
      <c r="H716" s="19" t="s">
        <v>49</v>
      </c>
      <c r="I716" s="20">
        <v>45971.552083333343</v>
      </c>
      <c r="K716" s="19"/>
      <c r="L716" s="20">
        <v>45971.5625</v>
      </c>
      <c r="M716" s="19"/>
      <c r="N716" s="22">
        <f t="shared" si="22"/>
        <v>1.041666665696539E-2</v>
      </c>
      <c r="O716" s="19" t="s">
        <v>63</v>
      </c>
      <c r="P716" s="19" t="s">
        <v>5359</v>
      </c>
      <c r="Q716" s="19" t="s">
        <v>5360</v>
      </c>
      <c r="R716" s="19"/>
      <c r="S716" s="19"/>
      <c r="U716" s="19"/>
      <c r="W716" s="19"/>
      <c r="X716" s="19" t="s">
        <v>98</v>
      </c>
      <c r="Y716" s="27" t="s">
        <v>63</v>
      </c>
      <c r="Z716" s="27" t="s">
        <v>78</v>
      </c>
      <c r="AA716" s="27" t="s">
        <v>78</v>
      </c>
      <c r="AB716" s="27" t="s">
        <v>78</v>
      </c>
      <c r="AC716" s="37" t="s">
        <v>78</v>
      </c>
      <c r="AD716" s="38" t="s">
        <v>78</v>
      </c>
      <c r="AE716" s="36">
        <v>45962</v>
      </c>
      <c r="AF716" s="19" t="s">
        <v>89</v>
      </c>
      <c r="AG716" s="19" t="s">
        <v>90</v>
      </c>
      <c r="AH716" s="19" t="s">
        <v>62</v>
      </c>
      <c r="AI716" s="19" t="s">
        <v>63</v>
      </c>
      <c r="AJ716" s="19" t="s">
        <v>5361</v>
      </c>
      <c r="AK716" s="19"/>
      <c r="AL716" s="19"/>
      <c r="AM716" s="19"/>
      <c r="AN716" s="19" t="s">
        <v>65</v>
      </c>
      <c r="AO716" s="23">
        <v>45971.552083333343</v>
      </c>
      <c r="AP716" s="26">
        <f t="shared" si="23"/>
        <v>15</v>
      </c>
    </row>
    <row r="717" spans="1:42" ht="25.5" hidden="1" customHeight="1">
      <c r="A717" s="19" t="s">
        <v>42</v>
      </c>
      <c r="B717" s="19" t="s">
        <v>5349</v>
      </c>
      <c r="C717" s="19" t="s">
        <v>1767</v>
      </c>
      <c r="D717" s="19" t="s">
        <v>45</v>
      </c>
      <c r="E717" s="19" t="s">
        <v>46</v>
      </c>
      <c r="F717" s="19" t="s">
        <v>5350</v>
      </c>
      <c r="G717" s="19" t="s">
        <v>226</v>
      </c>
      <c r="H717" s="19" t="s">
        <v>49</v>
      </c>
      <c r="I717" s="20">
        <v>45971.661805555559</v>
      </c>
      <c r="K717" s="19"/>
      <c r="L717" s="20">
        <v>45971.701388888891</v>
      </c>
      <c r="M717" s="19"/>
      <c r="N717" s="22">
        <f t="shared" si="22"/>
        <v>3.9583333331393078E-2</v>
      </c>
      <c r="O717" s="19" t="s">
        <v>50</v>
      </c>
      <c r="P717" s="19" t="s">
        <v>5362</v>
      </c>
      <c r="Q717" s="19" t="s">
        <v>5363</v>
      </c>
      <c r="R717" s="19" t="s">
        <v>5353</v>
      </c>
      <c r="S717" s="19" t="s">
        <v>5354</v>
      </c>
      <c r="T717" s="20">
        <v>45971.755925925929</v>
      </c>
      <c r="U717" s="19">
        <v>45978.819814814808</v>
      </c>
      <c r="V717" s="19" t="s">
        <v>157</v>
      </c>
      <c r="W717" s="19"/>
      <c r="X717" s="19" t="s">
        <v>53</v>
      </c>
      <c r="Y717" s="27" t="s">
        <v>54</v>
      </c>
      <c r="Z717" s="27" t="s">
        <v>110</v>
      </c>
      <c r="AA717" s="27" t="s">
        <v>5364</v>
      </c>
      <c r="AB717" s="27" t="s">
        <v>5365</v>
      </c>
      <c r="AC717" s="37" t="s">
        <v>5366</v>
      </c>
      <c r="AD717" s="38" t="s">
        <v>5367</v>
      </c>
      <c r="AE717" s="36">
        <v>45962</v>
      </c>
      <c r="AF717" s="19" t="s">
        <v>89</v>
      </c>
      <c r="AG717" s="19" t="s">
        <v>126</v>
      </c>
      <c r="AH717" s="19" t="s">
        <v>62</v>
      </c>
      <c r="AI717" s="19" t="s">
        <v>50</v>
      </c>
      <c r="AJ717" s="19" t="s">
        <v>5368</v>
      </c>
      <c r="AK717" s="19"/>
      <c r="AL717" s="19"/>
      <c r="AM717" s="19"/>
      <c r="AN717" s="19" t="s">
        <v>65</v>
      </c>
      <c r="AO717" s="23">
        <v>45971.661805555559</v>
      </c>
      <c r="AP717" s="26">
        <f t="shared" si="23"/>
        <v>57</v>
      </c>
    </row>
    <row r="718" spans="1:42" ht="25.5" hidden="1" customHeight="1">
      <c r="A718" s="19" t="s">
        <v>92</v>
      </c>
      <c r="B718" s="19" t="s">
        <v>3311</v>
      </c>
      <c r="C718" s="19" t="s">
        <v>3426</v>
      </c>
      <c r="D718" s="19" t="s">
        <v>45</v>
      </c>
      <c r="E718" s="19" t="s">
        <v>46</v>
      </c>
      <c r="F718" s="19" t="s">
        <v>5369</v>
      </c>
      <c r="G718" s="19" t="s">
        <v>48</v>
      </c>
      <c r="H718" s="19" t="s">
        <v>49</v>
      </c>
      <c r="I718" s="20">
        <v>45971.715277777781</v>
      </c>
      <c r="K718" s="19"/>
      <c r="L718" s="20">
        <v>45971.790972222218</v>
      </c>
      <c r="M718" s="19"/>
      <c r="N718" s="22">
        <f t="shared" si="22"/>
        <v>7.5694444436521735E-2</v>
      </c>
      <c r="O718" s="19" t="s">
        <v>50</v>
      </c>
      <c r="P718" s="19" t="s">
        <v>4697</v>
      </c>
      <c r="Q718" s="19" t="s">
        <v>4698</v>
      </c>
      <c r="R718" s="19"/>
      <c r="S718" s="19"/>
      <c r="U718" s="19"/>
      <c r="W718" s="19"/>
      <c r="X718" s="19" t="s">
        <v>109</v>
      </c>
      <c r="Y718" s="27" t="s">
        <v>63</v>
      </c>
      <c r="Z718" s="27" t="s">
        <v>78</v>
      </c>
      <c r="AA718" s="27" t="s">
        <v>78</v>
      </c>
      <c r="AB718" s="27" t="s">
        <v>78</v>
      </c>
      <c r="AC718" s="37" t="s">
        <v>78</v>
      </c>
      <c r="AD718" s="38" t="s">
        <v>78</v>
      </c>
      <c r="AE718" s="36">
        <v>45962</v>
      </c>
      <c r="AF718" s="19" t="s">
        <v>60</v>
      </c>
      <c r="AG718" s="19" t="s">
        <v>78</v>
      </c>
      <c r="AH718" s="19" t="s">
        <v>78</v>
      </c>
      <c r="AI718" s="19" t="s">
        <v>63</v>
      </c>
      <c r="AJ718" s="19" t="s">
        <v>5370</v>
      </c>
      <c r="AK718" s="19"/>
      <c r="AL718" s="19"/>
      <c r="AM718" s="19"/>
      <c r="AN718" s="19" t="s">
        <v>103</v>
      </c>
      <c r="AO718" s="23">
        <v>45971.715277777781</v>
      </c>
      <c r="AP718" s="26">
        <f t="shared" si="23"/>
        <v>109</v>
      </c>
    </row>
    <row r="719" spans="1:42" ht="25.5" customHeight="1">
      <c r="A719" s="19" t="s">
        <v>285</v>
      </c>
      <c r="B719" s="19" t="s">
        <v>5371</v>
      </c>
      <c r="C719" s="19" t="s">
        <v>5372</v>
      </c>
      <c r="D719" s="19" t="s">
        <v>45</v>
      </c>
      <c r="E719" s="19" t="s">
        <v>46</v>
      </c>
      <c r="F719" s="19" t="s">
        <v>5373</v>
      </c>
      <c r="G719" s="19" t="s">
        <v>48</v>
      </c>
      <c r="H719" s="19" t="s">
        <v>152</v>
      </c>
      <c r="I719" s="20">
        <v>45971.754166666673</v>
      </c>
      <c r="J719" s="20">
        <v>45971.775000000001</v>
      </c>
      <c r="K719" s="19"/>
      <c r="L719" s="20">
        <v>45971.783333333333</v>
      </c>
      <c r="M719" s="19"/>
      <c r="N719" s="22">
        <f t="shared" si="22"/>
        <v>2.9166666659875773E-2</v>
      </c>
      <c r="O719" s="19" t="s">
        <v>50</v>
      </c>
      <c r="P719" s="19" t="s">
        <v>5374</v>
      </c>
      <c r="Q719" s="19" t="s">
        <v>5375</v>
      </c>
      <c r="R719" s="19" t="s">
        <v>5376</v>
      </c>
      <c r="S719" s="19" t="s">
        <v>5377</v>
      </c>
      <c r="T719" s="20">
        <v>45971.841504629629</v>
      </c>
      <c r="U719" s="19">
        <v>45981.772916666669</v>
      </c>
      <c r="V719" s="19" t="s">
        <v>157</v>
      </c>
      <c r="W719" s="19"/>
      <c r="X719" s="19" t="s">
        <v>5378</v>
      </c>
      <c r="Y719" s="27" t="s">
        <v>54</v>
      </c>
      <c r="Z719" s="27" t="s">
        <v>811</v>
      </c>
      <c r="AA719" s="27" t="s">
        <v>5379</v>
      </c>
      <c r="AB719" s="27" t="s">
        <v>5380</v>
      </c>
      <c r="AC719" s="37" t="s">
        <v>5381</v>
      </c>
      <c r="AD719" s="38" t="s">
        <v>5382</v>
      </c>
      <c r="AE719" s="36">
        <v>45962</v>
      </c>
      <c r="AF719" s="19" t="s">
        <v>293</v>
      </c>
      <c r="AG719" s="19" t="s">
        <v>294</v>
      </c>
      <c r="AH719" s="19" t="s">
        <v>62</v>
      </c>
      <c r="AI719" s="19" t="s">
        <v>63</v>
      </c>
      <c r="AJ719" s="19" t="s">
        <v>5383</v>
      </c>
      <c r="AK719" s="19"/>
      <c r="AL719" s="19"/>
      <c r="AM719" s="19"/>
      <c r="AN719" s="19" t="s">
        <v>103</v>
      </c>
      <c r="AO719" s="23">
        <v>45971.754166666673</v>
      </c>
      <c r="AP719" s="26">
        <f t="shared" si="23"/>
        <v>42</v>
      </c>
    </row>
    <row r="720" spans="1:42" ht="25.5" hidden="1" customHeight="1">
      <c r="A720" s="19" t="s">
        <v>42</v>
      </c>
      <c r="B720" s="19" t="s">
        <v>2786</v>
      </c>
      <c r="C720" s="19" t="s">
        <v>3725</v>
      </c>
      <c r="D720" s="19" t="s">
        <v>45</v>
      </c>
      <c r="E720" s="19" t="s">
        <v>46</v>
      </c>
      <c r="F720" s="19" t="s">
        <v>5384</v>
      </c>
      <c r="G720" s="19" t="s">
        <v>48</v>
      </c>
      <c r="H720" s="19" t="s">
        <v>49</v>
      </c>
      <c r="I720" s="20">
        <v>45971.834722222222</v>
      </c>
      <c r="K720" s="19"/>
      <c r="L720" s="20">
        <v>45971.866666666669</v>
      </c>
      <c r="M720" s="19"/>
      <c r="N720" s="22">
        <f t="shared" ref="N720:N783" si="24">L720-I720</f>
        <v>3.1944444446708076E-2</v>
      </c>
      <c r="O720" s="19" t="s">
        <v>50</v>
      </c>
      <c r="P720" s="19" t="s">
        <v>5385</v>
      </c>
      <c r="Q720" s="19" t="s">
        <v>5386</v>
      </c>
      <c r="R720" s="19"/>
      <c r="S720" s="19"/>
      <c r="U720" s="19"/>
      <c r="W720" s="19"/>
      <c r="X720" s="19" t="s">
        <v>109</v>
      </c>
      <c r="Y720" s="27" t="s">
        <v>133</v>
      </c>
      <c r="Z720" s="27" t="s">
        <v>5387</v>
      </c>
      <c r="AA720" s="27" t="s">
        <v>5388</v>
      </c>
      <c r="AB720" s="27" t="s">
        <v>5389</v>
      </c>
      <c r="AC720" s="37" t="s">
        <v>5390</v>
      </c>
      <c r="AD720" s="38" t="s">
        <v>5391</v>
      </c>
      <c r="AE720" s="36">
        <v>45962</v>
      </c>
      <c r="AF720" s="19" t="s">
        <v>89</v>
      </c>
      <c r="AG720" s="19" t="s">
        <v>90</v>
      </c>
      <c r="AH720" s="19" t="s">
        <v>62</v>
      </c>
      <c r="AI720" s="19" t="s">
        <v>63</v>
      </c>
      <c r="AJ720" s="19" t="s">
        <v>5392</v>
      </c>
      <c r="AK720" s="19"/>
      <c r="AL720" s="19"/>
      <c r="AM720" s="19"/>
      <c r="AN720" s="19" t="s">
        <v>65</v>
      </c>
      <c r="AO720" s="23">
        <v>45971.849305555559</v>
      </c>
      <c r="AP720" s="26">
        <f t="shared" ref="AP720:AP783" si="25">((HOUR(N720)*60)+MINUTE(N720)+(SECOND(N720)/60))</f>
        <v>46</v>
      </c>
    </row>
    <row r="721" spans="1:42" ht="25.5" hidden="1" customHeight="1">
      <c r="A721" s="19" t="s">
        <v>285</v>
      </c>
      <c r="C721" s="19" t="s">
        <v>2196</v>
      </c>
      <c r="D721" s="19" t="s">
        <v>45</v>
      </c>
      <c r="E721" s="19" t="s">
        <v>46</v>
      </c>
      <c r="F721" s="19" t="s">
        <v>5393</v>
      </c>
      <c r="G721" s="19" t="s">
        <v>48</v>
      </c>
      <c r="H721" s="19" t="s">
        <v>49</v>
      </c>
      <c r="I721" s="20">
        <v>45972.006249999999</v>
      </c>
      <c r="K721" s="19"/>
      <c r="L721" s="20">
        <v>45972.071527777778</v>
      </c>
      <c r="M721" s="19"/>
      <c r="N721" s="22">
        <f t="shared" si="24"/>
        <v>6.5277777779556345E-2</v>
      </c>
      <c r="O721" s="19" t="s">
        <v>63</v>
      </c>
      <c r="P721" s="19" t="s">
        <v>5394</v>
      </c>
      <c r="Q721" s="19" t="s">
        <v>5395</v>
      </c>
      <c r="R721" s="19"/>
      <c r="S721" s="19"/>
      <c r="U721" s="19"/>
      <c r="W721" s="19"/>
      <c r="X721" s="19" t="s">
        <v>1589</v>
      </c>
      <c r="Y721" s="27" t="s">
        <v>133</v>
      </c>
      <c r="Z721" s="27" t="s">
        <v>5396</v>
      </c>
      <c r="AA721" s="27" t="s">
        <v>5397</v>
      </c>
      <c r="AB721" s="27" t="s">
        <v>5398</v>
      </c>
      <c r="AC721" s="37" t="s">
        <v>5399</v>
      </c>
      <c r="AD721" s="38" t="s">
        <v>5400</v>
      </c>
      <c r="AE721" s="36">
        <v>45962</v>
      </c>
      <c r="AF721" s="19" t="s">
        <v>89</v>
      </c>
      <c r="AG721" s="19" t="s">
        <v>90</v>
      </c>
      <c r="AH721" s="19" t="s">
        <v>62</v>
      </c>
      <c r="AI721" s="19" t="s">
        <v>63</v>
      </c>
      <c r="AJ721" s="19" t="s">
        <v>5401</v>
      </c>
      <c r="AK721" s="19"/>
      <c r="AL721" s="19"/>
      <c r="AM721" s="19"/>
      <c r="AN721" s="19" t="s">
        <v>65</v>
      </c>
      <c r="AO721" s="23">
        <v>45972.006249999999</v>
      </c>
      <c r="AP721" s="26">
        <f t="shared" si="25"/>
        <v>94</v>
      </c>
    </row>
    <row r="722" spans="1:42" ht="25.5" hidden="1" customHeight="1">
      <c r="A722" s="19" t="s">
        <v>42</v>
      </c>
      <c r="B722" s="19" t="s">
        <v>5349</v>
      </c>
      <c r="C722" s="19" t="s">
        <v>1767</v>
      </c>
      <c r="D722" s="19" t="s">
        <v>45</v>
      </c>
      <c r="E722" s="19" t="s">
        <v>46</v>
      </c>
      <c r="F722" s="19" t="s">
        <v>5350</v>
      </c>
      <c r="G722" s="19" t="s">
        <v>226</v>
      </c>
      <c r="H722" s="19" t="s">
        <v>49</v>
      </c>
      <c r="I722" s="20">
        <v>45972.365972222222</v>
      </c>
      <c r="K722" s="19"/>
      <c r="L722" s="20">
        <v>45972.40347222222</v>
      </c>
      <c r="M722" s="19"/>
      <c r="N722" s="22">
        <f t="shared" si="24"/>
        <v>3.7499999998544808E-2</v>
      </c>
      <c r="O722" s="19" t="s">
        <v>50</v>
      </c>
      <c r="P722" s="19" t="s">
        <v>5402</v>
      </c>
      <c r="Q722" s="19" t="s">
        <v>5403</v>
      </c>
      <c r="R722" s="19"/>
      <c r="S722" s="19"/>
      <c r="U722" s="19"/>
      <c r="W722" s="19"/>
      <c r="X722" s="19" t="s">
        <v>53</v>
      </c>
      <c r="Y722" s="27" t="s">
        <v>63</v>
      </c>
      <c r="Z722" s="27" t="s">
        <v>78</v>
      </c>
      <c r="AA722" s="27" t="s">
        <v>78</v>
      </c>
      <c r="AB722" s="27" t="s">
        <v>78</v>
      </c>
      <c r="AC722" s="37" t="s">
        <v>78</v>
      </c>
      <c r="AD722" s="38" t="s">
        <v>78</v>
      </c>
      <c r="AE722" s="36">
        <v>45962</v>
      </c>
      <c r="AF722" s="19" t="s">
        <v>89</v>
      </c>
      <c r="AG722" s="19" t="s">
        <v>126</v>
      </c>
      <c r="AH722" s="19" t="s">
        <v>62</v>
      </c>
      <c r="AI722" s="19" t="s">
        <v>50</v>
      </c>
      <c r="AJ722" s="19" t="s">
        <v>5404</v>
      </c>
      <c r="AK722" s="19"/>
      <c r="AL722" s="19"/>
      <c r="AM722" s="19"/>
      <c r="AN722" s="19" t="s">
        <v>65</v>
      </c>
      <c r="AO722" s="23">
        <v>45972.365972222222</v>
      </c>
      <c r="AP722" s="26">
        <f t="shared" si="25"/>
        <v>54</v>
      </c>
    </row>
    <row r="723" spans="1:42" ht="25.5" hidden="1" customHeight="1">
      <c r="A723" s="19" t="s">
        <v>116</v>
      </c>
      <c r="B723" s="19" t="s">
        <v>5329</v>
      </c>
      <c r="C723" s="19" t="s">
        <v>452</v>
      </c>
      <c r="D723" s="19" t="s">
        <v>45</v>
      </c>
      <c r="E723" s="19" t="s">
        <v>46</v>
      </c>
      <c r="F723" s="19" t="s">
        <v>5405</v>
      </c>
      <c r="G723" s="19" t="s">
        <v>48</v>
      </c>
      <c r="H723" s="19" t="s">
        <v>49</v>
      </c>
      <c r="I723" s="20">
        <v>45972.48333333333</v>
      </c>
      <c r="K723" s="19"/>
      <c r="L723" s="20">
        <v>45972.488194444442</v>
      </c>
      <c r="M723" s="19"/>
      <c r="N723" s="22">
        <f t="shared" si="24"/>
        <v>4.8611111124046147E-3</v>
      </c>
      <c r="O723" s="19" t="s">
        <v>50</v>
      </c>
      <c r="P723" s="19" t="s">
        <v>5406</v>
      </c>
      <c r="Q723" s="19" t="s">
        <v>5407</v>
      </c>
      <c r="R723" s="19"/>
      <c r="S723" s="19"/>
      <c r="U723" s="19"/>
      <c r="W723" s="19"/>
      <c r="X723" s="19" t="s">
        <v>98</v>
      </c>
      <c r="Y723" s="27" t="s">
        <v>147</v>
      </c>
      <c r="Z723" s="27" t="s">
        <v>5408</v>
      </c>
      <c r="AA723" s="27" t="s">
        <v>5409</v>
      </c>
      <c r="AB723" s="27" t="s">
        <v>5410</v>
      </c>
      <c r="AC723" s="37" t="s">
        <v>5411</v>
      </c>
      <c r="AD723" s="38" t="s">
        <v>5412</v>
      </c>
      <c r="AE723" s="36">
        <v>45962</v>
      </c>
      <c r="AF723" s="19" t="s">
        <v>99</v>
      </c>
      <c r="AG723" s="19" t="s">
        <v>100</v>
      </c>
      <c r="AH723" s="19" t="s">
        <v>62</v>
      </c>
      <c r="AI723" s="19" t="s">
        <v>63</v>
      </c>
      <c r="AJ723" s="19" t="s">
        <v>5413</v>
      </c>
      <c r="AK723" s="19" t="s">
        <v>5414</v>
      </c>
      <c r="AL723" s="19"/>
      <c r="AM723" s="19"/>
      <c r="AN723" s="19" t="s">
        <v>65</v>
      </c>
      <c r="AO723" s="23">
        <v>45972.48333333333</v>
      </c>
      <c r="AP723" s="26">
        <f t="shared" si="25"/>
        <v>7</v>
      </c>
    </row>
    <row r="724" spans="1:42" ht="25.5" hidden="1" customHeight="1">
      <c r="A724" s="19" t="s">
        <v>42</v>
      </c>
      <c r="B724" s="19" t="s">
        <v>5349</v>
      </c>
      <c r="C724" s="19" t="s">
        <v>1767</v>
      </c>
      <c r="D724" s="19" t="s">
        <v>45</v>
      </c>
      <c r="E724" s="19" t="s">
        <v>46</v>
      </c>
      <c r="F724" s="19" t="s">
        <v>5350</v>
      </c>
      <c r="G724" s="19" t="s">
        <v>226</v>
      </c>
      <c r="H724" s="19" t="s">
        <v>49</v>
      </c>
      <c r="I724" s="20">
        <v>45972.584722222222</v>
      </c>
      <c r="K724" s="19"/>
      <c r="L724" s="20">
        <v>45972.618055555547</v>
      </c>
      <c r="M724" s="19"/>
      <c r="N724" s="22">
        <f t="shared" si="24"/>
        <v>3.3333333325572312E-2</v>
      </c>
      <c r="O724" s="19" t="s">
        <v>50</v>
      </c>
      <c r="P724" s="19" t="s">
        <v>5402</v>
      </c>
      <c r="Q724" s="19" t="s">
        <v>5415</v>
      </c>
      <c r="R724" s="19"/>
      <c r="S724" s="19"/>
      <c r="U724" s="19"/>
      <c r="W724" s="19"/>
      <c r="X724" s="19" t="s">
        <v>53</v>
      </c>
      <c r="Y724" s="27" t="s">
        <v>54</v>
      </c>
      <c r="Z724" s="27" t="s">
        <v>209</v>
      </c>
      <c r="AA724" s="27" t="s">
        <v>5416</v>
      </c>
      <c r="AB724" s="27" t="s">
        <v>5417</v>
      </c>
      <c r="AC724" s="37">
        <v>45972.597916666673</v>
      </c>
      <c r="AD724" s="38">
        <v>45972.614583333343</v>
      </c>
      <c r="AE724" s="36">
        <v>45962</v>
      </c>
      <c r="AF724" s="19" t="s">
        <v>89</v>
      </c>
      <c r="AG724" s="19" t="s">
        <v>126</v>
      </c>
      <c r="AH724" s="19" t="s">
        <v>62</v>
      </c>
      <c r="AI724" s="19" t="s">
        <v>50</v>
      </c>
      <c r="AJ724" s="19" t="s">
        <v>5418</v>
      </c>
      <c r="AK724" s="19"/>
      <c r="AL724" s="19"/>
      <c r="AM724" s="19"/>
      <c r="AN724" s="19" t="s">
        <v>65</v>
      </c>
      <c r="AO724" s="23">
        <v>45972.584722222222</v>
      </c>
      <c r="AP724" s="26">
        <f t="shared" si="25"/>
        <v>48</v>
      </c>
    </row>
    <row r="725" spans="1:42" ht="25.5" hidden="1" customHeight="1">
      <c r="A725" s="19" t="s">
        <v>285</v>
      </c>
      <c r="B725" s="19" t="s">
        <v>186</v>
      </c>
      <c r="C725" s="19" t="s">
        <v>577</v>
      </c>
      <c r="D725" s="19" t="s">
        <v>45</v>
      </c>
      <c r="E725" s="19" t="s">
        <v>46</v>
      </c>
      <c r="F725" s="19" t="s">
        <v>5419</v>
      </c>
      <c r="G725" s="19" t="s">
        <v>48</v>
      </c>
      <c r="H725" s="19" t="s">
        <v>49</v>
      </c>
      <c r="I725" s="20">
        <v>45972.571527777778</v>
      </c>
      <c r="K725" s="19"/>
      <c r="L725" s="20">
        <v>45972.62222222222</v>
      </c>
      <c r="M725" s="19"/>
      <c r="N725" s="22">
        <f t="shared" si="24"/>
        <v>5.0694444442342501E-2</v>
      </c>
      <c r="O725" s="19" t="s">
        <v>63</v>
      </c>
      <c r="P725" s="19" t="s">
        <v>5420</v>
      </c>
      <c r="Q725" s="19" t="s">
        <v>5421</v>
      </c>
      <c r="R725" s="19"/>
      <c r="S725" s="19"/>
      <c r="U725" s="19"/>
      <c r="W725" s="19"/>
      <c r="X725" s="19" t="s">
        <v>191</v>
      </c>
      <c r="Y725" s="27" t="s">
        <v>63</v>
      </c>
      <c r="Z725" s="27" t="s">
        <v>78</v>
      </c>
      <c r="AA725" s="27" t="s">
        <v>78</v>
      </c>
      <c r="AB725" s="27" t="s">
        <v>78</v>
      </c>
      <c r="AC725" s="37" t="s">
        <v>78</v>
      </c>
      <c r="AD725" s="38" t="s">
        <v>78</v>
      </c>
      <c r="AE725" s="36">
        <v>45962</v>
      </c>
      <c r="AF725" s="19" t="s">
        <v>293</v>
      </c>
      <c r="AG725" s="19" t="s">
        <v>294</v>
      </c>
      <c r="AH725" s="19" t="s">
        <v>62</v>
      </c>
      <c r="AI725" s="19" t="s">
        <v>63</v>
      </c>
      <c r="AJ725" s="19" t="s">
        <v>5422</v>
      </c>
      <c r="AK725" s="19"/>
      <c r="AL725" s="19"/>
      <c r="AM725" s="19"/>
      <c r="AN725" s="19" t="s">
        <v>65</v>
      </c>
      <c r="AO725" s="23">
        <v>45972.571527777778</v>
      </c>
      <c r="AP725" s="26">
        <f t="shared" si="25"/>
        <v>73</v>
      </c>
    </row>
    <row r="726" spans="1:42" ht="25.5" hidden="1" customHeight="1">
      <c r="A726" s="19" t="s">
        <v>42</v>
      </c>
      <c r="B726" s="19" t="s">
        <v>5349</v>
      </c>
      <c r="C726" s="19" t="s">
        <v>1767</v>
      </c>
      <c r="D726" s="19" t="s">
        <v>45</v>
      </c>
      <c r="E726" s="19" t="s">
        <v>46</v>
      </c>
      <c r="F726" s="19" t="s">
        <v>5350</v>
      </c>
      <c r="G726" s="19" t="s">
        <v>226</v>
      </c>
      <c r="H726" s="19" t="s">
        <v>49</v>
      </c>
      <c r="I726" s="20">
        <v>45972.758333333331</v>
      </c>
      <c r="K726" s="19"/>
      <c r="L726" s="20">
        <v>45972.789583333331</v>
      </c>
      <c r="M726" s="19"/>
      <c r="N726" s="22">
        <f t="shared" si="24"/>
        <v>3.125E-2</v>
      </c>
      <c r="O726" s="19" t="s">
        <v>50</v>
      </c>
      <c r="P726" s="19" t="s">
        <v>5423</v>
      </c>
      <c r="Q726" s="19" t="s">
        <v>5424</v>
      </c>
      <c r="R726" s="19"/>
      <c r="S726" s="19"/>
      <c r="U726" s="19"/>
      <c r="W726" s="19"/>
      <c r="X726" s="19" t="s">
        <v>53</v>
      </c>
      <c r="Y726" s="27" t="s">
        <v>54</v>
      </c>
      <c r="Z726" s="27" t="s">
        <v>209</v>
      </c>
      <c r="AA726" s="27" t="s">
        <v>5425</v>
      </c>
      <c r="AB726" s="27" t="s">
        <v>5426</v>
      </c>
      <c r="AC726" s="37" t="s">
        <v>5427</v>
      </c>
      <c r="AD726" s="38">
        <v>45972.795937499999</v>
      </c>
      <c r="AE726" s="36">
        <v>45962</v>
      </c>
      <c r="AF726" s="19" t="s">
        <v>89</v>
      </c>
      <c r="AG726" s="19" t="s">
        <v>126</v>
      </c>
      <c r="AH726" s="19" t="s">
        <v>62</v>
      </c>
      <c r="AI726" s="19" t="s">
        <v>50</v>
      </c>
      <c r="AJ726" s="19" t="s">
        <v>5428</v>
      </c>
      <c r="AK726" s="19"/>
      <c r="AL726" s="19"/>
      <c r="AM726" s="19"/>
      <c r="AN726" s="19" t="s">
        <v>65</v>
      </c>
      <c r="AO726" s="23">
        <v>45972.758333333331</v>
      </c>
      <c r="AP726" s="26">
        <f t="shared" si="25"/>
        <v>45</v>
      </c>
    </row>
    <row r="727" spans="1:42" ht="25.5" hidden="1" customHeight="1">
      <c r="A727" s="19" t="s">
        <v>42</v>
      </c>
      <c r="B727" s="19" t="s">
        <v>5349</v>
      </c>
      <c r="C727" s="19" t="s">
        <v>1767</v>
      </c>
      <c r="D727" s="19" t="s">
        <v>45</v>
      </c>
      <c r="E727" s="19" t="s">
        <v>46</v>
      </c>
      <c r="F727" s="19" t="s">
        <v>5350</v>
      </c>
      <c r="G727" s="19" t="s">
        <v>226</v>
      </c>
      <c r="H727" s="19" t="s">
        <v>49</v>
      </c>
      <c r="I727" s="20">
        <v>45973.345138888893</v>
      </c>
      <c r="K727" s="19"/>
      <c r="L727" s="20">
        <v>45973.393750000003</v>
      </c>
      <c r="M727" s="19"/>
      <c r="N727" s="22">
        <f t="shared" si="24"/>
        <v>4.8611111109494232E-2</v>
      </c>
      <c r="O727" s="19" t="s">
        <v>50</v>
      </c>
      <c r="P727" s="19" t="s">
        <v>5423</v>
      </c>
      <c r="Q727" s="19" t="s">
        <v>5429</v>
      </c>
      <c r="R727" s="19"/>
      <c r="S727" s="19"/>
      <c r="U727" s="19"/>
      <c r="W727" s="19"/>
      <c r="X727" s="19" t="s">
        <v>53</v>
      </c>
      <c r="Y727" s="27" t="s">
        <v>63</v>
      </c>
      <c r="Z727" s="27" t="s">
        <v>78</v>
      </c>
      <c r="AA727" s="27" t="s">
        <v>78</v>
      </c>
      <c r="AB727" s="27" t="s">
        <v>78</v>
      </c>
      <c r="AC727" s="37" t="s">
        <v>78</v>
      </c>
      <c r="AD727" s="38" t="s">
        <v>78</v>
      </c>
      <c r="AE727" s="36">
        <v>45962</v>
      </c>
      <c r="AF727" s="19" t="s">
        <v>89</v>
      </c>
      <c r="AG727" s="19" t="s">
        <v>126</v>
      </c>
      <c r="AH727" s="19" t="s">
        <v>62</v>
      </c>
      <c r="AI727" s="19" t="s">
        <v>50</v>
      </c>
      <c r="AJ727" s="19" t="s">
        <v>5430</v>
      </c>
      <c r="AK727" s="19"/>
      <c r="AL727" s="19"/>
      <c r="AM727" s="19"/>
      <c r="AN727" s="19" t="s">
        <v>65</v>
      </c>
      <c r="AO727" s="23">
        <v>45973.345138888893</v>
      </c>
      <c r="AP727" s="26">
        <f t="shared" si="25"/>
        <v>70</v>
      </c>
    </row>
    <row r="728" spans="1:42" ht="25.5" hidden="1" customHeight="1">
      <c r="A728" s="19" t="s">
        <v>42</v>
      </c>
      <c r="B728" s="19" t="s">
        <v>5431</v>
      </c>
      <c r="C728" s="19" t="s">
        <v>5432</v>
      </c>
      <c r="D728" s="19" t="s">
        <v>45</v>
      </c>
      <c r="E728" s="19" t="s">
        <v>225</v>
      </c>
      <c r="F728" s="19" t="s">
        <v>5433</v>
      </c>
      <c r="G728" s="19" t="s">
        <v>48</v>
      </c>
      <c r="H728" s="19" t="s">
        <v>49</v>
      </c>
      <c r="I728" s="20">
        <v>45973.365972222222</v>
      </c>
      <c r="K728" s="19"/>
      <c r="L728" s="20">
        <v>45973.40625</v>
      </c>
      <c r="M728" s="19"/>
      <c r="N728" s="22">
        <f t="shared" si="24"/>
        <v>4.0277777778101154E-2</v>
      </c>
      <c r="O728" s="19" t="s">
        <v>50</v>
      </c>
      <c r="P728" s="19" t="s">
        <v>5434</v>
      </c>
      <c r="Q728" s="19" t="s">
        <v>5435</v>
      </c>
      <c r="R728" s="19"/>
      <c r="S728" s="19"/>
      <c r="U728" s="19"/>
      <c r="W728" s="19"/>
      <c r="X728" s="19" t="s">
        <v>5436</v>
      </c>
      <c r="Y728" s="27" t="s">
        <v>133</v>
      </c>
      <c r="Z728" s="27" t="s">
        <v>5437</v>
      </c>
      <c r="AA728" s="27" t="s">
        <v>5438</v>
      </c>
      <c r="AB728" s="27" t="s">
        <v>5439</v>
      </c>
      <c r="AC728" s="37" t="s">
        <v>5440</v>
      </c>
      <c r="AD728" s="38" t="s">
        <v>5441</v>
      </c>
      <c r="AE728" s="36">
        <v>45962</v>
      </c>
      <c r="AF728" s="19" t="s">
        <v>293</v>
      </c>
      <c r="AG728" s="19" t="s">
        <v>307</v>
      </c>
      <c r="AH728" s="19" t="s">
        <v>62</v>
      </c>
      <c r="AI728" s="19" t="s">
        <v>63</v>
      </c>
      <c r="AJ728" s="19" t="s">
        <v>5442</v>
      </c>
      <c r="AK728" s="19"/>
      <c r="AL728" s="19"/>
      <c r="AM728" s="19"/>
      <c r="AN728" s="19" t="s">
        <v>65</v>
      </c>
      <c r="AO728" s="23">
        <v>45973.365972222222</v>
      </c>
      <c r="AP728" s="26">
        <f t="shared" si="25"/>
        <v>58</v>
      </c>
    </row>
    <row r="729" spans="1:42" ht="25.5" hidden="1" customHeight="1">
      <c r="A729" s="19" t="s">
        <v>42</v>
      </c>
      <c r="B729" s="19" t="s">
        <v>5443</v>
      </c>
      <c r="C729" s="19" t="s">
        <v>1951</v>
      </c>
      <c r="D729" s="19" t="s">
        <v>45</v>
      </c>
      <c r="E729" s="19" t="s">
        <v>46</v>
      </c>
      <c r="F729" s="19" t="s">
        <v>5444</v>
      </c>
      <c r="G729" s="19" t="s">
        <v>48</v>
      </c>
      <c r="H729" s="19" t="s">
        <v>49</v>
      </c>
      <c r="I729" s="20">
        <v>45973.53402777778</v>
      </c>
      <c r="K729" s="19"/>
      <c r="L729" s="20">
        <v>45973.54583333333</v>
      </c>
      <c r="M729" s="19"/>
      <c r="N729" s="22">
        <f t="shared" si="24"/>
        <v>1.1805555550381541E-2</v>
      </c>
      <c r="O729" s="19" t="s">
        <v>50</v>
      </c>
      <c r="P729" s="19" t="s">
        <v>5445</v>
      </c>
      <c r="Q729" s="19" t="s">
        <v>5446</v>
      </c>
      <c r="R729" s="19"/>
      <c r="S729" s="19"/>
      <c r="U729" s="19"/>
      <c r="W729" s="19"/>
      <c r="X729" s="19" t="s">
        <v>109</v>
      </c>
      <c r="Y729" s="27" t="s">
        <v>54</v>
      </c>
      <c r="Z729" s="27" t="s">
        <v>209</v>
      </c>
      <c r="AA729" s="27" t="s">
        <v>5447</v>
      </c>
      <c r="AB729" s="27" t="s">
        <v>5448</v>
      </c>
      <c r="AC729" s="37" t="s">
        <v>5449</v>
      </c>
      <c r="AD729" s="38" t="s">
        <v>5450</v>
      </c>
      <c r="AE729" s="36">
        <v>45962</v>
      </c>
      <c r="AF729" s="19" t="s">
        <v>89</v>
      </c>
      <c r="AG729" s="19" t="s">
        <v>90</v>
      </c>
      <c r="AH729" s="19" t="s">
        <v>62</v>
      </c>
      <c r="AI729" s="19" t="s">
        <v>63</v>
      </c>
      <c r="AJ729" s="19" t="s">
        <v>5451</v>
      </c>
      <c r="AK729" s="19"/>
      <c r="AL729" s="19"/>
      <c r="AM729" s="19"/>
      <c r="AN729" s="19" t="s">
        <v>65</v>
      </c>
      <c r="AO729" s="23">
        <v>45973.543055555558</v>
      </c>
      <c r="AP729" s="26">
        <f t="shared" si="25"/>
        <v>17</v>
      </c>
    </row>
    <row r="730" spans="1:42" ht="25.5" hidden="1" customHeight="1">
      <c r="A730" s="19" t="s">
        <v>42</v>
      </c>
      <c r="C730" s="19" t="s">
        <v>2890</v>
      </c>
      <c r="D730" s="19" t="s">
        <v>45</v>
      </c>
      <c r="E730" s="19" t="s">
        <v>46</v>
      </c>
      <c r="F730" s="19" t="s">
        <v>5452</v>
      </c>
      <c r="G730" s="19" t="s">
        <v>48</v>
      </c>
      <c r="H730" s="19" t="s">
        <v>49</v>
      </c>
      <c r="I730" s="20">
        <v>45972.693749999999</v>
      </c>
      <c r="K730" s="19"/>
      <c r="L730" s="20">
        <v>45973.54583333333</v>
      </c>
      <c r="M730" s="19"/>
      <c r="N730" s="22">
        <f t="shared" si="24"/>
        <v>0.85208333333139308</v>
      </c>
      <c r="O730" s="19" t="s">
        <v>63</v>
      </c>
      <c r="P730" s="19" t="s">
        <v>5453</v>
      </c>
      <c r="Q730" s="19" t="s">
        <v>5454</v>
      </c>
      <c r="R730" s="19"/>
      <c r="S730" s="19"/>
      <c r="U730" s="19"/>
      <c r="W730" s="19"/>
      <c r="X730" s="19" t="s">
        <v>72</v>
      </c>
      <c r="Y730" s="27" t="s">
        <v>63</v>
      </c>
      <c r="Z730" s="27" t="s">
        <v>78</v>
      </c>
      <c r="AA730" s="27" t="s">
        <v>78</v>
      </c>
      <c r="AB730" s="27" t="s">
        <v>78</v>
      </c>
      <c r="AC730" s="37" t="s">
        <v>78</v>
      </c>
      <c r="AD730" s="38" t="s">
        <v>78</v>
      </c>
      <c r="AE730" s="36">
        <v>45962</v>
      </c>
      <c r="AF730" s="19" t="s">
        <v>99</v>
      </c>
      <c r="AG730" s="19" t="s">
        <v>100</v>
      </c>
      <c r="AH730" s="19" t="s">
        <v>62</v>
      </c>
      <c r="AI730" s="19" t="s">
        <v>63</v>
      </c>
      <c r="AJ730" s="19" t="s">
        <v>5455</v>
      </c>
      <c r="AK730" s="19" t="s">
        <v>5456</v>
      </c>
      <c r="AL730" s="19"/>
      <c r="AM730" s="19"/>
      <c r="AN730" s="19" t="s">
        <v>65</v>
      </c>
      <c r="AO730" s="23">
        <v>45973.693749999999</v>
      </c>
      <c r="AP730" s="26">
        <f t="shared" si="25"/>
        <v>1227</v>
      </c>
    </row>
    <row r="731" spans="1:42" ht="25.5" hidden="1" customHeight="1">
      <c r="A731" s="19" t="s">
        <v>42</v>
      </c>
      <c r="B731" s="19" t="s">
        <v>3843</v>
      </c>
      <c r="C731" s="19" t="s">
        <v>336</v>
      </c>
      <c r="D731" s="19" t="s">
        <v>45</v>
      </c>
      <c r="E731" s="19" t="s">
        <v>46</v>
      </c>
      <c r="F731" s="19" t="s">
        <v>5457</v>
      </c>
      <c r="G731" s="19" t="s">
        <v>48</v>
      </c>
      <c r="H731" s="19" t="s">
        <v>49</v>
      </c>
      <c r="I731" s="20">
        <v>45973.652777777781</v>
      </c>
      <c r="K731" s="19"/>
      <c r="L731" s="20">
        <v>45973.67291666667</v>
      </c>
      <c r="M731" s="19"/>
      <c r="N731" s="22">
        <f t="shared" si="24"/>
        <v>2.0138888889050577E-2</v>
      </c>
      <c r="O731" s="19" t="s">
        <v>50</v>
      </c>
      <c r="P731" s="19" t="s">
        <v>5458</v>
      </c>
      <c r="Q731" s="19" t="s">
        <v>5459</v>
      </c>
      <c r="R731" s="19" t="s">
        <v>5460</v>
      </c>
      <c r="S731" s="19" t="s">
        <v>5461</v>
      </c>
      <c r="T731" s="20">
        <v>45974.514837962961</v>
      </c>
      <c r="U731" s="19">
        <v>45979.527777777781</v>
      </c>
      <c r="V731" s="19" t="s">
        <v>157</v>
      </c>
      <c r="W731" s="19"/>
      <c r="X731" s="19" t="s">
        <v>314</v>
      </c>
      <c r="Y731" s="27" t="s">
        <v>54</v>
      </c>
      <c r="Z731" s="27" t="s">
        <v>414</v>
      </c>
      <c r="AA731" s="27" t="s">
        <v>5462</v>
      </c>
      <c r="AB731" s="27" t="s">
        <v>5463</v>
      </c>
      <c r="AC731" s="37">
        <v>45973.653865740736</v>
      </c>
      <c r="AD731" s="38">
        <v>45973.675393518519</v>
      </c>
      <c r="AE731" s="36">
        <v>45962</v>
      </c>
      <c r="AF731" s="19" t="s">
        <v>89</v>
      </c>
      <c r="AG731" s="19" t="s">
        <v>90</v>
      </c>
      <c r="AH731" s="19" t="s">
        <v>62</v>
      </c>
      <c r="AI731" s="19" t="s">
        <v>63</v>
      </c>
      <c r="AJ731" s="19" t="s">
        <v>5464</v>
      </c>
      <c r="AK731" s="19"/>
      <c r="AL731" s="19"/>
      <c r="AM731" s="19"/>
      <c r="AN731" s="19" t="s">
        <v>103</v>
      </c>
      <c r="AO731" s="23">
        <v>45973.652777777781</v>
      </c>
      <c r="AP731" s="26">
        <f t="shared" si="25"/>
        <v>29</v>
      </c>
    </row>
    <row r="732" spans="1:42" ht="25.5" hidden="1" customHeight="1">
      <c r="A732" s="19" t="s">
        <v>42</v>
      </c>
      <c r="B732" s="19" t="s">
        <v>186</v>
      </c>
      <c r="C732" s="19" t="s">
        <v>577</v>
      </c>
      <c r="D732" s="19" t="s">
        <v>45</v>
      </c>
      <c r="E732" s="19" t="s">
        <v>967</v>
      </c>
      <c r="F732" s="19" t="s">
        <v>5465</v>
      </c>
      <c r="G732" s="19" t="s">
        <v>48</v>
      </c>
      <c r="H732" s="19" t="s">
        <v>49</v>
      </c>
      <c r="I732" s="20">
        <v>45973.872916666667</v>
      </c>
      <c r="K732" s="19"/>
      <c r="L732" s="20">
        <v>45973.916666666657</v>
      </c>
      <c r="M732" s="19"/>
      <c r="N732" s="22">
        <f t="shared" si="24"/>
        <v>4.3749999989813659E-2</v>
      </c>
      <c r="O732" s="19" t="s">
        <v>63</v>
      </c>
      <c r="P732" s="19" t="s">
        <v>5466</v>
      </c>
      <c r="Q732" s="19" t="s">
        <v>5467</v>
      </c>
      <c r="R732" s="19"/>
      <c r="S732" s="19"/>
      <c r="U732" s="19"/>
      <c r="W732" s="19"/>
      <c r="X732" s="19" t="s">
        <v>191</v>
      </c>
      <c r="Y732" s="27" t="s">
        <v>63</v>
      </c>
      <c r="Z732" s="27" t="s">
        <v>78</v>
      </c>
      <c r="AA732" s="27" t="s">
        <v>78</v>
      </c>
      <c r="AB732" s="27" t="s">
        <v>78</v>
      </c>
      <c r="AC732" s="37" t="s">
        <v>78</v>
      </c>
      <c r="AD732" s="38" t="s">
        <v>78</v>
      </c>
      <c r="AE732" s="36">
        <v>45962</v>
      </c>
      <c r="AF732" s="19" t="s">
        <v>89</v>
      </c>
      <c r="AG732" s="19" t="s">
        <v>90</v>
      </c>
      <c r="AH732" s="19" t="s">
        <v>62</v>
      </c>
      <c r="AI732" s="19" t="s">
        <v>63</v>
      </c>
      <c r="AJ732" s="19" t="s">
        <v>5468</v>
      </c>
      <c r="AK732" s="19"/>
      <c r="AL732" s="19"/>
      <c r="AM732" s="19"/>
      <c r="AN732" s="19" t="s">
        <v>65</v>
      </c>
      <c r="AO732" s="23">
        <v>45973.872916666667</v>
      </c>
      <c r="AP732" s="26">
        <f t="shared" si="25"/>
        <v>63</v>
      </c>
    </row>
    <row r="733" spans="1:42" ht="25.5" hidden="1" customHeight="1">
      <c r="A733" s="19" t="s">
        <v>92</v>
      </c>
      <c r="B733" s="19" t="s">
        <v>3311</v>
      </c>
      <c r="C733" s="19" t="s">
        <v>2480</v>
      </c>
      <c r="D733" s="19" t="s">
        <v>45</v>
      </c>
      <c r="E733" s="19" t="s">
        <v>46</v>
      </c>
      <c r="F733" s="19" t="s">
        <v>5469</v>
      </c>
      <c r="G733" s="19" t="s">
        <v>48</v>
      </c>
      <c r="H733" s="19" t="s">
        <v>49</v>
      </c>
      <c r="I733" s="20">
        <v>45974.510416666657</v>
      </c>
      <c r="K733" s="19"/>
      <c r="L733" s="20">
        <v>45974.517361111109</v>
      </c>
      <c r="M733" s="19"/>
      <c r="N733" s="22">
        <f t="shared" si="24"/>
        <v>6.9444444525288418E-3</v>
      </c>
      <c r="O733" s="19" t="s">
        <v>50</v>
      </c>
      <c r="P733" s="19" t="s">
        <v>5470</v>
      </c>
      <c r="Q733" s="19" t="s">
        <v>5471</v>
      </c>
      <c r="R733" s="19"/>
      <c r="S733" s="19"/>
      <c r="U733" s="19"/>
      <c r="W733" s="19"/>
      <c r="X733" s="19" t="s">
        <v>109</v>
      </c>
      <c r="Y733" s="27" t="s">
        <v>133</v>
      </c>
      <c r="Z733" s="27" t="s">
        <v>2884</v>
      </c>
      <c r="AA733" s="27" t="s">
        <v>5472</v>
      </c>
      <c r="AB733" s="27" t="s">
        <v>5473</v>
      </c>
      <c r="AC733" s="37" t="s">
        <v>5474</v>
      </c>
      <c r="AD733" s="38" t="s">
        <v>5475</v>
      </c>
      <c r="AE733" s="36">
        <v>45962</v>
      </c>
      <c r="AF733" s="19" t="s">
        <v>60</v>
      </c>
      <c r="AG733" s="19" t="s">
        <v>78</v>
      </c>
      <c r="AH733" s="19" t="s">
        <v>78</v>
      </c>
      <c r="AI733" s="19" t="s">
        <v>63</v>
      </c>
      <c r="AJ733" s="19" t="s">
        <v>5476</v>
      </c>
      <c r="AK733" s="19"/>
      <c r="AL733" s="19"/>
      <c r="AM733" s="19"/>
      <c r="AN733" s="19" t="s">
        <v>103</v>
      </c>
      <c r="AO733" s="23">
        <v>45974.510416666657</v>
      </c>
      <c r="AP733" s="26">
        <f t="shared" si="25"/>
        <v>10</v>
      </c>
    </row>
    <row r="734" spans="1:42" ht="32.25" hidden="1" customHeight="1">
      <c r="A734" s="19" t="s">
        <v>42</v>
      </c>
      <c r="B734" s="19" t="s">
        <v>309</v>
      </c>
      <c r="C734" s="19" t="s">
        <v>1637</v>
      </c>
      <c r="D734" s="19" t="s">
        <v>45</v>
      </c>
      <c r="E734" s="19" t="s">
        <v>46</v>
      </c>
      <c r="F734" s="19" t="s">
        <v>5477</v>
      </c>
      <c r="G734" s="19" t="s">
        <v>48</v>
      </c>
      <c r="H734" s="19" t="s">
        <v>49</v>
      </c>
      <c r="I734" s="20">
        <v>45974.551388888889</v>
      </c>
      <c r="K734" s="19"/>
      <c r="L734" s="20">
        <v>45974.569444444453</v>
      </c>
      <c r="M734" s="19"/>
      <c r="N734" s="22">
        <f t="shared" si="24"/>
        <v>1.8055555563478265E-2</v>
      </c>
      <c r="O734" s="19" t="s">
        <v>50</v>
      </c>
      <c r="P734" s="19" t="s">
        <v>5478</v>
      </c>
      <c r="Q734" s="19" t="s">
        <v>5479</v>
      </c>
      <c r="R734" s="19"/>
      <c r="S734" s="19"/>
      <c r="U734" s="19"/>
      <c r="W734" s="19"/>
      <c r="X734" s="19" t="s">
        <v>314</v>
      </c>
      <c r="Y734" s="27" t="s">
        <v>133</v>
      </c>
      <c r="Z734" s="27" t="s">
        <v>5480</v>
      </c>
      <c r="AA734" s="27" t="s">
        <v>5481</v>
      </c>
      <c r="AB734" s="27" t="s">
        <v>5482</v>
      </c>
      <c r="AC734" s="37" t="s">
        <v>5483</v>
      </c>
      <c r="AD734" s="38" t="s">
        <v>5484</v>
      </c>
      <c r="AE734" s="36">
        <v>45962</v>
      </c>
      <c r="AF734" s="19" t="s">
        <v>89</v>
      </c>
      <c r="AG734" s="19" t="s">
        <v>90</v>
      </c>
      <c r="AH734" s="19" t="s">
        <v>62</v>
      </c>
      <c r="AI734" s="19" t="s">
        <v>63</v>
      </c>
      <c r="AJ734" s="19" t="s">
        <v>5485</v>
      </c>
      <c r="AK734" s="19"/>
      <c r="AL734" s="19"/>
      <c r="AM734" s="19"/>
      <c r="AN734" s="19" t="s">
        <v>65</v>
      </c>
      <c r="AO734" s="23">
        <v>45974.551388888889</v>
      </c>
      <c r="AP734" s="26">
        <f t="shared" si="25"/>
        <v>26</v>
      </c>
    </row>
    <row r="735" spans="1:42" ht="32.25" hidden="1" customHeight="1">
      <c r="A735" s="19" t="s">
        <v>42</v>
      </c>
      <c r="B735" s="19" t="s">
        <v>599</v>
      </c>
      <c r="C735" s="19" t="s">
        <v>1206</v>
      </c>
      <c r="D735" s="19" t="s">
        <v>45</v>
      </c>
      <c r="E735" s="19" t="s">
        <v>46</v>
      </c>
      <c r="F735" s="19" t="s">
        <v>5486</v>
      </c>
      <c r="G735" s="19" t="s">
        <v>48</v>
      </c>
      <c r="H735" s="19" t="s">
        <v>49</v>
      </c>
      <c r="I735" s="20">
        <v>45974.611805555563</v>
      </c>
      <c r="K735" s="19"/>
      <c r="L735" s="20">
        <v>45974.673611111109</v>
      </c>
      <c r="M735" s="19"/>
      <c r="N735" s="22">
        <f t="shared" si="24"/>
        <v>6.1805555546015967E-2</v>
      </c>
      <c r="O735" s="19" t="s">
        <v>63</v>
      </c>
      <c r="P735" s="19" t="s">
        <v>5487</v>
      </c>
      <c r="Q735" s="19" t="s">
        <v>5488</v>
      </c>
      <c r="R735" s="19"/>
      <c r="S735" s="19"/>
      <c r="U735" s="19"/>
      <c r="W735" s="19"/>
      <c r="X735" s="19" t="s">
        <v>122</v>
      </c>
      <c r="Y735" s="27" t="s">
        <v>54</v>
      </c>
      <c r="Z735" s="27" t="s">
        <v>414</v>
      </c>
      <c r="AA735" s="27" t="s">
        <v>3963</v>
      </c>
      <c r="AB735" s="27" t="s">
        <v>5489</v>
      </c>
      <c r="AC735" s="37" t="s">
        <v>5490</v>
      </c>
      <c r="AD735" s="38" t="s">
        <v>5491</v>
      </c>
      <c r="AE735" s="36">
        <v>45962</v>
      </c>
      <c r="AF735" s="19" t="s">
        <v>89</v>
      </c>
      <c r="AG735" s="19" t="s">
        <v>90</v>
      </c>
      <c r="AH735" s="19" t="s">
        <v>62</v>
      </c>
      <c r="AI735" s="19" t="s">
        <v>63</v>
      </c>
      <c r="AJ735" s="19" t="s">
        <v>5492</v>
      </c>
      <c r="AK735" s="19"/>
      <c r="AL735" s="19"/>
      <c r="AM735" s="19"/>
      <c r="AN735" s="19" t="s">
        <v>65</v>
      </c>
      <c r="AO735" s="23">
        <v>45974.611805555563</v>
      </c>
      <c r="AP735" s="26">
        <f t="shared" si="25"/>
        <v>89</v>
      </c>
    </row>
    <row r="736" spans="1:42" ht="25.5" hidden="1" customHeight="1">
      <c r="A736" s="19" t="s">
        <v>42</v>
      </c>
      <c r="B736" s="19" t="s">
        <v>3327</v>
      </c>
      <c r="C736" s="19" t="s">
        <v>868</v>
      </c>
      <c r="D736" s="19" t="s">
        <v>45</v>
      </c>
      <c r="E736" s="19" t="s">
        <v>46</v>
      </c>
      <c r="F736" s="19" t="s">
        <v>5493</v>
      </c>
      <c r="G736" s="19" t="s">
        <v>48</v>
      </c>
      <c r="H736" s="19" t="s">
        <v>49</v>
      </c>
      <c r="I736" s="20">
        <v>45975.615277777782</v>
      </c>
      <c r="K736" s="19"/>
      <c r="L736" s="20">
        <v>45975.647916666669</v>
      </c>
      <c r="M736" s="19"/>
      <c r="N736" s="22">
        <f t="shared" si="24"/>
        <v>3.2638888886140194E-2</v>
      </c>
      <c r="O736" s="19" t="s">
        <v>63</v>
      </c>
      <c r="P736" s="19" t="s">
        <v>5494</v>
      </c>
      <c r="Q736" s="19" t="s">
        <v>5495</v>
      </c>
      <c r="R736" s="19"/>
      <c r="S736" s="19"/>
      <c r="U736" s="19"/>
      <c r="W736" s="19"/>
      <c r="X736" s="19" t="s">
        <v>746</v>
      </c>
      <c r="Y736" s="27" t="s">
        <v>133</v>
      </c>
      <c r="Z736" s="27" t="s">
        <v>4105</v>
      </c>
      <c r="AA736" s="27" t="s">
        <v>5496</v>
      </c>
      <c r="AB736" s="27" t="s">
        <v>5497</v>
      </c>
      <c r="AC736" s="37" t="s">
        <v>5498</v>
      </c>
      <c r="AD736" s="38" t="s">
        <v>5499</v>
      </c>
      <c r="AE736" s="36">
        <v>45962</v>
      </c>
      <c r="AF736" s="19" t="s">
        <v>89</v>
      </c>
      <c r="AG736" s="19" t="s">
        <v>90</v>
      </c>
      <c r="AH736" s="19" t="s">
        <v>62</v>
      </c>
      <c r="AI736" s="19" t="s">
        <v>63</v>
      </c>
      <c r="AJ736" s="19" t="s">
        <v>5500</v>
      </c>
      <c r="AK736" s="19"/>
      <c r="AL736" s="19"/>
      <c r="AM736" s="19"/>
      <c r="AN736" s="19" t="s">
        <v>103</v>
      </c>
      <c r="AO736" s="23">
        <v>45975.615277777782</v>
      </c>
      <c r="AP736" s="26">
        <f t="shared" si="25"/>
        <v>47</v>
      </c>
    </row>
    <row r="737" spans="1:42" ht="25.5" hidden="1" customHeight="1">
      <c r="A737" s="19" t="s">
        <v>116</v>
      </c>
      <c r="B737" s="19" t="s">
        <v>4825</v>
      </c>
      <c r="C737" s="19" t="s">
        <v>3725</v>
      </c>
      <c r="D737" s="19" t="s">
        <v>45</v>
      </c>
      <c r="E737" s="19" t="s">
        <v>46</v>
      </c>
      <c r="F737" s="19" t="s">
        <v>5501</v>
      </c>
      <c r="G737" s="19" t="s">
        <v>48</v>
      </c>
      <c r="H737" s="19" t="s">
        <v>49</v>
      </c>
      <c r="I737" s="20">
        <v>45975.691666666673</v>
      </c>
      <c r="K737" s="19"/>
      <c r="L737" s="20">
        <v>45975.695833333331</v>
      </c>
      <c r="M737" s="19"/>
      <c r="N737" s="22">
        <f t="shared" si="24"/>
        <v>4.1666666584205814E-3</v>
      </c>
      <c r="O737" s="19" t="s">
        <v>50</v>
      </c>
      <c r="P737" s="19" t="s">
        <v>5502</v>
      </c>
      <c r="Q737" s="19" t="s">
        <v>5503</v>
      </c>
      <c r="R737" s="19"/>
      <c r="S737" s="19"/>
      <c r="U737" s="19"/>
      <c r="W737" s="19"/>
      <c r="X737" s="19" t="s">
        <v>109</v>
      </c>
      <c r="Y737" s="27" t="s">
        <v>133</v>
      </c>
      <c r="Z737" s="27" t="s">
        <v>5396</v>
      </c>
      <c r="AA737" s="27" t="s">
        <v>5504</v>
      </c>
      <c r="AB737" s="27" t="s">
        <v>5505</v>
      </c>
      <c r="AC737" s="37" t="s">
        <v>5506</v>
      </c>
      <c r="AD737" s="38" t="s">
        <v>5507</v>
      </c>
      <c r="AE737" s="36">
        <v>45962</v>
      </c>
      <c r="AF737" s="19" t="s">
        <v>89</v>
      </c>
      <c r="AG737" s="19" t="s">
        <v>90</v>
      </c>
      <c r="AH737" s="19" t="s">
        <v>62</v>
      </c>
      <c r="AI737" s="19" t="s">
        <v>63</v>
      </c>
      <c r="AJ737" s="19" t="s">
        <v>5508</v>
      </c>
      <c r="AK737" s="19"/>
      <c r="AL737" s="19"/>
      <c r="AM737" s="19"/>
      <c r="AN737" s="19" t="s">
        <v>103</v>
      </c>
      <c r="AO737" s="23">
        <v>45975.694444444453</v>
      </c>
      <c r="AP737" s="26">
        <f t="shared" si="25"/>
        <v>6</v>
      </c>
    </row>
    <row r="738" spans="1:42" ht="25.5" hidden="1" customHeight="1">
      <c r="A738" s="19" t="s">
        <v>116</v>
      </c>
      <c r="B738" s="19" t="s">
        <v>5509</v>
      </c>
      <c r="C738" s="19" t="s">
        <v>5510</v>
      </c>
      <c r="D738" s="19" t="s">
        <v>45</v>
      </c>
      <c r="E738" s="19" t="s">
        <v>46</v>
      </c>
      <c r="F738" s="19" t="s">
        <v>5501</v>
      </c>
      <c r="G738" s="19" t="s">
        <v>226</v>
      </c>
      <c r="H738" s="19" t="s">
        <v>49</v>
      </c>
      <c r="I738" s="20">
        <v>45975.723611111112</v>
      </c>
      <c r="K738" s="19"/>
      <c r="L738" s="20">
        <v>45975.737500000003</v>
      </c>
      <c r="M738" s="19"/>
      <c r="N738" s="22">
        <f t="shared" si="24"/>
        <v>1.3888888890505768E-2</v>
      </c>
      <c r="O738" s="19" t="s">
        <v>50</v>
      </c>
      <c r="P738" s="19" t="s">
        <v>5511</v>
      </c>
      <c r="Q738" s="19" t="s">
        <v>5512</v>
      </c>
      <c r="R738" s="19"/>
      <c r="S738" s="19"/>
      <c r="U738" s="19"/>
      <c r="W738" s="19"/>
      <c r="X738" s="19" t="s">
        <v>5513</v>
      </c>
      <c r="Y738" s="27" t="s">
        <v>133</v>
      </c>
      <c r="Z738" s="27" t="s">
        <v>5514</v>
      </c>
      <c r="AA738" s="27" t="s">
        <v>5515</v>
      </c>
      <c r="AB738" s="27" t="s">
        <v>5516</v>
      </c>
      <c r="AC738" s="37" t="s">
        <v>5517</v>
      </c>
      <c r="AD738" s="38" t="s">
        <v>5518</v>
      </c>
      <c r="AE738" s="36">
        <v>45962</v>
      </c>
      <c r="AF738" s="19" t="s">
        <v>89</v>
      </c>
      <c r="AG738" s="19" t="s">
        <v>90</v>
      </c>
      <c r="AH738" s="19" t="s">
        <v>62</v>
      </c>
      <c r="AI738" s="19" t="s">
        <v>50</v>
      </c>
      <c r="AJ738" s="19" t="s">
        <v>5519</v>
      </c>
      <c r="AK738" s="19"/>
      <c r="AL738" s="19"/>
      <c r="AM738" s="19"/>
      <c r="AN738" s="19" t="s">
        <v>103</v>
      </c>
      <c r="AO738" s="23">
        <v>45975.727777777778</v>
      </c>
      <c r="AP738" s="26">
        <f t="shared" si="25"/>
        <v>20</v>
      </c>
    </row>
    <row r="739" spans="1:42" ht="25.5" hidden="1" customHeight="1">
      <c r="A739" s="19" t="s">
        <v>42</v>
      </c>
      <c r="C739" s="19" t="s">
        <v>5520</v>
      </c>
      <c r="D739" s="19" t="s">
        <v>45</v>
      </c>
      <c r="E739" s="19" t="s">
        <v>356</v>
      </c>
      <c r="F739" s="19" t="s">
        <v>5521</v>
      </c>
      <c r="G739" s="19" t="s">
        <v>48</v>
      </c>
      <c r="H739" s="19" t="s">
        <v>49</v>
      </c>
      <c r="I739" s="20">
        <v>45976.025694444441</v>
      </c>
      <c r="K739" s="19"/>
      <c r="L739" s="20">
        <v>45976.061111111107</v>
      </c>
      <c r="M739" s="19"/>
      <c r="N739" s="22">
        <f t="shared" si="24"/>
        <v>3.5416666665696539E-2</v>
      </c>
      <c r="O739" s="19" t="s">
        <v>63</v>
      </c>
      <c r="P739" s="19" t="s">
        <v>5522</v>
      </c>
      <c r="Q739" s="19" t="s">
        <v>5523</v>
      </c>
      <c r="R739" s="19"/>
      <c r="S739" s="19"/>
      <c r="U739" s="19"/>
      <c r="W739" s="19"/>
      <c r="X739" s="19" t="s">
        <v>1589</v>
      </c>
      <c r="Y739" s="27" t="s">
        <v>147</v>
      </c>
      <c r="Z739" s="27" t="s">
        <v>78</v>
      </c>
      <c r="AA739" s="27" t="s">
        <v>78</v>
      </c>
      <c r="AB739" s="27" t="s">
        <v>78</v>
      </c>
      <c r="AC739" s="37" t="s">
        <v>78</v>
      </c>
      <c r="AD739" s="38" t="s">
        <v>78</v>
      </c>
      <c r="AE739" s="36">
        <v>45962</v>
      </c>
      <c r="AF739" s="19" t="s">
        <v>89</v>
      </c>
      <c r="AG739" s="19" t="s">
        <v>90</v>
      </c>
      <c r="AH739" s="19" t="s">
        <v>62</v>
      </c>
      <c r="AI739" s="19" t="s">
        <v>63</v>
      </c>
      <c r="AJ739" s="19" t="s">
        <v>5524</v>
      </c>
      <c r="AK739" s="19" t="s">
        <v>5525</v>
      </c>
      <c r="AL739" s="19"/>
      <c r="AM739" s="19"/>
      <c r="AN739" s="19" t="s">
        <v>65</v>
      </c>
      <c r="AO739" s="23">
        <v>45976.025694444441</v>
      </c>
      <c r="AP739" s="26">
        <f t="shared" si="25"/>
        <v>51</v>
      </c>
    </row>
    <row r="740" spans="1:42" ht="25.5" customHeight="1">
      <c r="A740" s="19" t="s">
        <v>42</v>
      </c>
      <c r="C740" s="19" t="s">
        <v>5526</v>
      </c>
      <c r="D740" s="19" t="s">
        <v>45</v>
      </c>
      <c r="E740" s="19" t="s">
        <v>46</v>
      </c>
      <c r="F740" s="19" t="s">
        <v>5527</v>
      </c>
      <c r="G740" s="19" t="s">
        <v>48</v>
      </c>
      <c r="H740" s="19" t="s">
        <v>144</v>
      </c>
      <c r="I740" s="20">
        <v>45977.25</v>
      </c>
      <c r="K740" s="19">
        <v>45977.375</v>
      </c>
      <c r="L740" s="20">
        <v>45977.46875</v>
      </c>
      <c r="M740" s="19"/>
      <c r="N740" s="22">
        <f t="shared" si="24"/>
        <v>0.21875</v>
      </c>
      <c r="O740" s="19" t="s">
        <v>50</v>
      </c>
      <c r="P740" s="19" t="s">
        <v>5528</v>
      </c>
      <c r="Q740" s="19" t="s">
        <v>5529</v>
      </c>
      <c r="R740" s="19"/>
      <c r="S740" s="19"/>
      <c r="U740" s="19"/>
      <c r="W740" s="19"/>
      <c r="X740" s="19" t="s">
        <v>72</v>
      </c>
      <c r="Y740" s="27" t="s">
        <v>147</v>
      </c>
      <c r="Z740" s="27" t="s">
        <v>78</v>
      </c>
      <c r="AA740" s="27" t="s">
        <v>78</v>
      </c>
      <c r="AB740" s="27" t="s">
        <v>78</v>
      </c>
      <c r="AC740" s="37" t="s">
        <v>78</v>
      </c>
      <c r="AD740" s="38" t="s">
        <v>78</v>
      </c>
      <c r="AE740" s="36">
        <v>45962</v>
      </c>
      <c r="AF740" s="19" t="s">
        <v>89</v>
      </c>
      <c r="AG740" s="19" t="s">
        <v>90</v>
      </c>
      <c r="AH740" s="19" t="s">
        <v>62</v>
      </c>
      <c r="AI740" s="19" t="s">
        <v>63</v>
      </c>
      <c r="AJ740" s="19" t="s">
        <v>5530</v>
      </c>
      <c r="AK740" s="19"/>
      <c r="AL740" s="19"/>
      <c r="AM740" s="19"/>
      <c r="AN740" s="19" t="s">
        <v>65</v>
      </c>
      <c r="AO740" s="23">
        <v>45977.540277777778</v>
      </c>
      <c r="AP740" s="26">
        <f t="shared" si="25"/>
        <v>315</v>
      </c>
    </row>
    <row r="741" spans="1:42" ht="25.5" hidden="1" customHeight="1">
      <c r="A741" s="19" t="s">
        <v>285</v>
      </c>
      <c r="B741" s="19" t="s">
        <v>186</v>
      </c>
      <c r="C741" s="19" t="s">
        <v>577</v>
      </c>
      <c r="D741" s="19" t="s">
        <v>45</v>
      </c>
      <c r="E741" s="19" t="s">
        <v>967</v>
      </c>
      <c r="F741" s="19" t="s">
        <v>5531</v>
      </c>
      <c r="G741" s="19" t="s">
        <v>48</v>
      </c>
      <c r="H741" s="19" t="s">
        <v>49</v>
      </c>
      <c r="I741" s="20">
        <v>45978.054861111108</v>
      </c>
      <c r="K741" s="19"/>
      <c r="L741" s="20">
        <v>45978.125</v>
      </c>
      <c r="M741" s="19"/>
      <c r="N741" s="22">
        <f t="shared" si="24"/>
        <v>7.013888889196096E-2</v>
      </c>
      <c r="O741" s="19" t="s">
        <v>63</v>
      </c>
      <c r="P741" s="19" t="s">
        <v>5532</v>
      </c>
      <c r="Q741" s="19" t="s">
        <v>5533</v>
      </c>
      <c r="R741" s="19"/>
      <c r="S741" s="19"/>
      <c r="U741" s="19"/>
      <c r="W741" s="19"/>
      <c r="X741" s="19" t="s">
        <v>191</v>
      </c>
      <c r="Y741" s="27" t="s">
        <v>133</v>
      </c>
      <c r="Z741" s="27" t="s">
        <v>123</v>
      </c>
      <c r="AA741" s="27" t="s">
        <v>5534</v>
      </c>
      <c r="AB741" s="27" t="s">
        <v>5535</v>
      </c>
      <c r="AC741" s="37">
        <v>45978.042361111111</v>
      </c>
      <c r="AD741" s="38">
        <v>45978.047222222223</v>
      </c>
      <c r="AE741" s="36">
        <v>45962</v>
      </c>
      <c r="AF741" s="19" t="s">
        <v>89</v>
      </c>
      <c r="AG741" s="19" t="s">
        <v>90</v>
      </c>
      <c r="AH741" s="19" t="s">
        <v>62</v>
      </c>
      <c r="AI741" s="19" t="s">
        <v>63</v>
      </c>
      <c r="AJ741" s="19" t="s">
        <v>5536</v>
      </c>
      <c r="AK741" s="19"/>
      <c r="AL741" s="19"/>
      <c r="AM741" s="19"/>
      <c r="AN741" s="19" t="s">
        <v>128</v>
      </c>
      <c r="AO741" s="23">
        <v>45978.054861111108</v>
      </c>
      <c r="AP741" s="26">
        <f t="shared" si="25"/>
        <v>101</v>
      </c>
    </row>
    <row r="742" spans="1:42" ht="25.5" hidden="1" customHeight="1">
      <c r="A742" s="19" t="s">
        <v>42</v>
      </c>
      <c r="B742" s="19" t="s">
        <v>2048</v>
      </c>
      <c r="C742" s="19" t="s">
        <v>2049</v>
      </c>
      <c r="D742" s="19" t="s">
        <v>45</v>
      </c>
      <c r="E742" s="19" t="s">
        <v>46</v>
      </c>
      <c r="F742" s="19" t="s">
        <v>5537</v>
      </c>
      <c r="G742" s="19" t="s">
        <v>48</v>
      </c>
      <c r="H742" s="19" t="s">
        <v>49</v>
      </c>
      <c r="I742" s="20">
        <v>45978.468055555553</v>
      </c>
      <c r="K742" s="19"/>
      <c r="L742" s="20">
        <v>45978.496527777781</v>
      </c>
      <c r="M742" s="19"/>
      <c r="N742" s="22">
        <f t="shared" si="24"/>
        <v>2.8472222227719612E-2</v>
      </c>
      <c r="O742" s="19" t="s">
        <v>63</v>
      </c>
      <c r="P742" s="19" t="s">
        <v>5538</v>
      </c>
      <c r="Q742" s="19" t="s">
        <v>5539</v>
      </c>
      <c r="R742" s="19"/>
      <c r="S742" s="19"/>
      <c r="U742" s="19"/>
      <c r="W742" s="19"/>
      <c r="X742" s="19" t="s">
        <v>2053</v>
      </c>
      <c r="Y742" s="27" t="s">
        <v>54</v>
      </c>
      <c r="Z742" s="27" t="s">
        <v>123</v>
      </c>
      <c r="AA742" s="27" t="s">
        <v>5540</v>
      </c>
      <c r="AB742" s="27" t="s">
        <v>5541</v>
      </c>
      <c r="AC742" s="37">
        <v>45978.395833333343</v>
      </c>
      <c r="AD742" s="38">
        <v>45978.395833333343</v>
      </c>
      <c r="AE742" s="36">
        <v>45962</v>
      </c>
      <c r="AF742" s="19" t="s">
        <v>89</v>
      </c>
      <c r="AG742" s="19" t="s">
        <v>90</v>
      </c>
      <c r="AH742" s="19" t="s">
        <v>62</v>
      </c>
      <c r="AI742" s="19" t="s">
        <v>63</v>
      </c>
      <c r="AJ742" s="19" t="s">
        <v>5542</v>
      </c>
      <c r="AK742" s="19"/>
      <c r="AL742" s="19"/>
      <c r="AM742" s="19"/>
      <c r="AN742" s="19" t="s">
        <v>65</v>
      </c>
      <c r="AO742" s="23">
        <v>45978.496527777781</v>
      </c>
      <c r="AP742" s="26">
        <f t="shared" si="25"/>
        <v>41</v>
      </c>
    </row>
    <row r="743" spans="1:42" ht="25.5" hidden="1" customHeight="1">
      <c r="A743" s="19" t="s">
        <v>42</v>
      </c>
      <c r="B743" s="19" t="s">
        <v>5349</v>
      </c>
      <c r="C743" s="19" t="s">
        <v>1767</v>
      </c>
      <c r="D743" s="19" t="s">
        <v>45</v>
      </c>
      <c r="E743" s="19" t="s">
        <v>46</v>
      </c>
      <c r="F743" s="19" t="s">
        <v>5543</v>
      </c>
      <c r="G743" s="19" t="s">
        <v>48</v>
      </c>
      <c r="H743" s="19" t="s">
        <v>49</v>
      </c>
      <c r="I743" s="20">
        <v>45978.65902777778</v>
      </c>
      <c r="K743" s="19"/>
      <c r="L743" s="20">
        <v>45978.663194444453</v>
      </c>
      <c r="M743" s="19"/>
      <c r="N743" s="22">
        <f t="shared" si="24"/>
        <v>4.1666666729724966E-3</v>
      </c>
      <c r="O743" s="19" t="s">
        <v>50</v>
      </c>
      <c r="P743" s="19" t="s">
        <v>4765</v>
      </c>
      <c r="Q743" s="19" t="s">
        <v>5544</v>
      </c>
      <c r="R743" s="19"/>
      <c r="S743" s="19"/>
      <c r="U743" s="19"/>
      <c r="W743" s="19"/>
      <c r="X743" s="19" t="s">
        <v>53</v>
      </c>
      <c r="Y743" s="27" t="s">
        <v>54</v>
      </c>
      <c r="Z743" s="27" t="s">
        <v>110</v>
      </c>
      <c r="AA743" s="27" t="s">
        <v>5545</v>
      </c>
      <c r="AB743" s="27" t="s">
        <v>5546</v>
      </c>
      <c r="AC743" s="37" t="s">
        <v>5547</v>
      </c>
      <c r="AD743" s="38" t="s">
        <v>5548</v>
      </c>
      <c r="AE743" s="36">
        <v>45962</v>
      </c>
      <c r="AF743" s="19" t="s">
        <v>89</v>
      </c>
      <c r="AG743" s="19" t="s">
        <v>90</v>
      </c>
      <c r="AH743" s="19" t="s">
        <v>62</v>
      </c>
      <c r="AI743" s="19" t="s">
        <v>63</v>
      </c>
      <c r="AJ743" s="19" t="s">
        <v>5549</v>
      </c>
      <c r="AK743" s="19"/>
      <c r="AL743" s="19"/>
      <c r="AM743" s="19"/>
      <c r="AN743" s="19" t="s">
        <v>65</v>
      </c>
      <c r="AO743" s="23">
        <v>45978.65902777778</v>
      </c>
      <c r="AP743" s="26">
        <f t="shared" si="25"/>
        <v>6</v>
      </c>
    </row>
    <row r="744" spans="1:42" ht="25.5" hidden="1" customHeight="1">
      <c r="A744" s="19" t="s">
        <v>42</v>
      </c>
      <c r="B744" s="19" t="s">
        <v>3327</v>
      </c>
      <c r="C744" s="19" t="s">
        <v>868</v>
      </c>
      <c r="D744" s="19" t="s">
        <v>45</v>
      </c>
      <c r="E744" s="19" t="s">
        <v>46</v>
      </c>
      <c r="F744" s="19" t="s">
        <v>5550</v>
      </c>
      <c r="G744" s="19" t="s">
        <v>48</v>
      </c>
      <c r="H744" s="19" t="s">
        <v>49</v>
      </c>
      <c r="I744" s="20">
        <v>45978.694444444453</v>
      </c>
      <c r="K744" s="19"/>
      <c r="L744" s="20">
        <v>45978.711805555547</v>
      </c>
      <c r="M744" s="19"/>
      <c r="N744" s="22">
        <f t="shared" si="24"/>
        <v>1.7361111094942316E-2</v>
      </c>
      <c r="O744" s="19" t="s">
        <v>63</v>
      </c>
      <c r="P744" s="19" t="s">
        <v>5551</v>
      </c>
      <c r="Q744" s="19" t="s">
        <v>5552</v>
      </c>
      <c r="R744" s="19"/>
      <c r="S744" s="19"/>
      <c r="U744" s="19"/>
      <c r="W744" s="19"/>
      <c r="X744" s="19" t="s">
        <v>746</v>
      </c>
      <c r="Y744" s="27" t="s">
        <v>133</v>
      </c>
      <c r="Z744" s="27" t="s">
        <v>5553</v>
      </c>
      <c r="AA744" s="27" t="s">
        <v>5554</v>
      </c>
      <c r="AB744" s="27" t="s">
        <v>5555</v>
      </c>
      <c r="AC744" s="37" t="s">
        <v>5556</v>
      </c>
      <c r="AD744" s="38" t="s">
        <v>5557</v>
      </c>
      <c r="AE744" s="36">
        <v>45962</v>
      </c>
      <c r="AF744" s="19" t="s">
        <v>89</v>
      </c>
      <c r="AG744" s="19" t="s">
        <v>90</v>
      </c>
      <c r="AH744" s="19" t="s">
        <v>62</v>
      </c>
      <c r="AI744" s="19" t="s">
        <v>63</v>
      </c>
      <c r="AJ744" s="19" t="s">
        <v>5558</v>
      </c>
      <c r="AK744" s="19"/>
      <c r="AL744" s="19"/>
      <c r="AM744" s="19"/>
      <c r="AN744" s="19" t="s">
        <v>103</v>
      </c>
      <c r="AO744" s="23">
        <v>45978.694444444453</v>
      </c>
      <c r="AP744" s="26">
        <f t="shared" si="25"/>
        <v>25</v>
      </c>
    </row>
    <row r="745" spans="1:42" ht="25.5" hidden="1" customHeight="1">
      <c r="A745" s="19" t="s">
        <v>42</v>
      </c>
      <c r="B745" s="19" t="s">
        <v>4163</v>
      </c>
      <c r="C745" s="19" t="s">
        <v>4487</v>
      </c>
      <c r="D745" s="19" t="s">
        <v>45</v>
      </c>
      <c r="E745" s="19" t="s">
        <v>46</v>
      </c>
      <c r="F745" s="19" t="s">
        <v>5559</v>
      </c>
      <c r="G745" s="19" t="s">
        <v>48</v>
      </c>
      <c r="H745" s="19" t="s">
        <v>49</v>
      </c>
      <c r="I745" s="20">
        <v>45978.781944444447</v>
      </c>
      <c r="K745" s="19"/>
      <c r="L745" s="20">
        <v>45978.813888888893</v>
      </c>
      <c r="M745" s="19"/>
      <c r="N745" s="22">
        <f t="shared" si="24"/>
        <v>3.1944444446708076E-2</v>
      </c>
      <c r="O745" s="19" t="s">
        <v>63</v>
      </c>
      <c r="P745" s="19" t="s">
        <v>5560</v>
      </c>
      <c r="Q745" s="19" t="s">
        <v>5561</v>
      </c>
      <c r="R745" s="19"/>
      <c r="S745" s="19"/>
      <c r="U745" s="19"/>
      <c r="W745" s="19"/>
      <c r="X745" s="19" t="s">
        <v>98</v>
      </c>
      <c r="Y745" s="27" t="s">
        <v>147</v>
      </c>
      <c r="Z745" s="27" t="s">
        <v>78</v>
      </c>
      <c r="AA745" s="27" t="s">
        <v>78</v>
      </c>
      <c r="AB745" s="27" t="s">
        <v>78</v>
      </c>
      <c r="AC745" s="37" t="s">
        <v>78</v>
      </c>
      <c r="AD745" s="38" t="s">
        <v>78</v>
      </c>
      <c r="AE745" s="36">
        <v>45962</v>
      </c>
      <c r="AF745" s="19" t="s">
        <v>60</v>
      </c>
      <c r="AG745" s="19" t="s">
        <v>78</v>
      </c>
      <c r="AH745" s="19" t="s">
        <v>62</v>
      </c>
      <c r="AI745" s="19" t="s">
        <v>63</v>
      </c>
      <c r="AJ745" s="19" t="s">
        <v>5562</v>
      </c>
      <c r="AK745" s="19"/>
      <c r="AL745" s="19"/>
      <c r="AM745" s="19"/>
      <c r="AN745" s="19" t="s">
        <v>65</v>
      </c>
      <c r="AO745" s="23">
        <v>45978.781944444447</v>
      </c>
      <c r="AP745" s="26">
        <f t="shared" si="25"/>
        <v>46</v>
      </c>
    </row>
    <row r="746" spans="1:42" ht="32.25" hidden="1" customHeight="1">
      <c r="A746" s="19" t="s">
        <v>42</v>
      </c>
      <c r="B746" s="19" t="s">
        <v>309</v>
      </c>
      <c r="C746" s="19" t="s">
        <v>1637</v>
      </c>
      <c r="D746" s="19" t="s">
        <v>45</v>
      </c>
      <c r="E746" s="19" t="s">
        <v>46</v>
      </c>
      <c r="F746" s="19" t="s">
        <v>5563</v>
      </c>
      <c r="G746" s="19" t="s">
        <v>48</v>
      </c>
      <c r="H746" s="19" t="s">
        <v>49</v>
      </c>
      <c r="I746" s="20">
        <v>45979.898611111108</v>
      </c>
      <c r="K746" s="19"/>
      <c r="L746" s="20">
        <v>45979.934027777781</v>
      </c>
      <c r="M746" s="19"/>
      <c r="N746" s="22">
        <f t="shared" si="24"/>
        <v>3.5416666672972497E-2</v>
      </c>
      <c r="O746" s="19" t="s">
        <v>63</v>
      </c>
      <c r="P746" s="19" t="s">
        <v>5564</v>
      </c>
      <c r="Q746" s="19" t="s">
        <v>5565</v>
      </c>
      <c r="R746" s="19"/>
      <c r="S746" s="19"/>
      <c r="U746" s="19"/>
      <c r="W746" s="19"/>
      <c r="X746" s="19" t="s">
        <v>314</v>
      </c>
      <c r="Y746" s="27" t="s">
        <v>147</v>
      </c>
      <c r="Z746" s="27" t="s">
        <v>78</v>
      </c>
      <c r="AA746" s="27" t="s">
        <v>78</v>
      </c>
      <c r="AB746" s="27" t="s">
        <v>78</v>
      </c>
      <c r="AC746" s="37" t="s">
        <v>78</v>
      </c>
      <c r="AD746" s="38" t="s">
        <v>78</v>
      </c>
      <c r="AE746" s="36">
        <v>45962</v>
      </c>
      <c r="AF746" s="19" t="s">
        <v>99</v>
      </c>
      <c r="AG746" s="19" t="s">
        <v>78</v>
      </c>
      <c r="AH746" s="19" t="s">
        <v>62</v>
      </c>
      <c r="AI746" s="19" t="s">
        <v>63</v>
      </c>
      <c r="AJ746" s="19" t="s">
        <v>5566</v>
      </c>
      <c r="AK746" s="19" t="s">
        <v>5567</v>
      </c>
      <c r="AL746" s="19"/>
      <c r="AM746" s="19"/>
      <c r="AN746" s="19" t="s">
        <v>103</v>
      </c>
      <c r="AO746" s="23">
        <v>45979.898611111108</v>
      </c>
      <c r="AP746" s="26">
        <f t="shared" si="25"/>
        <v>51</v>
      </c>
    </row>
    <row r="747" spans="1:42" ht="25.5" hidden="1" customHeight="1">
      <c r="A747" s="19" t="s">
        <v>42</v>
      </c>
      <c r="B747" s="19" t="s">
        <v>5568</v>
      </c>
      <c r="C747" s="19" t="s">
        <v>5029</v>
      </c>
      <c r="D747" s="19" t="s">
        <v>45</v>
      </c>
      <c r="E747" s="19" t="s">
        <v>46</v>
      </c>
      <c r="F747" s="19" t="s">
        <v>5569</v>
      </c>
      <c r="G747" s="19" t="s">
        <v>48</v>
      </c>
      <c r="H747" s="19" t="s">
        <v>49</v>
      </c>
      <c r="I747" s="20">
        <v>45979.905555555553</v>
      </c>
      <c r="K747" s="19"/>
      <c r="L747" s="20">
        <v>45979.934027777781</v>
      </c>
      <c r="M747" s="19"/>
      <c r="N747" s="22">
        <f t="shared" si="24"/>
        <v>2.8472222227719612E-2</v>
      </c>
      <c r="O747" s="19" t="s">
        <v>63</v>
      </c>
      <c r="P747" s="19" t="s">
        <v>5570</v>
      </c>
      <c r="Q747" s="19" t="s">
        <v>5571</v>
      </c>
      <c r="R747" s="19"/>
      <c r="S747" s="19"/>
      <c r="U747" s="19"/>
      <c r="W747" s="19"/>
      <c r="X747" s="19" t="s">
        <v>109</v>
      </c>
      <c r="Y747" s="27" t="s">
        <v>133</v>
      </c>
      <c r="Z747" s="27" t="s">
        <v>5572</v>
      </c>
      <c r="AA747" s="27" t="s">
        <v>5573</v>
      </c>
      <c r="AB747" s="27" t="s">
        <v>5574</v>
      </c>
      <c r="AC747" s="37" t="s">
        <v>5575</v>
      </c>
      <c r="AD747" s="38" t="s">
        <v>5576</v>
      </c>
      <c r="AE747" s="36">
        <v>45962</v>
      </c>
      <c r="AF747" s="19" t="s">
        <v>89</v>
      </c>
      <c r="AG747" s="19" t="s">
        <v>90</v>
      </c>
      <c r="AH747" s="19" t="s">
        <v>62</v>
      </c>
      <c r="AI747" s="19" t="s">
        <v>63</v>
      </c>
      <c r="AJ747" s="19" t="s">
        <v>5577</v>
      </c>
      <c r="AK747" s="19"/>
      <c r="AL747" s="19"/>
      <c r="AM747" s="19"/>
      <c r="AN747" s="19" t="s">
        <v>65</v>
      </c>
      <c r="AO747" s="23">
        <v>45979.905555555553</v>
      </c>
      <c r="AP747" s="26">
        <f t="shared" si="25"/>
        <v>41</v>
      </c>
    </row>
    <row r="748" spans="1:42" ht="25.5" hidden="1" customHeight="1">
      <c r="A748" s="19" t="s">
        <v>285</v>
      </c>
      <c r="B748" s="19" t="s">
        <v>186</v>
      </c>
      <c r="C748" s="19" t="s">
        <v>577</v>
      </c>
      <c r="D748" s="19" t="s">
        <v>45</v>
      </c>
      <c r="E748" s="19" t="s">
        <v>46</v>
      </c>
      <c r="F748" s="19" t="s">
        <v>5578</v>
      </c>
      <c r="G748" s="19" t="s">
        <v>48</v>
      </c>
      <c r="H748" s="19" t="s">
        <v>49</v>
      </c>
      <c r="I748" s="20">
        <v>45980.78125</v>
      </c>
      <c r="K748" s="19"/>
      <c r="L748" s="20">
        <v>45980.939583333333</v>
      </c>
      <c r="M748" s="19"/>
      <c r="N748" s="22">
        <f t="shared" si="24"/>
        <v>0.15833333333284827</v>
      </c>
      <c r="O748" s="19" t="s">
        <v>50</v>
      </c>
      <c r="P748" s="19" t="s">
        <v>5579</v>
      </c>
      <c r="Q748" s="19" t="s">
        <v>5580</v>
      </c>
      <c r="R748" s="19"/>
      <c r="S748" s="19"/>
      <c r="U748" s="19"/>
      <c r="W748" s="19"/>
      <c r="X748" s="19" t="s">
        <v>191</v>
      </c>
      <c r="Y748" s="27" t="s">
        <v>133</v>
      </c>
      <c r="Z748" s="27" t="s">
        <v>123</v>
      </c>
      <c r="AA748" s="27" t="s">
        <v>5581</v>
      </c>
      <c r="AB748" s="27" t="s">
        <v>5582</v>
      </c>
      <c r="AC748" s="37" t="s">
        <v>5583</v>
      </c>
      <c r="AD748" s="38" t="s">
        <v>513</v>
      </c>
      <c r="AE748" s="36">
        <v>45962</v>
      </c>
      <c r="AF748" s="19" t="s">
        <v>293</v>
      </c>
      <c r="AG748" s="19" t="s">
        <v>307</v>
      </c>
      <c r="AH748" s="19" t="s">
        <v>164</v>
      </c>
      <c r="AI748" s="19" t="s">
        <v>63</v>
      </c>
      <c r="AJ748" s="19" t="s">
        <v>5584</v>
      </c>
      <c r="AK748" s="19"/>
      <c r="AL748" s="19"/>
      <c r="AM748" s="19"/>
      <c r="AN748" s="19" t="s">
        <v>65</v>
      </c>
      <c r="AO748" s="23">
        <v>45980.78125</v>
      </c>
      <c r="AP748" s="26">
        <f t="shared" si="25"/>
        <v>228</v>
      </c>
    </row>
    <row r="749" spans="1:42" ht="25.5" hidden="1" customHeight="1">
      <c r="A749" s="19" t="s">
        <v>42</v>
      </c>
      <c r="B749" s="19" t="s">
        <v>3038</v>
      </c>
      <c r="C749" s="19" t="s">
        <v>452</v>
      </c>
      <c r="D749" s="19" t="s">
        <v>45</v>
      </c>
      <c r="E749" s="19" t="s">
        <v>46</v>
      </c>
      <c r="F749" s="19" t="s">
        <v>5585</v>
      </c>
      <c r="G749" s="19" t="s">
        <v>48</v>
      </c>
      <c r="H749" s="19" t="s">
        <v>49</v>
      </c>
      <c r="I749" s="20">
        <v>45980.818055555559</v>
      </c>
      <c r="K749" s="19"/>
      <c r="L749" s="20">
        <v>45980.953472222223</v>
      </c>
      <c r="M749" s="19"/>
      <c r="N749" s="22">
        <f t="shared" si="24"/>
        <v>0.13541666666424135</v>
      </c>
      <c r="O749" s="19" t="s">
        <v>50</v>
      </c>
      <c r="P749" s="19" t="s">
        <v>5586</v>
      </c>
      <c r="Q749" s="19" t="s">
        <v>5587</v>
      </c>
      <c r="R749" s="19"/>
      <c r="S749" s="19"/>
      <c r="U749" s="19"/>
      <c r="W749" s="19"/>
      <c r="X749" s="19" t="s">
        <v>5588</v>
      </c>
      <c r="Y749" s="27" t="s">
        <v>147</v>
      </c>
      <c r="Z749" s="27" t="s">
        <v>78</v>
      </c>
      <c r="AA749" s="27" t="s">
        <v>78</v>
      </c>
      <c r="AB749" s="27" t="s">
        <v>78</v>
      </c>
      <c r="AC749" s="37" t="s">
        <v>78</v>
      </c>
      <c r="AD749" s="38" t="s">
        <v>78</v>
      </c>
      <c r="AE749" s="36">
        <v>45962</v>
      </c>
      <c r="AF749" s="19" t="s">
        <v>89</v>
      </c>
      <c r="AG749" s="19" t="s">
        <v>90</v>
      </c>
      <c r="AH749" s="19" t="s">
        <v>62</v>
      </c>
      <c r="AI749" s="19" t="s">
        <v>63</v>
      </c>
      <c r="AJ749" s="19" t="s">
        <v>5589</v>
      </c>
      <c r="AK749" s="19"/>
      <c r="AL749" s="19"/>
      <c r="AM749" s="19"/>
      <c r="AN749" s="19" t="s">
        <v>65</v>
      </c>
      <c r="AO749" s="23">
        <v>45980.818055555559</v>
      </c>
      <c r="AP749" s="26">
        <f t="shared" si="25"/>
        <v>195</v>
      </c>
    </row>
    <row r="750" spans="1:42" ht="32.25" hidden="1" customHeight="1">
      <c r="A750" s="19" t="s">
        <v>42</v>
      </c>
      <c r="B750" s="19" t="s">
        <v>1584</v>
      </c>
      <c r="C750" s="19" t="s">
        <v>2470</v>
      </c>
      <c r="D750" s="19" t="s">
        <v>45</v>
      </c>
      <c r="E750" s="19" t="s">
        <v>967</v>
      </c>
      <c r="F750" s="19" t="s">
        <v>5590</v>
      </c>
      <c r="G750" s="19" t="s">
        <v>48</v>
      </c>
      <c r="H750" s="19" t="s">
        <v>49</v>
      </c>
      <c r="I750" s="20">
        <v>45980.961805555547</v>
      </c>
      <c r="K750" s="19"/>
      <c r="L750" s="20">
        <v>45981.010416666657</v>
      </c>
      <c r="M750" s="19"/>
      <c r="N750" s="22">
        <f t="shared" si="24"/>
        <v>4.8611111109494232E-2</v>
      </c>
      <c r="O750" s="19" t="s">
        <v>50</v>
      </c>
      <c r="P750" s="19" t="s">
        <v>5591</v>
      </c>
      <c r="Q750" s="19" t="s">
        <v>5592</v>
      </c>
      <c r="R750" s="19"/>
      <c r="S750" s="19"/>
      <c r="U750" s="19"/>
      <c r="W750" s="19"/>
      <c r="X750" s="19" t="s">
        <v>1589</v>
      </c>
      <c r="Y750" s="27" t="s">
        <v>133</v>
      </c>
      <c r="Z750" s="27" t="s">
        <v>1852</v>
      </c>
      <c r="AA750" s="27" t="s">
        <v>5593</v>
      </c>
      <c r="AB750" s="27" t="s">
        <v>5594</v>
      </c>
      <c r="AC750" s="37" t="s">
        <v>5595</v>
      </c>
      <c r="AD750" s="38" t="s">
        <v>5596</v>
      </c>
      <c r="AE750" s="36">
        <v>45962</v>
      </c>
      <c r="AF750" s="19" t="s">
        <v>89</v>
      </c>
      <c r="AG750" s="19" t="s">
        <v>90</v>
      </c>
      <c r="AH750" s="19" t="s">
        <v>62</v>
      </c>
      <c r="AI750" s="19" t="s">
        <v>63</v>
      </c>
      <c r="AJ750" s="19" t="s">
        <v>5597</v>
      </c>
      <c r="AK750" s="19"/>
      <c r="AL750" s="19"/>
      <c r="AM750" s="19"/>
      <c r="AN750" s="19" t="s">
        <v>128</v>
      </c>
      <c r="AO750" s="23">
        <v>45980.961805555547</v>
      </c>
      <c r="AP750" s="26">
        <f t="shared" si="25"/>
        <v>70</v>
      </c>
    </row>
    <row r="751" spans="1:42" ht="25.5" hidden="1" customHeight="1">
      <c r="A751" s="19" t="s">
        <v>92</v>
      </c>
      <c r="B751" s="19" t="s">
        <v>1574</v>
      </c>
      <c r="C751" s="19" t="s">
        <v>5598</v>
      </c>
      <c r="D751" s="19" t="s">
        <v>45</v>
      </c>
      <c r="E751" s="19" t="s">
        <v>46</v>
      </c>
      <c r="F751" s="19" t="s">
        <v>5599</v>
      </c>
      <c r="G751" s="19" t="s">
        <v>48</v>
      </c>
      <c r="H751" s="19" t="s">
        <v>49</v>
      </c>
      <c r="I751" s="20">
        <v>45981.128472222219</v>
      </c>
      <c r="K751" s="19"/>
      <c r="L751" s="20">
        <v>45981.34375</v>
      </c>
      <c r="M751" s="19"/>
      <c r="N751" s="22">
        <f t="shared" si="24"/>
        <v>0.21527777778101154</v>
      </c>
      <c r="O751" s="19" t="s">
        <v>50</v>
      </c>
      <c r="P751" s="19" t="s">
        <v>5600</v>
      </c>
      <c r="Q751" s="19" t="s">
        <v>5601</v>
      </c>
      <c r="R751" s="19"/>
      <c r="S751" s="19"/>
      <c r="U751" s="19"/>
      <c r="W751" s="19"/>
      <c r="X751" s="19" t="s">
        <v>662</v>
      </c>
      <c r="Y751" s="27" t="s">
        <v>54</v>
      </c>
      <c r="Z751" s="27" t="s">
        <v>414</v>
      </c>
      <c r="AA751" s="27" t="s">
        <v>3963</v>
      </c>
      <c r="AB751" s="27" t="s">
        <v>5602</v>
      </c>
      <c r="AC751" s="37" t="s">
        <v>5603</v>
      </c>
      <c r="AD751" s="38"/>
      <c r="AE751" s="36">
        <v>45962</v>
      </c>
      <c r="AF751" s="19" t="s">
        <v>99</v>
      </c>
      <c r="AG751" s="19" t="s">
        <v>139</v>
      </c>
      <c r="AH751" s="19" t="s">
        <v>62</v>
      </c>
      <c r="AI751" s="19" t="s">
        <v>63</v>
      </c>
      <c r="AJ751" s="19" t="s">
        <v>5604</v>
      </c>
      <c r="AK751" s="19" t="s">
        <v>5605</v>
      </c>
      <c r="AL751" s="19"/>
      <c r="AM751" s="19"/>
      <c r="AN751" s="19" t="s">
        <v>103</v>
      </c>
      <c r="AO751" s="23">
        <v>45981.279166666667</v>
      </c>
      <c r="AP751" s="26">
        <f t="shared" si="25"/>
        <v>310</v>
      </c>
    </row>
    <row r="752" spans="1:42" ht="32.25" hidden="1" customHeight="1">
      <c r="A752" s="19" t="s">
        <v>42</v>
      </c>
      <c r="B752" s="19" t="s">
        <v>202</v>
      </c>
      <c r="C752" s="19" t="s">
        <v>3169</v>
      </c>
      <c r="D752" s="19" t="s">
        <v>45</v>
      </c>
      <c r="E752" s="19" t="s">
        <v>46</v>
      </c>
      <c r="F752" s="19" t="s">
        <v>5606</v>
      </c>
      <c r="G752" s="19" t="s">
        <v>48</v>
      </c>
      <c r="H752" s="19" t="s">
        <v>49</v>
      </c>
      <c r="I752" s="20">
        <v>45981.415277777778</v>
      </c>
      <c r="K752" s="19"/>
      <c r="L752" s="20">
        <v>45981.506944444453</v>
      </c>
      <c r="M752" s="19"/>
      <c r="N752" s="22">
        <f t="shared" si="24"/>
        <v>9.1666666674427688E-2</v>
      </c>
      <c r="O752" s="19" t="s">
        <v>63</v>
      </c>
      <c r="P752" s="19" t="s">
        <v>5607</v>
      </c>
      <c r="Q752" s="19" t="s">
        <v>5608</v>
      </c>
      <c r="R752" s="19"/>
      <c r="S752" s="19"/>
      <c r="U752" s="19"/>
      <c r="W752" s="19"/>
      <c r="X752" s="19" t="s">
        <v>1589</v>
      </c>
      <c r="Y752" s="27" t="s">
        <v>147</v>
      </c>
      <c r="Z752" s="27" t="s">
        <v>78</v>
      </c>
      <c r="AA752" s="27" t="s">
        <v>78</v>
      </c>
      <c r="AB752" s="27" t="s">
        <v>78</v>
      </c>
      <c r="AC752" s="37" t="s">
        <v>78</v>
      </c>
      <c r="AD752" s="38" t="s">
        <v>78</v>
      </c>
      <c r="AE752" s="36">
        <v>45962</v>
      </c>
      <c r="AF752" s="19" t="s">
        <v>78</v>
      </c>
      <c r="AG752" s="19" t="s">
        <v>78</v>
      </c>
      <c r="AH752" s="19" t="s">
        <v>62</v>
      </c>
      <c r="AI752" s="19" t="s">
        <v>63</v>
      </c>
      <c r="AJ752" s="19" t="s">
        <v>5609</v>
      </c>
      <c r="AK752" s="19"/>
      <c r="AL752" s="19"/>
      <c r="AM752" s="19"/>
      <c r="AN752" s="19" t="s">
        <v>65</v>
      </c>
      <c r="AO752" s="23">
        <v>45981.415277777778</v>
      </c>
      <c r="AP752" s="26">
        <f t="shared" si="25"/>
        <v>132</v>
      </c>
    </row>
    <row r="753" spans="1:42" ht="25.5" hidden="1" customHeight="1">
      <c r="A753" s="19" t="s">
        <v>92</v>
      </c>
      <c r="B753" s="19" t="s">
        <v>1574</v>
      </c>
      <c r="C753" s="19" t="s">
        <v>5598</v>
      </c>
      <c r="D753" s="19" t="s">
        <v>45</v>
      </c>
      <c r="E753" s="19" t="s">
        <v>46</v>
      </c>
      <c r="F753" s="19" t="s">
        <v>5599</v>
      </c>
      <c r="G753" s="19" t="s">
        <v>226</v>
      </c>
      <c r="H753" s="19" t="s">
        <v>49</v>
      </c>
      <c r="I753" s="20">
        <v>45981.436111111107</v>
      </c>
      <c r="K753" s="19"/>
      <c r="L753" s="20">
        <v>45981.486805555563</v>
      </c>
      <c r="M753" s="19"/>
      <c r="N753" s="22">
        <f t="shared" si="24"/>
        <v>5.0694444456894416E-2</v>
      </c>
      <c r="O753" s="19" t="s">
        <v>50</v>
      </c>
      <c r="P753" s="19" t="s">
        <v>5600</v>
      </c>
      <c r="Q753" s="19" t="s">
        <v>5610</v>
      </c>
      <c r="R753" s="19"/>
      <c r="S753" s="19"/>
      <c r="U753" s="19"/>
      <c r="W753" s="19"/>
      <c r="X753" s="19" t="s">
        <v>662</v>
      </c>
      <c r="Y753" s="27" t="s">
        <v>54</v>
      </c>
      <c r="Z753" s="27" t="s">
        <v>414</v>
      </c>
      <c r="AA753" s="27" t="s">
        <v>3963</v>
      </c>
      <c r="AB753" s="27" t="s">
        <v>5602</v>
      </c>
      <c r="AC753" s="37" t="s">
        <v>5603</v>
      </c>
      <c r="AD753" s="38"/>
      <c r="AE753" s="36">
        <v>45962</v>
      </c>
      <c r="AF753" s="19" t="s">
        <v>99</v>
      </c>
      <c r="AG753" s="19" t="s">
        <v>139</v>
      </c>
      <c r="AH753" s="19" t="s">
        <v>62</v>
      </c>
      <c r="AI753" s="19" t="s">
        <v>50</v>
      </c>
      <c r="AJ753" s="19" t="s">
        <v>5611</v>
      </c>
      <c r="AK753" s="19" t="s">
        <v>5605</v>
      </c>
      <c r="AL753" s="19"/>
      <c r="AM753" s="19"/>
      <c r="AN753" s="19" t="s">
        <v>103</v>
      </c>
      <c r="AO753" s="23">
        <v>45981.393055555563</v>
      </c>
      <c r="AP753" s="26">
        <f t="shared" si="25"/>
        <v>73</v>
      </c>
    </row>
    <row r="754" spans="1:42" ht="25.5" hidden="1" customHeight="1">
      <c r="A754" s="19" t="s">
        <v>42</v>
      </c>
      <c r="B754" s="19" t="s">
        <v>5612</v>
      </c>
      <c r="C754" s="19" t="s">
        <v>3734</v>
      </c>
      <c r="D754" s="19" t="s">
        <v>45</v>
      </c>
      <c r="E754" s="19" t="s">
        <v>46</v>
      </c>
      <c r="F754" s="19" t="s">
        <v>5613</v>
      </c>
      <c r="G754" s="19" t="s">
        <v>48</v>
      </c>
      <c r="H754" s="19" t="s">
        <v>49</v>
      </c>
      <c r="I754" s="20">
        <v>45981.385416666657</v>
      </c>
      <c r="K754" s="19"/>
      <c r="L754" s="20">
        <v>45981.435416666667</v>
      </c>
      <c r="M754" s="19"/>
      <c r="N754" s="22">
        <f t="shared" si="24"/>
        <v>5.0000000010186341E-2</v>
      </c>
      <c r="O754" s="19" t="s">
        <v>63</v>
      </c>
      <c r="P754" s="19" t="s">
        <v>5614</v>
      </c>
      <c r="Q754" s="19" t="s">
        <v>5615</v>
      </c>
      <c r="R754" s="19"/>
      <c r="S754" s="19"/>
      <c r="U754" s="19"/>
      <c r="W754" s="19"/>
      <c r="X754" s="19" t="s">
        <v>675</v>
      </c>
      <c r="Y754" s="27" t="s">
        <v>147</v>
      </c>
      <c r="Z754" s="27" t="s">
        <v>78</v>
      </c>
      <c r="AA754" s="27" t="s">
        <v>78</v>
      </c>
      <c r="AB754" s="27" t="s">
        <v>78</v>
      </c>
      <c r="AC754" s="37" t="s">
        <v>78</v>
      </c>
      <c r="AD754" s="38" t="s">
        <v>78</v>
      </c>
      <c r="AE754" s="36">
        <v>45962</v>
      </c>
      <c r="AF754" s="19" t="s">
        <v>60</v>
      </c>
      <c r="AG754" s="19" t="s">
        <v>78</v>
      </c>
      <c r="AH754" s="19" t="s">
        <v>62</v>
      </c>
      <c r="AI754" s="19" t="s">
        <v>63</v>
      </c>
      <c r="AJ754" s="19" t="s">
        <v>5616</v>
      </c>
      <c r="AK754" s="19"/>
      <c r="AL754" s="19"/>
      <c r="AM754" s="19"/>
      <c r="AN754" s="19" t="s">
        <v>65</v>
      </c>
      <c r="AO754" s="23">
        <v>45981.385416666657</v>
      </c>
      <c r="AP754" s="26">
        <f t="shared" si="25"/>
        <v>72</v>
      </c>
    </row>
    <row r="755" spans="1:42" ht="25.5" hidden="1" customHeight="1">
      <c r="A755" s="19" t="s">
        <v>42</v>
      </c>
      <c r="B755" s="19" t="s">
        <v>3388</v>
      </c>
      <c r="C755" s="19" t="s">
        <v>129</v>
      </c>
      <c r="D755" s="19" t="s">
        <v>45</v>
      </c>
      <c r="E755" s="19" t="s">
        <v>46</v>
      </c>
      <c r="F755" s="19" t="s">
        <v>5617</v>
      </c>
      <c r="G755" s="19" t="s">
        <v>48</v>
      </c>
      <c r="H755" s="19" t="s">
        <v>49</v>
      </c>
      <c r="I755" s="20">
        <v>45981.456944444442</v>
      </c>
      <c r="K755" s="19"/>
      <c r="L755" s="20">
        <v>45981.503472222219</v>
      </c>
      <c r="M755" s="19"/>
      <c r="N755" s="22">
        <f t="shared" si="24"/>
        <v>4.6527777776645962E-2</v>
      </c>
      <c r="O755" s="19" t="s">
        <v>50</v>
      </c>
      <c r="P755" s="19" t="s">
        <v>5618</v>
      </c>
      <c r="Q755" s="19" t="s">
        <v>5619</v>
      </c>
      <c r="R755" s="19"/>
      <c r="S755" s="19"/>
      <c r="U755" s="19"/>
      <c r="W755" s="19"/>
      <c r="X755" s="19" t="s">
        <v>109</v>
      </c>
      <c r="Y755" s="27" t="s">
        <v>147</v>
      </c>
      <c r="Z755" s="27" t="s">
        <v>78</v>
      </c>
      <c r="AA755" s="27" t="s">
        <v>78</v>
      </c>
      <c r="AB755" s="27" t="s">
        <v>78</v>
      </c>
      <c r="AC755" s="37" t="s">
        <v>78</v>
      </c>
      <c r="AD755" s="38" t="s">
        <v>78</v>
      </c>
      <c r="AE755" s="36">
        <v>45962</v>
      </c>
      <c r="AF755" s="19" t="s">
        <v>60</v>
      </c>
      <c r="AG755" s="19" t="s">
        <v>78</v>
      </c>
      <c r="AH755" s="19" t="s">
        <v>62</v>
      </c>
      <c r="AI755" s="19" t="s">
        <v>63</v>
      </c>
      <c r="AJ755" s="19" t="s">
        <v>5620</v>
      </c>
      <c r="AK755" s="19"/>
      <c r="AL755" s="19"/>
      <c r="AM755" s="19"/>
      <c r="AN755" s="19" t="s">
        <v>103</v>
      </c>
      <c r="AO755" s="23">
        <v>45981.456944444442</v>
      </c>
      <c r="AP755" s="26">
        <f t="shared" si="25"/>
        <v>67</v>
      </c>
    </row>
    <row r="756" spans="1:42" ht="25.5" customHeight="1">
      <c r="A756" s="19" t="s">
        <v>42</v>
      </c>
      <c r="C756" s="19" t="s">
        <v>682</v>
      </c>
      <c r="D756" s="19" t="s">
        <v>45</v>
      </c>
      <c r="E756" s="19" t="s">
        <v>46</v>
      </c>
      <c r="F756" s="19" t="s">
        <v>5621</v>
      </c>
      <c r="G756" s="19" t="s">
        <v>48</v>
      </c>
      <c r="H756" s="19" t="s">
        <v>144</v>
      </c>
      <c r="I756" s="20">
        <v>45981.40625</v>
      </c>
      <c r="K756" s="19">
        <v>45981.427083333343</v>
      </c>
      <c r="L756" s="20">
        <v>45981.465277777781</v>
      </c>
      <c r="M756" s="19"/>
      <c r="N756" s="22">
        <f t="shared" si="24"/>
        <v>5.9027777781011537E-2</v>
      </c>
      <c r="O756" s="19" t="s">
        <v>50</v>
      </c>
      <c r="P756" s="19" t="s">
        <v>5622</v>
      </c>
      <c r="Q756" s="19" t="s">
        <v>5623</v>
      </c>
      <c r="R756" s="19"/>
      <c r="S756" s="19"/>
      <c r="U756" s="19"/>
      <c r="W756" s="19"/>
      <c r="X756" s="19" t="s">
        <v>72</v>
      </c>
      <c r="Y756" s="27" t="s">
        <v>147</v>
      </c>
      <c r="Z756" s="27" t="s">
        <v>78</v>
      </c>
      <c r="AA756" s="27" t="s">
        <v>78</v>
      </c>
      <c r="AB756" s="27" t="s">
        <v>78</v>
      </c>
      <c r="AC756" s="37" t="s">
        <v>78</v>
      </c>
      <c r="AD756" s="38" t="s">
        <v>78</v>
      </c>
      <c r="AE756" s="36">
        <v>45962</v>
      </c>
      <c r="AF756" s="19" t="s">
        <v>89</v>
      </c>
      <c r="AG756" s="19" t="s">
        <v>294</v>
      </c>
      <c r="AH756" s="19" t="s">
        <v>62</v>
      </c>
      <c r="AI756" s="19" t="s">
        <v>63</v>
      </c>
      <c r="AJ756" s="19" t="s">
        <v>5624</v>
      </c>
      <c r="AK756" s="19"/>
      <c r="AL756" s="19"/>
      <c r="AM756" s="19"/>
      <c r="AN756" s="19" t="s">
        <v>65</v>
      </c>
      <c r="AO756" s="23">
        <v>45981.40625</v>
      </c>
      <c r="AP756" s="26">
        <f t="shared" si="25"/>
        <v>85</v>
      </c>
    </row>
    <row r="757" spans="1:42" ht="25.5" hidden="1" customHeight="1">
      <c r="A757" s="19" t="s">
        <v>42</v>
      </c>
      <c r="B757" s="19" t="s">
        <v>5625</v>
      </c>
      <c r="C757" s="19" t="s">
        <v>3725</v>
      </c>
      <c r="D757" s="19" t="s">
        <v>45</v>
      </c>
      <c r="E757" s="19" t="s">
        <v>46</v>
      </c>
      <c r="F757" s="19" t="s">
        <v>5626</v>
      </c>
      <c r="G757" s="19" t="s">
        <v>48</v>
      </c>
      <c r="H757" s="19" t="s">
        <v>49</v>
      </c>
      <c r="I757" s="20">
        <v>45981.763888888891</v>
      </c>
      <c r="K757" s="19"/>
      <c r="L757" s="20">
        <v>45981.865277777782</v>
      </c>
      <c r="M757" s="19"/>
      <c r="N757" s="22">
        <f t="shared" si="24"/>
        <v>0.10138888889196096</v>
      </c>
      <c r="O757" s="19" t="s">
        <v>50</v>
      </c>
      <c r="P757" s="19" t="s">
        <v>5627</v>
      </c>
      <c r="Q757" s="19" t="s">
        <v>5628</v>
      </c>
      <c r="R757" s="19"/>
      <c r="S757" s="19"/>
      <c r="U757" s="19"/>
      <c r="W757" s="19"/>
      <c r="X757" s="19" t="s">
        <v>109</v>
      </c>
      <c r="Y757" s="27" t="s">
        <v>133</v>
      </c>
      <c r="Z757" s="27" t="s">
        <v>694</v>
      </c>
      <c r="AA757" s="27" t="s">
        <v>5629</v>
      </c>
      <c r="AB757" s="27" t="s">
        <v>5630</v>
      </c>
      <c r="AC757" s="37" t="s">
        <v>5631</v>
      </c>
      <c r="AD757" s="38" t="s">
        <v>5632</v>
      </c>
      <c r="AE757" s="36">
        <v>45962</v>
      </c>
      <c r="AF757" s="19" t="s">
        <v>89</v>
      </c>
      <c r="AG757" s="19" t="s">
        <v>294</v>
      </c>
      <c r="AH757" s="19" t="s">
        <v>62</v>
      </c>
      <c r="AI757" s="19" t="s">
        <v>63</v>
      </c>
      <c r="AJ757" s="19" t="s">
        <v>5633</v>
      </c>
      <c r="AK757" s="19"/>
      <c r="AL757" s="19"/>
      <c r="AM757" s="19"/>
      <c r="AN757" s="19" t="s">
        <v>65</v>
      </c>
      <c r="AO757" s="23">
        <v>45981.763888888891</v>
      </c>
      <c r="AP757" s="26">
        <f t="shared" si="25"/>
        <v>146</v>
      </c>
    </row>
    <row r="758" spans="1:42" ht="25.5" hidden="1" customHeight="1">
      <c r="A758" s="19" t="s">
        <v>42</v>
      </c>
      <c r="B758" s="19" t="s">
        <v>242</v>
      </c>
      <c r="C758" s="19" t="s">
        <v>129</v>
      </c>
      <c r="D758" s="19" t="s">
        <v>45</v>
      </c>
      <c r="E758" s="19" t="s">
        <v>46</v>
      </c>
      <c r="F758" s="19" t="s">
        <v>5634</v>
      </c>
      <c r="G758" s="19" t="s">
        <v>48</v>
      </c>
      <c r="H758" s="19" t="s">
        <v>49</v>
      </c>
      <c r="I758" s="20">
        <v>45981.793749999997</v>
      </c>
      <c r="K758" s="19"/>
      <c r="L758" s="20">
        <v>45981.80972222222</v>
      </c>
      <c r="M758" s="19"/>
      <c r="N758" s="22">
        <f t="shared" si="24"/>
        <v>1.5972222223354038E-2</v>
      </c>
      <c r="O758" s="19" t="s">
        <v>50</v>
      </c>
      <c r="P758" s="19" t="s">
        <v>5635</v>
      </c>
      <c r="Q758" s="19" t="s">
        <v>5636</v>
      </c>
      <c r="R758" s="19"/>
      <c r="S758" s="19"/>
      <c r="U758" s="19"/>
      <c r="W758" s="19"/>
      <c r="X758" s="19" t="s">
        <v>109</v>
      </c>
      <c r="Y758" s="27" t="s">
        <v>54</v>
      </c>
      <c r="Z758" s="27" t="s">
        <v>209</v>
      </c>
      <c r="AA758" s="27" t="s">
        <v>5637</v>
      </c>
      <c r="AB758" s="27" t="s">
        <v>5638</v>
      </c>
      <c r="AC758" s="37">
        <v>45981.75</v>
      </c>
      <c r="AD758" s="38">
        <v>45981.756944444453</v>
      </c>
      <c r="AE758" s="36">
        <v>45962</v>
      </c>
      <c r="AF758" s="19" t="s">
        <v>99</v>
      </c>
      <c r="AG758" s="19" t="s">
        <v>100</v>
      </c>
      <c r="AH758" s="19" t="s">
        <v>62</v>
      </c>
      <c r="AI758" s="19" t="s">
        <v>63</v>
      </c>
      <c r="AJ758" s="19" t="s">
        <v>5639</v>
      </c>
      <c r="AK758" s="19" t="s">
        <v>5640</v>
      </c>
      <c r="AL758" s="19"/>
      <c r="AM758" s="19"/>
      <c r="AN758" s="19" t="s">
        <v>103</v>
      </c>
      <c r="AO758" s="23">
        <v>45981.793749999997</v>
      </c>
      <c r="AP758" s="26">
        <f t="shared" si="25"/>
        <v>23</v>
      </c>
    </row>
    <row r="759" spans="1:42" ht="25.5" hidden="1" customHeight="1">
      <c r="A759" s="19" t="s">
        <v>116</v>
      </c>
      <c r="B759" s="19" t="s">
        <v>5073</v>
      </c>
      <c r="C759" s="19" t="s">
        <v>336</v>
      </c>
      <c r="D759" s="19" t="s">
        <v>45</v>
      </c>
      <c r="E759" s="19" t="s">
        <v>46</v>
      </c>
      <c r="F759" s="19" t="s">
        <v>5641</v>
      </c>
      <c r="G759" s="19" t="s">
        <v>48</v>
      </c>
      <c r="H759" s="19" t="s">
        <v>49</v>
      </c>
      <c r="I759" s="20">
        <v>45981.888888888891</v>
      </c>
      <c r="K759" s="19"/>
      <c r="L759" s="20">
        <v>45981.895833333343</v>
      </c>
      <c r="M759" s="19"/>
      <c r="N759" s="22">
        <f t="shared" si="24"/>
        <v>6.9444444525288418E-3</v>
      </c>
      <c r="O759" s="19" t="s">
        <v>50</v>
      </c>
      <c r="P759" s="19" t="s">
        <v>5642</v>
      </c>
      <c r="Q759" s="19" t="s">
        <v>5643</v>
      </c>
      <c r="R759" s="19"/>
      <c r="S759" s="19"/>
      <c r="U759" s="19"/>
      <c r="W759" s="19"/>
      <c r="X759" s="19" t="s">
        <v>314</v>
      </c>
      <c r="Y759" s="27" t="s">
        <v>54</v>
      </c>
      <c r="Z759" s="27" t="s">
        <v>5644</v>
      </c>
      <c r="AA759" s="27" t="s">
        <v>5645</v>
      </c>
      <c r="AB759" s="27" t="s">
        <v>5646</v>
      </c>
      <c r="AC759" s="37" t="s">
        <v>2655</v>
      </c>
      <c r="AD759" s="38" t="s">
        <v>5647</v>
      </c>
      <c r="AE759" s="36">
        <v>45962</v>
      </c>
      <c r="AF759" s="19" t="s">
        <v>78</v>
      </c>
      <c r="AG759" s="19" t="s">
        <v>78</v>
      </c>
      <c r="AH759" s="19" t="s">
        <v>62</v>
      </c>
      <c r="AI759" s="19" t="s">
        <v>63</v>
      </c>
      <c r="AJ759" s="19" t="s">
        <v>5648</v>
      </c>
      <c r="AK759" s="19"/>
      <c r="AL759" s="19"/>
      <c r="AM759" s="19"/>
      <c r="AN759" s="19" t="s">
        <v>103</v>
      </c>
      <c r="AO759" s="23">
        <v>45981.888888888891</v>
      </c>
      <c r="AP759" s="26">
        <f t="shared" si="25"/>
        <v>10</v>
      </c>
    </row>
    <row r="760" spans="1:42" ht="25.5" hidden="1" customHeight="1">
      <c r="A760" s="19" t="s">
        <v>42</v>
      </c>
      <c r="C760" s="19" t="s">
        <v>2655</v>
      </c>
      <c r="D760" s="19" t="s">
        <v>45</v>
      </c>
      <c r="E760" s="19" t="s">
        <v>46</v>
      </c>
      <c r="F760" s="19" t="s">
        <v>5649</v>
      </c>
      <c r="G760" s="19" t="s">
        <v>48</v>
      </c>
      <c r="H760" s="19" t="s">
        <v>49</v>
      </c>
      <c r="I760" s="20">
        <v>45982.211111111108</v>
      </c>
      <c r="K760" s="19"/>
      <c r="L760" s="20">
        <v>45982.265277777777</v>
      </c>
      <c r="M760" s="19"/>
      <c r="N760" s="22">
        <f t="shared" si="24"/>
        <v>5.4166666668606922E-2</v>
      </c>
      <c r="O760" s="19" t="s">
        <v>63</v>
      </c>
      <c r="P760" s="19" t="s">
        <v>4083</v>
      </c>
      <c r="Q760" s="19" t="s">
        <v>5650</v>
      </c>
      <c r="R760" s="19"/>
      <c r="S760" s="19"/>
      <c r="U760" s="19"/>
      <c r="W760" s="19"/>
      <c r="X760" s="19" t="s">
        <v>2659</v>
      </c>
      <c r="Y760" s="27" t="s">
        <v>147</v>
      </c>
      <c r="Z760" s="27" t="s">
        <v>78</v>
      </c>
      <c r="AA760" s="27" t="s">
        <v>78</v>
      </c>
      <c r="AB760" s="27" t="s">
        <v>78</v>
      </c>
      <c r="AC760" s="37" t="s">
        <v>78</v>
      </c>
      <c r="AD760" s="38" t="s">
        <v>78</v>
      </c>
      <c r="AE760" s="36">
        <v>45962</v>
      </c>
      <c r="AF760" s="19" t="s">
        <v>89</v>
      </c>
      <c r="AG760" s="19" t="s">
        <v>90</v>
      </c>
      <c r="AH760" s="19" t="s">
        <v>62</v>
      </c>
      <c r="AI760" s="19" t="s">
        <v>63</v>
      </c>
      <c r="AJ760" s="19" t="s">
        <v>5651</v>
      </c>
      <c r="AK760" s="19"/>
      <c r="AL760" s="19"/>
      <c r="AM760" s="19"/>
      <c r="AN760" s="19" t="s">
        <v>5652</v>
      </c>
      <c r="AO760" s="23">
        <v>45982.211111111108</v>
      </c>
      <c r="AP760" s="26">
        <f t="shared" si="25"/>
        <v>78</v>
      </c>
    </row>
    <row r="761" spans="1:42" ht="25.5" hidden="1" customHeight="1">
      <c r="A761" s="19" t="s">
        <v>42</v>
      </c>
      <c r="C761" s="19" t="s">
        <v>129</v>
      </c>
      <c r="D761" s="19" t="s">
        <v>45</v>
      </c>
      <c r="E761" s="19" t="s">
        <v>46</v>
      </c>
      <c r="F761" s="19" t="s">
        <v>5653</v>
      </c>
      <c r="G761" s="19" t="s">
        <v>48</v>
      </c>
      <c r="H761" s="19" t="s">
        <v>49</v>
      </c>
      <c r="I761" s="20">
        <v>45982.311111111107</v>
      </c>
      <c r="K761" s="19"/>
      <c r="L761" s="20">
        <v>45982.370833333327</v>
      </c>
      <c r="M761" s="19"/>
      <c r="N761" s="22">
        <f t="shared" si="24"/>
        <v>5.9722222220443655E-2</v>
      </c>
      <c r="O761" s="19" t="s">
        <v>63</v>
      </c>
      <c r="P761" s="19" t="s">
        <v>5654</v>
      </c>
      <c r="Q761" s="19" t="s">
        <v>5655</v>
      </c>
      <c r="R761" s="19"/>
      <c r="S761" s="19"/>
      <c r="U761" s="19"/>
      <c r="W761" s="19"/>
      <c r="X761" s="19" t="s">
        <v>109</v>
      </c>
      <c r="Y761" s="27" t="s">
        <v>54</v>
      </c>
      <c r="Z761" s="27" t="s">
        <v>414</v>
      </c>
      <c r="AA761" s="27" t="s">
        <v>3963</v>
      </c>
      <c r="AB761" s="27" t="s">
        <v>5656</v>
      </c>
      <c r="AC761" s="37">
        <v>45982.290972222218</v>
      </c>
      <c r="AD761" s="38">
        <v>45982.306250000001</v>
      </c>
      <c r="AE761" s="36">
        <v>45962</v>
      </c>
      <c r="AF761" s="19" t="s">
        <v>99</v>
      </c>
      <c r="AG761" s="19" t="s">
        <v>100</v>
      </c>
      <c r="AH761" s="19" t="s">
        <v>62</v>
      </c>
      <c r="AI761" s="19" t="s">
        <v>63</v>
      </c>
      <c r="AJ761" s="19" t="s">
        <v>5657</v>
      </c>
      <c r="AK761" s="19" t="s">
        <v>5658</v>
      </c>
      <c r="AL761" s="19"/>
      <c r="AM761" s="19"/>
      <c r="AN761" s="19" t="s">
        <v>103</v>
      </c>
      <c r="AO761" s="23">
        <v>45982.32916666667</v>
      </c>
      <c r="AP761" s="26">
        <f t="shared" si="25"/>
        <v>86</v>
      </c>
    </row>
    <row r="762" spans="1:42" ht="25.5" hidden="1" customHeight="1">
      <c r="A762" s="19" t="s">
        <v>42</v>
      </c>
      <c r="C762" s="19" t="s">
        <v>3715</v>
      </c>
      <c r="D762" s="19" t="s">
        <v>45</v>
      </c>
      <c r="E762" s="19" t="s">
        <v>46</v>
      </c>
      <c r="F762" s="19" t="s">
        <v>5659</v>
      </c>
      <c r="G762" s="19" t="s">
        <v>48</v>
      </c>
      <c r="H762" s="19" t="s">
        <v>49</v>
      </c>
      <c r="I762" s="20">
        <v>45982.477083333331</v>
      </c>
      <c r="K762" s="19"/>
      <c r="L762" s="20">
        <v>45982.511111111111</v>
      </c>
      <c r="M762" s="19"/>
      <c r="N762" s="22">
        <f t="shared" si="24"/>
        <v>3.4027777779556345E-2</v>
      </c>
      <c r="O762" s="19" t="s">
        <v>63</v>
      </c>
      <c r="P762" s="19" t="s">
        <v>5660</v>
      </c>
      <c r="Q762" s="19" t="s">
        <v>5661</v>
      </c>
      <c r="R762" s="19"/>
      <c r="S762" s="19"/>
      <c r="U762" s="19"/>
      <c r="W762" s="19"/>
      <c r="X762" s="19" t="s">
        <v>109</v>
      </c>
      <c r="Y762" s="27" t="s">
        <v>147</v>
      </c>
      <c r="Z762" s="27" t="s">
        <v>78</v>
      </c>
      <c r="AA762" s="27" t="s">
        <v>78</v>
      </c>
      <c r="AB762" s="27" t="s">
        <v>78</v>
      </c>
      <c r="AC762" s="37" t="s">
        <v>78</v>
      </c>
      <c r="AD762" s="38" t="s">
        <v>78</v>
      </c>
      <c r="AE762" s="36">
        <v>45962</v>
      </c>
      <c r="AF762" s="19" t="s">
        <v>99</v>
      </c>
      <c r="AG762" s="19" t="s">
        <v>100</v>
      </c>
      <c r="AH762" s="19" t="s">
        <v>62</v>
      </c>
      <c r="AI762" s="19" t="s">
        <v>63</v>
      </c>
      <c r="AJ762" s="19" t="s">
        <v>5662</v>
      </c>
      <c r="AK762" s="19" t="s">
        <v>5663</v>
      </c>
      <c r="AL762" s="19"/>
      <c r="AM762" s="19"/>
      <c r="AN762" s="19" t="s">
        <v>103</v>
      </c>
      <c r="AO762" s="23">
        <v>45982.477083333331</v>
      </c>
      <c r="AP762" s="26">
        <f t="shared" si="25"/>
        <v>49</v>
      </c>
    </row>
    <row r="763" spans="1:42" ht="32.25" hidden="1" customHeight="1">
      <c r="A763" s="19" t="s">
        <v>42</v>
      </c>
      <c r="C763" s="19" t="s">
        <v>2677</v>
      </c>
      <c r="D763" s="19" t="s">
        <v>45</v>
      </c>
      <c r="E763" s="19" t="s">
        <v>46</v>
      </c>
      <c r="F763" s="19" t="s">
        <v>5664</v>
      </c>
      <c r="G763" s="19" t="s">
        <v>48</v>
      </c>
      <c r="H763" s="19" t="s">
        <v>49</v>
      </c>
      <c r="I763" s="20">
        <v>45982.343055555553</v>
      </c>
      <c r="K763" s="19"/>
      <c r="L763" s="20">
        <v>45982.443749999999</v>
      </c>
      <c r="M763" s="19"/>
      <c r="N763" s="22">
        <f t="shared" si="24"/>
        <v>0.10069444444525288</v>
      </c>
      <c r="O763" s="19" t="s">
        <v>63</v>
      </c>
      <c r="P763" s="19" t="s">
        <v>5665</v>
      </c>
      <c r="Q763" s="19" t="s">
        <v>5666</v>
      </c>
      <c r="R763" s="19"/>
      <c r="S763" s="19"/>
      <c r="U763" s="19"/>
      <c r="W763" s="19"/>
      <c r="X763" s="19" t="s">
        <v>314</v>
      </c>
      <c r="Y763" s="27" t="s">
        <v>147</v>
      </c>
      <c r="Z763" s="27" t="s">
        <v>78</v>
      </c>
      <c r="AA763" s="27" t="s">
        <v>78</v>
      </c>
      <c r="AB763" s="27" t="s">
        <v>78</v>
      </c>
      <c r="AC763" s="37" t="s">
        <v>78</v>
      </c>
      <c r="AD763" s="38" t="s">
        <v>78</v>
      </c>
      <c r="AE763" s="36">
        <v>45962</v>
      </c>
      <c r="AF763" s="19" t="s">
        <v>89</v>
      </c>
      <c r="AG763" s="19" t="s">
        <v>90</v>
      </c>
      <c r="AH763" s="19" t="s">
        <v>62</v>
      </c>
      <c r="AI763" s="19" t="s">
        <v>63</v>
      </c>
      <c r="AJ763" s="19" t="s">
        <v>5667</v>
      </c>
      <c r="AK763" s="19"/>
      <c r="AL763" s="19"/>
      <c r="AM763" s="19"/>
      <c r="AN763" s="19" t="s">
        <v>103</v>
      </c>
      <c r="AO763" s="23">
        <v>45982.343055555553</v>
      </c>
      <c r="AP763" s="26">
        <f t="shared" si="25"/>
        <v>145</v>
      </c>
    </row>
    <row r="764" spans="1:42" ht="32.25" hidden="1" customHeight="1">
      <c r="A764" s="19" t="s">
        <v>42</v>
      </c>
      <c r="B764" s="19" t="s">
        <v>3843</v>
      </c>
      <c r="C764" s="19" t="s">
        <v>5668</v>
      </c>
      <c r="D764" s="19" t="s">
        <v>45</v>
      </c>
      <c r="E764" s="19" t="s">
        <v>46</v>
      </c>
      <c r="F764" s="19" t="s">
        <v>5669</v>
      </c>
      <c r="G764" s="19" t="s">
        <v>48</v>
      </c>
      <c r="H764" s="19" t="s">
        <v>49</v>
      </c>
      <c r="I764" s="20">
        <v>45982.581944444442</v>
      </c>
      <c r="K764" s="19"/>
      <c r="L764" s="20">
        <v>45982.690972222219</v>
      </c>
      <c r="M764" s="19"/>
      <c r="N764" s="22">
        <f t="shared" si="24"/>
        <v>0.10902777777664596</v>
      </c>
      <c r="O764" s="19" t="s">
        <v>63</v>
      </c>
      <c r="P764" s="19" t="s">
        <v>5670</v>
      </c>
      <c r="Q764" s="19" t="s">
        <v>5671</v>
      </c>
      <c r="R764" s="19"/>
      <c r="S764" s="19"/>
      <c r="U764" s="19"/>
      <c r="W764" s="19"/>
      <c r="X764" s="19" t="s">
        <v>314</v>
      </c>
      <c r="Y764" s="27" t="s">
        <v>54</v>
      </c>
      <c r="Z764" s="27" t="s">
        <v>414</v>
      </c>
      <c r="AA764" s="27" t="s">
        <v>5672</v>
      </c>
      <c r="AB764" s="27" t="s">
        <v>5673</v>
      </c>
      <c r="AC764" s="37">
        <v>45982.570833333331</v>
      </c>
      <c r="AD764" s="38">
        <v>45982.574305555558</v>
      </c>
      <c r="AE764" s="36">
        <v>45962</v>
      </c>
      <c r="AF764" s="19" t="s">
        <v>89</v>
      </c>
      <c r="AG764" s="19" t="s">
        <v>90</v>
      </c>
      <c r="AH764" s="19" t="s">
        <v>62</v>
      </c>
      <c r="AI764" s="19" t="s">
        <v>63</v>
      </c>
      <c r="AJ764" s="19" t="s">
        <v>5674</v>
      </c>
      <c r="AK764" s="19"/>
      <c r="AL764" s="19"/>
      <c r="AM764" s="19"/>
      <c r="AN764" s="19" t="s">
        <v>103</v>
      </c>
      <c r="AO764" s="23">
        <v>45982.568055555559</v>
      </c>
      <c r="AP764" s="26">
        <f t="shared" si="25"/>
        <v>157</v>
      </c>
    </row>
    <row r="765" spans="1:42" ht="25.5" hidden="1" customHeight="1">
      <c r="A765" s="19" t="s">
        <v>42</v>
      </c>
      <c r="B765" s="19" t="s">
        <v>3843</v>
      </c>
      <c r="C765" s="19" t="s">
        <v>336</v>
      </c>
      <c r="D765" s="19" t="s">
        <v>45</v>
      </c>
      <c r="E765" s="19" t="s">
        <v>46</v>
      </c>
      <c r="F765" s="19" t="s">
        <v>5675</v>
      </c>
      <c r="G765" s="19" t="s">
        <v>48</v>
      </c>
      <c r="H765" s="19" t="s">
        <v>49</v>
      </c>
      <c r="I765" s="20">
        <v>45982.8125</v>
      </c>
      <c r="K765" s="19"/>
      <c r="L765" s="20">
        <v>45982.822916666657</v>
      </c>
      <c r="M765" s="19"/>
      <c r="N765" s="22">
        <f t="shared" si="24"/>
        <v>1.041666665696539E-2</v>
      </c>
      <c r="O765" s="19" t="s">
        <v>50</v>
      </c>
      <c r="P765" s="19" t="s">
        <v>5676</v>
      </c>
      <c r="Q765" s="19" t="s">
        <v>5677</v>
      </c>
      <c r="R765" s="19"/>
      <c r="S765" s="19"/>
      <c r="U765" s="19"/>
      <c r="W765" s="19"/>
      <c r="X765" s="19" t="s">
        <v>314</v>
      </c>
      <c r="Y765" s="27" t="s">
        <v>54</v>
      </c>
      <c r="Z765" s="27" t="s">
        <v>1852</v>
      </c>
      <c r="AA765" s="27" t="s">
        <v>5678</v>
      </c>
      <c r="AB765" s="27" t="s">
        <v>5679</v>
      </c>
      <c r="AC765" s="37" t="s">
        <v>5680</v>
      </c>
      <c r="AD765" s="38" t="s">
        <v>5681</v>
      </c>
      <c r="AE765" s="36">
        <v>45962</v>
      </c>
      <c r="AF765" s="19" t="s">
        <v>89</v>
      </c>
      <c r="AG765" s="19" t="s">
        <v>90</v>
      </c>
      <c r="AH765" s="19" t="s">
        <v>62</v>
      </c>
      <c r="AI765" s="19" t="s">
        <v>63</v>
      </c>
      <c r="AJ765" s="19" t="s">
        <v>5682</v>
      </c>
      <c r="AK765" s="19"/>
      <c r="AL765" s="19"/>
      <c r="AM765" s="19"/>
      <c r="AN765" s="19" t="s">
        <v>103</v>
      </c>
      <c r="AO765" s="23">
        <v>45982.8125</v>
      </c>
      <c r="AP765" s="26">
        <f t="shared" si="25"/>
        <v>15</v>
      </c>
    </row>
    <row r="766" spans="1:42" ht="25.5" hidden="1" customHeight="1">
      <c r="A766" s="19" t="s">
        <v>116</v>
      </c>
      <c r="B766" s="19" t="s">
        <v>5683</v>
      </c>
      <c r="C766" s="19" t="s">
        <v>834</v>
      </c>
      <c r="D766" s="19" t="s">
        <v>45</v>
      </c>
      <c r="E766" s="19" t="s">
        <v>46</v>
      </c>
      <c r="F766" s="19" t="s">
        <v>5684</v>
      </c>
      <c r="G766" s="19" t="s">
        <v>48</v>
      </c>
      <c r="H766" s="19" t="s">
        <v>49</v>
      </c>
      <c r="I766" s="20">
        <v>45982.873611111107</v>
      </c>
      <c r="K766" s="19"/>
      <c r="L766" s="20">
        <v>45982.893750000003</v>
      </c>
      <c r="M766" s="19"/>
      <c r="N766" s="22">
        <f t="shared" si="24"/>
        <v>2.0138888896326534E-2</v>
      </c>
      <c r="O766" s="19" t="s">
        <v>50</v>
      </c>
      <c r="P766" s="19" t="s">
        <v>5685</v>
      </c>
      <c r="Q766" s="19" t="s">
        <v>5686</v>
      </c>
      <c r="R766" s="19"/>
      <c r="S766" s="19"/>
      <c r="U766" s="19"/>
      <c r="W766" s="19"/>
      <c r="X766" s="19" t="s">
        <v>98</v>
      </c>
      <c r="Y766" s="27" t="s">
        <v>147</v>
      </c>
      <c r="Z766" s="27" t="s">
        <v>78</v>
      </c>
      <c r="AA766" s="27" t="s">
        <v>78</v>
      </c>
      <c r="AB766" s="27" t="s">
        <v>78</v>
      </c>
      <c r="AC766" s="37" t="s">
        <v>78</v>
      </c>
      <c r="AD766" s="38" t="s">
        <v>78</v>
      </c>
      <c r="AE766" s="36">
        <v>45962</v>
      </c>
      <c r="AF766" s="19" t="s">
        <v>89</v>
      </c>
      <c r="AG766" s="19" t="s">
        <v>90</v>
      </c>
      <c r="AH766" s="19" t="s">
        <v>62</v>
      </c>
      <c r="AI766" s="19" t="s">
        <v>63</v>
      </c>
      <c r="AJ766" s="19" t="s">
        <v>5687</v>
      </c>
      <c r="AK766" s="19"/>
      <c r="AL766" s="19"/>
      <c r="AM766" s="19"/>
      <c r="AN766" s="19" t="s">
        <v>103</v>
      </c>
      <c r="AO766" s="23">
        <v>45982.873611111107</v>
      </c>
      <c r="AP766" s="26">
        <f t="shared" si="25"/>
        <v>29</v>
      </c>
    </row>
    <row r="767" spans="1:42" ht="25.5" hidden="1" customHeight="1">
      <c r="A767" s="19" t="s">
        <v>42</v>
      </c>
      <c r="B767" s="19" t="s">
        <v>3843</v>
      </c>
      <c r="C767" s="19" t="s">
        <v>2101</v>
      </c>
      <c r="D767" s="19" t="s">
        <v>45</v>
      </c>
      <c r="E767" s="19" t="s">
        <v>46</v>
      </c>
      <c r="F767" s="19" t="s">
        <v>5688</v>
      </c>
      <c r="G767" s="19" t="s">
        <v>48</v>
      </c>
      <c r="H767" s="19" t="s">
        <v>49</v>
      </c>
      <c r="I767" s="20">
        <v>45982.95416666667</v>
      </c>
      <c r="K767" s="19"/>
      <c r="L767" s="20">
        <v>45982.97152777778</v>
      </c>
      <c r="M767" s="19"/>
      <c r="N767" s="22">
        <f t="shared" si="24"/>
        <v>1.7361111109494232E-2</v>
      </c>
      <c r="O767" s="19" t="s">
        <v>63</v>
      </c>
      <c r="P767" s="19" t="s">
        <v>5689</v>
      </c>
      <c r="Q767" s="19" t="s">
        <v>5690</v>
      </c>
      <c r="R767" s="19"/>
      <c r="S767" s="19"/>
      <c r="U767" s="19"/>
      <c r="W767" s="19"/>
      <c r="X767" s="19" t="s">
        <v>314</v>
      </c>
      <c r="Y767" s="27" t="s">
        <v>147</v>
      </c>
      <c r="Z767" s="27" t="s">
        <v>78</v>
      </c>
      <c r="AA767" s="27" t="s">
        <v>78</v>
      </c>
      <c r="AB767" s="27" t="s">
        <v>78</v>
      </c>
      <c r="AC767" s="37" t="s">
        <v>78</v>
      </c>
      <c r="AD767" s="38" t="s">
        <v>78</v>
      </c>
      <c r="AE767" s="36">
        <v>45962</v>
      </c>
      <c r="AF767" s="19" t="s">
        <v>89</v>
      </c>
      <c r="AG767" s="19" t="s">
        <v>126</v>
      </c>
      <c r="AH767" s="19" t="s">
        <v>62</v>
      </c>
      <c r="AI767" s="19" t="s">
        <v>63</v>
      </c>
      <c r="AJ767" s="19" t="s">
        <v>5691</v>
      </c>
      <c r="AK767" s="19"/>
      <c r="AL767" s="19"/>
      <c r="AM767" s="19"/>
      <c r="AN767" s="19" t="s">
        <v>103</v>
      </c>
      <c r="AO767" s="23">
        <v>45982.95416666667</v>
      </c>
      <c r="AP767" s="26">
        <f t="shared" si="25"/>
        <v>25</v>
      </c>
    </row>
    <row r="768" spans="1:42" ht="25.5" hidden="1" customHeight="1">
      <c r="A768" s="19" t="s">
        <v>42</v>
      </c>
      <c r="B768" s="19" t="s">
        <v>309</v>
      </c>
      <c r="C768" s="19" t="s">
        <v>1637</v>
      </c>
      <c r="D768" s="19" t="s">
        <v>45</v>
      </c>
      <c r="E768" s="19" t="s">
        <v>46</v>
      </c>
      <c r="F768" s="19" t="s">
        <v>5692</v>
      </c>
      <c r="G768" s="19" t="s">
        <v>48</v>
      </c>
      <c r="H768" s="19" t="s">
        <v>49</v>
      </c>
      <c r="I768" s="20">
        <v>45982.956250000003</v>
      </c>
      <c r="K768" s="19"/>
      <c r="L768" s="20">
        <v>45982.966666666667</v>
      </c>
      <c r="M768" s="19"/>
      <c r="N768" s="22">
        <f t="shared" si="24"/>
        <v>1.0416666664241347E-2</v>
      </c>
      <c r="O768" s="19" t="s">
        <v>50</v>
      </c>
      <c r="P768" s="19" t="s">
        <v>5693</v>
      </c>
      <c r="Q768" s="19" t="s">
        <v>5694</v>
      </c>
      <c r="R768" s="19"/>
      <c r="S768" s="19"/>
      <c r="U768" s="19"/>
      <c r="W768" s="19"/>
      <c r="X768" s="19" t="s">
        <v>314</v>
      </c>
      <c r="Y768" s="27" t="s">
        <v>133</v>
      </c>
      <c r="Z768" s="27" t="s">
        <v>1852</v>
      </c>
      <c r="AA768" s="27" t="s">
        <v>3315</v>
      </c>
      <c r="AB768" s="27" t="s">
        <v>5695</v>
      </c>
      <c r="AC768" s="37" t="s">
        <v>5696</v>
      </c>
      <c r="AD768" s="38" t="s">
        <v>5697</v>
      </c>
      <c r="AE768" s="36">
        <v>45962</v>
      </c>
      <c r="AF768" s="19" t="s">
        <v>89</v>
      </c>
      <c r="AG768" s="19" t="s">
        <v>90</v>
      </c>
      <c r="AH768" s="19" t="s">
        <v>62</v>
      </c>
      <c r="AI768" s="19" t="s">
        <v>63</v>
      </c>
      <c r="AJ768" s="19" t="s">
        <v>5698</v>
      </c>
      <c r="AK768" s="19"/>
      <c r="AL768" s="19"/>
      <c r="AM768" s="19"/>
      <c r="AN768" s="19" t="s">
        <v>65</v>
      </c>
      <c r="AO768" s="23">
        <v>45982.956250000003</v>
      </c>
      <c r="AP768" s="26">
        <f t="shared" si="25"/>
        <v>15</v>
      </c>
    </row>
    <row r="769" spans="1:42" ht="32.25" hidden="1" customHeight="1">
      <c r="A769" s="19" t="s">
        <v>42</v>
      </c>
      <c r="B769" s="19" t="s">
        <v>3843</v>
      </c>
      <c r="C769" s="19" t="s">
        <v>5699</v>
      </c>
      <c r="D769" s="19" t="s">
        <v>45</v>
      </c>
      <c r="E769" s="19" t="s">
        <v>46</v>
      </c>
      <c r="F769" s="19" t="s">
        <v>5669</v>
      </c>
      <c r="G769" s="19" t="s">
        <v>226</v>
      </c>
      <c r="H769" s="19" t="s">
        <v>49</v>
      </c>
      <c r="I769" s="20">
        <v>45983.395138888889</v>
      </c>
      <c r="K769" s="19"/>
      <c r="L769" s="20">
        <v>45983.447916666657</v>
      </c>
      <c r="M769" s="19"/>
      <c r="N769" s="22">
        <f t="shared" si="24"/>
        <v>5.2777777767914813E-2</v>
      </c>
      <c r="O769" s="19" t="s">
        <v>63</v>
      </c>
      <c r="P769" s="19" t="s">
        <v>5700</v>
      </c>
      <c r="Q769" s="19" t="s">
        <v>5701</v>
      </c>
      <c r="R769" s="19"/>
      <c r="S769" s="19"/>
      <c r="U769" s="19"/>
      <c r="W769" s="19"/>
      <c r="X769" s="19" t="s">
        <v>314</v>
      </c>
      <c r="Y769" s="27" t="s">
        <v>147</v>
      </c>
      <c r="Z769" s="27" t="s">
        <v>78</v>
      </c>
      <c r="AA769" s="27" t="s">
        <v>78</v>
      </c>
      <c r="AB769" s="27" t="s">
        <v>78</v>
      </c>
      <c r="AC769" s="37" t="s">
        <v>78</v>
      </c>
      <c r="AD769" s="38" t="s">
        <v>78</v>
      </c>
      <c r="AE769" s="36">
        <v>45962</v>
      </c>
      <c r="AF769" s="19" t="s">
        <v>89</v>
      </c>
      <c r="AG769" s="19" t="s">
        <v>90</v>
      </c>
      <c r="AH769" s="19" t="s">
        <v>62</v>
      </c>
      <c r="AI769" s="19" t="s">
        <v>63</v>
      </c>
      <c r="AJ769" s="19" t="s">
        <v>5702</v>
      </c>
      <c r="AK769" s="19"/>
      <c r="AL769" s="19"/>
      <c r="AM769" s="19"/>
      <c r="AN769" s="19" t="s">
        <v>103</v>
      </c>
      <c r="AO769" s="23">
        <v>45983.395138888889</v>
      </c>
      <c r="AP769" s="26">
        <f t="shared" si="25"/>
        <v>76</v>
      </c>
    </row>
    <row r="770" spans="1:42" ht="32.25" hidden="1" customHeight="1">
      <c r="A770" s="19" t="s">
        <v>42</v>
      </c>
      <c r="C770" s="19" t="s">
        <v>2677</v>
      </c>
      <c r="D770" s="19" t="s">
        <v>45</v>
      </c>
      <c r="E770" s="19" t="s">
        <v>46</v>
      </c>
      <c r="F770" s="19" t="s">
        <v>5664</v>
      </c>
      <c r="G770" s="19" t="s">
        <v>226</v>
      </c>
      <c r="H770" s="19" t="s">
        <v>49</v>
      </c>
      <c r="I770" s="20">
        <v>45983.497916666667</v>
      </c>
      <c r="K770" s="19"/>
      <c r="L770" s="20">
        <v>45983.545138888891</v>
      </c>
      <c r="M770" s="19"/>
      <c r="N770" s="22">
        <f t="shared" si="24"/>
        <v>4.7222222223354038E-2</v>
      </c>
      <c r="O770" s="19" t="s">
        <v>63</v>
      </c>
      <c r="P770" s="19" t="s">
        <v>5665</v>
      </c>
      <c r="Q770" s="19" t="s">
        <v>5703</v>
      </c>
      <c r="R770" s="19"/>
      <c r="S770" s="19"/>
      <c r="U770" s="19"/>
      <c r="W770" s="19"/>
      <c r="X770" s="19" t="s">
        <v>314</v>
      </c>
      <c r="Y770" s="27" t="s">
        <v>147</v>
      </c>
      <c r="Z770" s="27" t="s">
        <v>78</v>
      </c>
      <c r="AA770" s="27" t="s">
        <v>78</v>
      </c>
      <c r="AB770" s="27" t="s">
        <v>78</v>
      </c>
      <c r="AC770" s="37" t="s">
        <v>78</v>
      </c>
      <c r="AD770" s="38" t="s">
        <v>78</v>
      </c>
      <c r="AE770" s="36">
        <v>45962</v>
      </c>
      <c r="AF770" s="19" t="s">
        <v>89</v>
      </c>
      <c r="AG770" s="19" t="s">
        <v>90</v>
      </c>
      <c r="AH770" s="19" t="s">
        <v>62</v>
      </c>
      <c r="AI770" s="19" t="s">
        <v>63</v>
      </c>
      <c r="AJ770" s="19" t="s">
        <v>5704</v>
      </c>
      <c r="AK770" s="19"/>
      <c r="AL770" s="19"/>
      <c r="AM770" s="19"/>
      <c r="AN770" s="19" t="s">
        <v>103</v>
      </c>
      <c r="AO770" s="23">
        <v>45983.497916666667</v>
      </c>
      <c r="AP770" s="26">
        <f t="shared" si="25"/>
        <v>68</v>
      </c>
    </row>
    <row r="771" spans="1:42" s="19" customFormat="1" ht="25.5" hidden="1" customHeight="1">
      <c r="A771" s="19" t="s">
        <v>42</v>
      </c>
      <c r="B771" s="19" t="s">
        <v>186</v>
      </c>
      <c r="C771" s="19" t="s">
        <v>577</v>
      </c>
      <c r="D771" s="19" t="s">
        <v>45</v>
      </c>
      <c r="E771" s="19" t="s">
        <v>46</v>
      </c>
      <c r="F771" s="19" t="s">
        <v>5705</v>
      </c>
      <c r="G771" s="19" t="s">
        <v>48</v>
      </c>
      <c r="H771" s="19" t="s">
        <v>49</v>
      </c>
      <c r="I771" s="20">
        <v>45983.8125</v>
      </c>
      <c r="J771" s="20"/>
      <c r="L771" s="20">
        <v>45983.857638888891</v>
      </c>
      <c r="N771" s="22">
        <f t="shared" si="24"/>
        <v>4.5138888890505768E-2</v>
      </c>
      <c r="O771" s="19" t="s">
        <v>50</v>
      </c>
      <c r="P771" s="19" t="s">
        <v>4260</v>
      </c>
      <c r="Q771" s="19" t="s">
        <v>5706</v>
      </c>
      <c r="T771" s="20"/>
      <c r="X771" s="19" t="s">
        <v>191</v>
      </c>
      <c r="Y771" s="27" t="s">
        <v>54</v>
      </c>
      <c r="Z771" s="27" t="s">
        <v>784</v>
      </c>
      <c r="AA771" s="27" t="s">
        <v>5707</v>
      </c>
      <c r="AB771" s="27" t="s">
        <v>5708</v>
      </c>
      <c r="AC771" s="37">
        <v>45983.814768518518</v>
      </c>
      <c r="AD771" s="38">
        <v>45983.821712962963</v>
      </c>
      <c r="AE771" s="36">
        <v>45962</v>
      </c>
      <c r="AF771" s="19" t="s">
        <v>89</v>
      </c>
      <c r="AG771" s="19" t="s">
        <v>90</v>
      </c>
      <c r="AH771" s="19" t="s">
        <v>62</v>
      </c>
      <c r="AI771" s="19" t="s">
        <v>63</v>
      </c>
      <c r="AJ771" s="19" t="s">
        <v>5709</v>
      </c>
      <c r="AN771" s="19" t="s">
        <v>103</v>
      </c>
      <c r="AO771" s="23">
        <v>45983.822222222218</v>
      </c>
      <c r="AP771" s="26">
        <f t="shared" si="25"/>
        <v>65</v>
      </c>
    </row>
    <row r="772" spans="1:42" s="19" customFormat="1" ht="25.5" hidden="1" customHeight="1">
      <c r="A772" s="19" t="s">
        <v>42</v>
      </c>
      <c r="B772" s="19" t="s">
        <v>186</v>
      </c>
      <c r="C772" s="19" t="s">
        <v>577</v>
      </c>
      <c r="D772" s="19" t="s">
        <v>45</v>
      </c>
      <c r="E772" s="19" t="s">
        <v>46</v>
      </c>
      <c r="F772" s="19" t="s">
        <v>5710</v>
      </c>
      <c r="G772" s="19" t="s">
        <v>48</v>
      </c>
      <c r="H772" s="19" t="s">
        <v>49</v>
      </c>
      <c r="I772" s="20">
        <v>45983.854166666657</v>
      </c>
      <c r="J772" s="20"/>
      <c r="L772" s="20">
        <v>45983.895833333343</v>
      </c>
      <c r="N772" s="22">
        <f t="shared" si="24"/>
        <v>4.166666668606922E-2</v>
      </c>
      <c r="O772" s="19" t="s">
        <v>50</v>
      </c>
      <c r="P772" s="19" t="s">
        <v>5711</v>
      </c>
      <c r="Q772" s="19" t="s">
        <v>5712</v>
      </c>
      <c r="T772" s="20"/>
      <c r="X772" s="19" t="s">
        <v>191</v>
      </c>
      <c r="Y772" s="27" t="s">
        <v>147</v>
      </c>
      <c r="Z772" s="27" t="s">
        <v>78</v>
      </c>
      <c r="AA772" s="27" t="s">
        <v>78</v>
      </c>
      <c r="AB772" s="27" t="s">
        <v>78</v>
      </c>
      <c r="AC772" s="37" t="s">
        <v>78</v>
      </c>
      <c r="AD772" s="38" t="s">
        <v>78</v>
      </c>
      <c r="AE772" s="36">
        <v>45962</v>
      </c>
      <c r="AF772" s="19" t="s">
        <v>89</v>
      </c>
      <c r="AG772" s="19" t="s">
        <v>90</v>
      </c>
      <c r="AH772" s="19" t="s">
        <v>62</v>
      </c>
      <c r="AI772" s="19" t="s">
        <v>63</v>
      </c>
      <c r="AJ772" s="19" t="s">
        <v>5713</v>
      </c>
      <c r="AN772" s="19" t="s">
        <v>65</v>
      </c>
      <c r="AO772" s="23">
        <v>45983.87222222222</v>
      </c>
      <c r="AP772" s="26">
        <f t="shared" si="25"/>
        <v>60</v>
      </c>
    </row>
    <row r="773" spans="1:42" s="19" customFormat="1" ht="32.25" hidden="1" customHeight="1">
      <c r="A773" s="19" t="s">
        <v>42</v>
      </c>
      <c r="B773" s="19" t="s">
        <v>309</v>
      </c>
      <c r="C773" s="19" t="s">
        <v>5280</v>
      </c>
      <c r="D773" s="19" t="s">
        <v>45</v>
      </c>
      <c r="E773" s="19" t="s">
        <v>46</v>
      </c>
      <c r="F773" s="19" t="s">
        <v>5714</v>
      </c>
      <c r="G773" s="19" t="s">
        <v>48</v>
      </c>
      <c r="H773" s="19" t="s">
        <v>49</v>
      </c>
      <c r="I773" s="20">
        <v>45983.842361111107</v>
      </c>
      <c r="J773" s="20"/>
      <c r="L773" s="20">
        <v>45983.979166666657</v>
      </c>
      <c r="N773" s="22">
        <f t="shared" si="24"/>
        <v>0.13680555555038154</v>
      </c>
      <c r="O773" s="19" t="s">
        <v>63</v>
      </c>
      <c r="P773" s="19" t="s">
        <v>5715</v>
      </c>
      <c r="Q773" s="19" t="s">
        <v>5716</v>
      </c>
      <c r="T773" s="20"/>
      <c r="X773" s="19" t="s">
        <v>314</v>
      </c>
      <c r="Y773" s="27" t="s">
        <v>54</v>
      </c>
      <c r="Z773" s="27" t="s">
        <v>1988</v>
      </c>
      <c r="AA773" s="27" t="s">
        <v>5717</v>
      </c>
      <c r="AB773" s="27" t="s">
        <v>5718</v>
      </c>
      <c r="AC773" s="37" t="s">
        <v>5719</v>
      </c>
      <c r="AD773" s="38" t="s">
        <v>5720</v>
      </c>
      <c r="AE773" s="36">
        <v>45962</v>
      </c>
      <c r="AF773" s="19" t="s">
        <v>89</v>
      </c>
      <c r="AG773" s="19" t="s">
        <v>90</v>
      </c>
      <c r="AH773" s="19" t="s">
        <v>62</v>
      </c>
      <c r="AI773" s="19" t="s">
        <v>63</v>
      </c>
      <c r="AJ773" s="19" t="s">
        <v>5721</v>
      </c>
      <c r="AN773" s="19" t="s">
        <v>65</v>
      </c>
      <c r="AO773" s="23">
        <v>45983.842361111107</v>
      </c>
      <c r="AP773" s="26">
        <f t="shared" si="25"/>
        <v>197</v>
      </c>
    </row>
    <row r="774" spans="1:42" ht="25.5" hidden="1" customHeight="1">
      <c r="A774" s="19" t="s">
        <v>116</v>
      </c>
      <c r="C774" s="19" t="s">
        <v>1734</v>
      </c>
      <c r="D774" s="19" t="s">
        <v>45</v>
      </c>
      <c r="E774" s="19" t="s">
        <v>46</v>
      </c>
      <c r="F774" s="19" t="s">
        <v>5722</v>
      </c>
      <c r="G774" s="19" t="s">
        <v>48</v>
      </c>
      <c r="H774" s="19" t="s">
        <v>49</v>
      </c>
      <c r="I774" s="20">
        <v>45984.304166666669</v>
      </c>
      <c r="K774" s="19"/>
      <c r="L774" s="20">
        <v>45984.357638888891</v>
      </c>
      <c r="M774" s="19"/>
      <c r="N774" s="22">
        <f t="shared" si="24"/>
        <v>5.3472222221898846E-2</v>
      </c>
      <c r="O774" s="19" t="s">
        <v>50</v>
      </c>
      <c r="P774" s="19" t="s">
        <v>5723</v>
      </c>
      <c r="Q774" s="19" t="s">
        <v>5724</v>
      </c>
      <c r="R774" s="19"/>
      <c r="S774" s="19"/>
      <c r="U774" s="19"/>
      <c r="W774" s="19"/>
      <c r="X774" s="19" t="s">
        <v>122</v>
      </c>
      <c r="Y774" s="27" t="s">
        <v>147</v>
      </c>
      <c r="Z774" s="27" t="s">
        <v>78</v>
      </c>
      <c r="AA774" s="27" t="s">
        <v>78</v>
      </c>
      <c r="AB774" s="27" t="s">
        <v>78</v>
      </c>
      <c r="AC774" s="37" t="s">
        <v>78</v>
      </c>
      <c r="AD774" s="38" t="s">
        <v>78</v>
      </c>
      <c r="AE774" s="36">
        <v>45962</v>
      </c>
      <c r="AF774" s="19" t="s">
        <v>99</v>
      </c>
      <c r="AG774" s="19" t="s">
        <v>100</v>
      </c>
      <c r="AH774" s="19" t="s">
        <v>62</v>
      </c>
      <c r="AI774" s="19" t="s">
        <v>63</v>
      </c>
      <c r="AJ774" s="19" t="s">
        <v>5725</v>
      </c>
      <c r="AK774" s="19" t="s">
        <v>5726</v>
      </c>
      <c r="AL774" s="19"/>
      <c r="AM774" s="19"/>
      <c r="AN774" s="19" t="s">
        <v>65</v>
      </c>
      <c r="AO774" s="23">
        <v>45984.304166666669</v>
      </c>
      <c r="AP774" s="26">
        <f t="shared" si="25"/>
        <v>77</v>
      </c>
    </row>
    <row r="775" spans="1:42" s="31" customFormat="1" ht="25.5" hidden="1" customHeight="1">
      <c r="A775" s="19" t="s">
        <v>42</v>
      </c>
      <c r="B775" s="19" t="s">
        <v>5727</v>
      </c>
      <c r="C775" s="19" t="s">
        <v>834</v>
      </c>
      <c r="D775" s="19" t="s">
        <v>45</v>
      </c>
      <c r="E775" s="19" t="s">
        <v>46</v>
      </c>
      <c r="F775" s="19" t="s">
        <v>5728</v>
      </c>
      <c r="G775" s="19" t="s">
        <v>48</v>
      </c>
      <c r="H775" s="19" t="s">
        <v>49</v>
      </c>
      <c r="I775" s="20">
        <v>45984.311111111107</v>
      </c>
      <c r="J775" s="20"/>
      <c r="K775" s="19"/>
      <c r="L775" s="20">
        <v>45984.376388888893</v>
      </c>
      <c r="M775" s="19"/>
      <c r="N775" s="22">
        <f t="shared" si="24"/>
        <v>6.5277777786832303E-2</v>
      </c>
      <c r="O775" s="19" t="s">
        <v>50</v>
      </c>
      <c r="P775" s="19" t="s">
        <v>5729</v>
      </c>
      <c r="Q775" s="19" t="s">
        <v>5730</v>
      </c>
      <c r="R775" s="19"/>
      <c r="S775" s="19"/>
      <c r="T775" s="20"/>
      <c r="U775" s="19"/>
      <c r="V775" s="19"/>
      <c r="W775" s="19"/>
      <c r="X775" s="19" t="s">
        <v>98</v>
      </c>
      <c r="Y775" s="27" t="s">
        <v>133</v>
      </c>
      <c r="Z775" s="27" t="s">
        <v>5731</v>
      </c>
      <c r="AA775" s="27" t="s">
        <v>5732</v>
      </c>
      <c r="AB775" s="27" t="s">
        <v>5733</v>
      </c>
      <c r="AC775" s="37" t="s">
        <v>5734</v>
      </c>
      <c r="AD775" s="38" t="s">
        <v>5735</v>
      </c>
      <c r="AE775" s="36">
        <v>45962</v>
      </c>
      <c r="AF775" s="19" t="s">
        <v>60</v>
      </c>
      <c r="AG775" s="19" t="s">
        <v>78</v>
      </c>
      <c r="AH775" s="19" t="s">
        <v>62</v>
      </c>
      <c r="AI775" s="19" t="s">
        <v>63</v>
      </c>
      <c r="AJ775" s="19" t="s">
        <v>5736</v>
      </c>
      <c r="AK775" s="19"/>
      <c r="AL775" s="19"/>
      <c r="AM775" s="19"/>
      <c r="AN775" s="19" t="s">
        <v>65</v>
      </c>
      <c r="AO775" s="23">
        <v>45984.311111111107</v>
      </c>
      <c r="AP775" s="26">
        <f t="shared" si="25"/>
        <v>94</v>
      </c>
    </row>
    <row r="776" spans="1:42" ht="25.5" customHeight="1">
      <c r="A776" s="19" t="s">
        <v>42</v>
      </c>
      <c r="B776" s="19" t="s">
        <v>5737</v>
      </c>
      <c r="C776" s="19" t="s">
        <v>2019</v>
      </c>
      <c r="D776" s="19" t="s">
        <v>45</v>
      </c>
      <c r="E776" s="19" t="s">
        <v>46</v>
      </c>
      <c r="F776" s="19" t="s">
        <v>5738</v>
      </c>
      <c r="G776" s="19" t="s">
        <v>48</v>
      </c>
      <c r="H776" s="19" t="s">
        <v>152</v>
      </c>
      <c r="I776" s="20">
        <v>45984.412499999999</v>
      </c>
      <c r="J776" s="20">
        <v>45984.464583333327</v>
      </c>
      <c r="K776" s="19"/>
      <c r="L776" s="20">
        <v>45984.487500000003</v>
      </c>
      <c r="M776" s="19"/>
      <c r="N776" s="22">
        <f t="shared" si="24"/>
        <v>7.5000000004365575E-2</v>
      </c>
      <c r="O776" s="19" t="s">
        <v>50</v>
      </c>
      <c r="P776" s="19" t="s">
        <v>5739</v>
      </c>
      <c r="Q776" s="19" t="s">
        <v>5740</v>
      </c>
      <c r="R776" s="19" t="s">
        <v>5741</v>
      </c>
      <c r="S776" s="19" t="s">
        <v>5742</v>
      </c>
      <c r="T776" s="20">
        <v>45984.571168981478</v>
      </c>
      <c r="U776" s="19">
        <v>45987.671863425923</v>
      </c>
      <c r="V776" s="19" t="s">
        <v>157</v>
      </c>
      <c r="W776" s="19"/>
      <c r="X776" s="19" t="s">
        <v>109</v>
      </c>
      <c r="Y776" s="27" t="s">
        <v>54</v>
      </c>
      <c r="Z776" s="27" t="s">
        <v>5743</v>
      </c>
      <c r="AA776" s="27" t="s">
        <v>5744</v>
      </c>
      <c r="AB776" s="27" t="s">
        <v>5745</v>
      </c>
      <c r="AC776" s="37" t="s">
        <v>5746</v>
      </c>
      <c r="AD776" s="38" t="s">
        <v>5747</v>
      </c>
      <c r="AE776" s="36">
        <v>45962</v>
      </c>
      <c r="AF776" s="19" t="s">
        <v>89</v>
      </c>
      <c r="AG776" s="19" t="s">
        <v>61</v>
      </c>
      <c r="AH776" s="19" t="s">
        <v>62</v>
      </c>
      <c r="AI776" s="19" t="s">
        <v>63</v>
      </c>
      <c r="AJ776" s="19" t="s">
        <v>5748</v>
      </c>
      <c r="AK776" s="19"/>
      <c r="AL776" s="19"/>
      <c r="AM776" s="19"/>
      <c r="AN776" s="19" t="s">
        <v>103</v>
      </c>
      <c r="AO776" s="23">
        <v>45984.412499999999</v>
      </c>
      <c r="AP776" s="26">
        <f t="shared" si="25"/>
        <v>108</v>
      </c>
    </row>
    <row r="777" spans="1:42" ht="25.5" hidden="1" customHeight="1">
      <c r="A777" s="19" t="s">
        <v>42</v>
      </c>
      <c r="C777" s="19" t="s">
        <v>5749</v>
      </c>
      <c r="D777" s="19" t="s">
        <v>45</v>
      </c>
      <c r="E777" s="19" t="s">
        <v>46</v>
      </c>
      <c r="F777" s="19" t="s">
        <v>5750</v>
      </c>
      <c r="G777" s="19" t="s">
        <v>48</v>
      </c>
      <c r="H777" s="19" t="s">
        <v>49</v>
      </c>
      <c r="I777" s="20">
        <v>45985.382638888892</v>
      </c>
      <c r="K777" s="19"/>
      <c r="L777" s="20">
        <v>45985.431944444441</v>
      </c>
      <c r="M777" s="19"/>
      <c r="N777" s="22">
        <f t="shared" si="24"/>
        <v>4.930555554892635E-2</v>
      </c>
      <c r="O777" s="19" t="s">
        <v>63</v>
      </c>
      <c r="P777" s="19" t="s">
        <v>5751</v>
      </c>
      <c r="Q777" s="19" t="s">
        <v>5752</v>
      </c>
      <c r="R777" s="19"/>
      <c r="S777" s="19"/>
      <c r="U777" s="19"/>
      <c r="W777" s="19"/>
      <c r="X777" s="19" t="s">
        <v>5753</v>
      </c>
      <c r="Y777" s="27" t="s">
        <v>147</v>
      </c>
      <c r="Z777" s="27" t="s">
        <v>78</v>
      </c>
      <c r="AA777" s="27" t="s">
        <v>78</v>
      </c>
      <c r="AB777" s="27" t="s">
        <v>78</v>
      </c>
      <c r="AC777" s="37" t="s">
        <v>78</v>
      </c>
      <c r="AD777" s="38" t="s">
        <v>78</v>
      </c>
      <c r="AE777" s="36">
        <v>45962</v>
      </c>
      <c r="AF777" s="19" t="s">
        <v>89</v>
      </c>
      <c r="AG777" s="19" t="s">
        <v>90</v>
      </c>
      <c r="AH777" s="19" t="s">
        <v>62</v>
      </c>
      <c r="AI777" s="19" t="s">
        <v>63</v>
      </c>
      <c r="AJ777" s="19" t="s">
        <v>5754</v>
      </c>
      <c r="AK777" s="19"/>
      <c r="AL777" s="19"/>
      <c r="AM777" s="19"/>
      <c r="AN777" s="19" t="s">
        <v>65</v>
      </c>
      <c r="AO777" s="23">
        <v>45985.382638888892</v>
      </c>
      <c r="AP777" s="26">
        <f t="shared" si="25"/>
        <v>71</v>
      </c>
    </row>
    <row r="778" spans="1:42" ht="25.5" hidden="1" customHeight="1">
      <c r="A778" s="19" t="s">
        <v>42</v>
      </c>
      <c r="B778" s="19" t="s">
        <v>186</v>
      </c>
      <c r="C778" s="19" t="s">
        <v>577</v>
      </c>
      <c r="D778" s="19" t="s">
        <v>45</v>
      </c>
      <c r="E778" s="19" t="s">
        <v>967</v>
      </c>
      <c r="F778" s="19" t="s">
        <v>5755</v>
      </c>
      <c r="G778" s="19" t="s">
        <v>48</v>
      </c>
      <c r="H778" s="19" t="s">
        <v>49</v>
      </c>
      <c r="I778" s="20">
        <v>45986.274305555547</v>
      </c>
      <c r="K778" s="19"/>
      <c r="L778" s="20">
        <v>45986.290277777778</v>
      </c>
      <c r="M778" s="19"/>
      <c r="N778" s="22">
        <f t="shared" si="24"/>
        <v>1.5972222230629995E-2</v>
      </c>
      <c r="O778" s="19" t="s">
        <v>50</v>
      </c>
      <c r="P778" s="19" t="s">
        <v>5756</v>
      </c>
      <c r="Q778" s="19" t="s">
        <v>5757</v>
      </c>
      <c r="R778" s="19"/>
      <c r="S778" s="19"/>
      <c r="U778" s="19"/>
      <c r="W778" s="19"/>
      <c r="X778" s="19" t="s">
        <v>191</v>
      </c>
      <c r="Y778" s="27" t="s">
        <v>133</v>
      </c>
      <c r="Z778" s="27" t="s">
        <v>209</v>
      </c>
      <c r="AA778" s="27" t="s">
        <v>5758</v>
      </c>
      <c r="AB778" s="27" t="s">
        <v>5759</v>
      </c>
      <c r="AC778" s="37">
        <v>45986.271527777782</v>
      </c>
      <c r="AD778" s="38">
        <v>45986.290277777778</v>
      </c>
      <c r="AE778" s="36">
        <v>45962</v>
      </c>
      <c r="AF778" s="19" t="s">
        <v>89</v>
      </c>
      <c r="AG778" s="19" t="s">
        <v>90</v>
      </c>
      <c r="AH778" s="19" t="s">
        <v>62</v>
      </c>
      <c r="AI778" s="19" t="s">
        <v>63</v>
      </c>
      <c r="AJ778" s="19" t="s">
        <v>5760</v>
      </c>
      <c r="AK778" s="19"/>
      <c r="AL778" s="19"/>
      <c r="AM778" s="19"/>
      <c r="AN778" s="19" t="s">
        <v>65</v>
      </c>
      <c r="AO778" s="23">
        <v>45986.274305555547</v>
      </c>
      <c r="AP778" s="26">
        <f t="shared" si="25"/>
        <v>23</v>
      </c>
    </row>
    <row r="779" spans="1:42" ht="25.5" hidden="1" customHeight="1">
      <c r="A779" s="19" t="s">
        <v>42</v>
      </c>
      <c r="C779" s="19" t="s">
        <v>5761</v>
      </c>
      <c r="D779" s="19" t="s">
        <v>45</v>
      </c>
      <c r="E779" s="19" t="s">
        <v>46</v>
      </c>
      <c r="F779" s="19" t="s">
        <v>5762</v>
      </c>
      <c r="G779" s="19" t="s">
        <v>48</v>
      </c>
      <c r="H779" s="19" t="s">
        <v>49</v>
      </c>
      <c r="I779" s="20">
        <v>45986.21875</v>
      </c>
      <c r="K779" s="19"/>
      <c r="L779" s="20">
        <v>45986.392361111109</v>
      </c>
      <c r="M779" s="19"/>
      <c r="N779" s="22">
        <f t="shared" si="24"/>
        <v>0.17361111110949423</v>
      </c>
      <c r="O779" s="19" t="s">
        <v>63</v>
      </c>
      <c r="P779" s="19" t="s">
        <v>5763</v>
      </c>
      <c r="Q779" s="19" t="s">
        <v>5764</v>
      </c>
      <c r="R779" s="19"/>
      <c r="S779" s="19"/>
      <c r="U779" s="19"/>
      <c r="W779" s="19"/>
      <c r="X779" s="19" t="s">
        <v>72</v>
      </c>
      <c r="Y779" s="27" t="s">
        <v>147</v>
      </c>
      <c r="Z779" s="27" t="s">
        <v>78</v>
      </c>
      <c r="AA779" s="27" t="s">
        <v>78</v>
      </c>
      <c r="AB779" s="27" t="s">
        <v>78</v>
      </c>
      <c r="AC779" s="37" t="s">
        <v>78</v>
      </c>
      <c r="AD779" s="38" t="s">
        <v>78</v>
      </c>
      <c r="AE779" s="36">
        <v>45962</v>
      </c>
      <c r="AF779" s="19" t="s">
        <v>89</v>
      </c>
      <c r="AG779" s="19" t="s">
        <v>90</v>
      </c>
      <c r="AH779" s="19" t="s">
        <v>62</v>
      </c>
      <c r="AI779" s="19" t="s">
        <v>63</v>
      </c>
      <c r="AJ779" s="19" t="s">
        <v>5765</v>
      </c>
      <c r="AK779" s="19"/>
      <c r="AL779" s="19"/>
      <c r="AM779" s="19"/>
      <c r="AN779" s="19" t="s">
        <v>65</v>
      </c>
      <c r="AO779" s="23">
        <v>45986.21875</v>
      </c>
      <c r="AP779" s="26">
        <f t="shared" si="25"/>
        <v>250</v>
      </c>
    </row>
    <row r="780" spans="1:42" ht="32.25" hidden="1" customHeight="1">
      <c r="A780" s="19" t="s">
        <v>42</v>
      </c>
      <c r="B780" s="19" t="s">
        <v>3843</v>
      </c>
      <c r="C780" s="19" t="s">
        <v>2101</v>
      </c>
      <c r="D780" s="19" t="s">
        <v>45</v>
      </c>
      <c r="E780" s="19" t="s">
        <v>46</v>
      </c>
      <c r="F780" s="19" t="s">
        <v>5766</v>
      </c>
      <c r="G780" s="19" t="s">
        <v>48</v>
      </c>
      <c r="H780" s="19" t="s">
        <v>49</v>
      </c>
      <c r="I780" s="20">
        <v>45986.6</v>
      </c>
      <c r="K780" s="19"/>
      <c r="L780" s="20">
        <v>45986.606249999997</v>
      </c>
      <c r="M780" s="19"/>
      <c r="N780" s="22">
        <f t="shared" si="24"/>
        <v>6.2499999985448085E-3</v>
      </c>
      <c r="O780" s="19" t="s">
        <v>63</v>
      </c>
      <c r="P780" s="19" t="s">
        <v>5767</v>
      </c>
      <c r="Q780" s="19" t="s">
        <v>5768</v>
      </c>
      <c r="R780" s="19"/>
      <c r="S780" s="19"/>
      <c r="U780" s="19"/>
      <c r="W780" s="19"/>
      <c r="X780" s="19" t="s">
        <v>314</v>
      </c>
      <c r="Y780" s="27" t="s">
        <v>133</v>
      </c>
      <c r="Z780" s="27" t="s">
        <v>414</v>
      </c>
      <c r="AA780" s="27" t="s">
        <v>5769</v>
      </c>
      <c r="AB780" s="27" t="s">
        <v>5770</v>
      </c>
      <c r="AC780" s="37">
        <v>45986.602777777778</v>
      </c>
      <c r="AD780" s="38">
        <v>45986.609722222223</v>
      </c>
      <c r="AE780" s="36">
        <v>45962</v>
      </c>
      <c r="AF780" s="19" t="s">
        <v>89</v>
      </c>
      <c r="AG780" s="19" t="s">
        <v>90</v>
      </c>
      <c r="AH780" s="19" t="s">
        <v>62</v>
      </c>
      <c r="AI780" s="19" t="s">
        <v>63</v>
      </c>
      <c r="AJ780" s="19" t="s">
        <v>5771</v>
      </c>
      <c r="AK780" s="19"/>
      <c r="AL780" s="19"/>
      <c r="AM780" s="19"/>
      <c r="AN780" s="19" t="s">
        <v>103</v>
      </c>
      <c r="AO780" s="23">
        <v>45986.6</v>
      </c>
      <c r="AP780" s="26">
        <f t="shared" si="25"/>
        <v>9</v>
      </c>
    </row>
    <row r="781" spans="1:42" ht="25.5" hidden="1" customHeight="1">
      <c r="A781" s="19" t="s">
        <v>42</v>
      </c>
      <c r="B781" s="19" t="s">
        <v>5772</v>
      </c>
      <c r="C781" s="19" t="s">
        <v>5773</v>
      </c>
      <c r="D781" s="19" t="s">
        <v>45</v>
      </c>
      <c r="E781" s="19" t="s">
        <v>46</v>
      </c>
      <c r="F781" s="19" t="s">
        <v>5774</v>
      </c>
      <c r="G781" s="19" t="s">
        <v>48</v>
      </c>
      <c r="H781" s="19" t="s">
        <v>49</v>
      </c>
      <c r="I781" s="20">
        <v>45986.989583333343</v>
      </c>
      <c r="K781" s="19"/>
      <c r="L781" s="20">
        <v>45987.003472222219</v>
      </c>
      <c r="M781" s="19"/>
      <c r="N781" s="22">
        <f t="shared" si="24"/>
        <v>1.3888888875953853E-2</v>
      </c>
      <c r="O781" s="19" t="s">
        <v>50</v>
      </c>
      <c r="P781" s="19" t="s">
        <v>5775</v>
      </c>
      <c r="Q781" s="19" t="s">
        <v>5776</v>
      </c>
      <c r="R781" s="19"/>
      <c r="S781" s="19"/>
      <c r="U781" s="19"/>
      <c r="W781" s="19"/>
      <c r="X781" s="19" t="s">
        <v>662</v>
      </c>
      <c r="Y781" s="27" t="s">
        <v>133</v>
      </c>
      <c r="Z781" s="27" t="s">
        <v>5777</v>
      </c>
      <c r="AA781" s="27" t="s">
        <v>5778</v>
      </c>
      <c r="AB781" s="27" t="s">
        <v>5779</v>
      </c>
      <c r="AC781" s="37" t="s">
        <v>5780</v>
      </c>
      <c r="AD781" s="38" t="s">
        <v>5781</v>
      </c>
      <c r="AE781" s="36">
        <v>45962</v>
      </c>
      <c r="AF781" s="19" t="s">
        <v>99</v>
      </c>
      <c r="AG781" s="19" t="s">
        <v>100</v>
      </c>
      <c r="AH781" s="19" t="s">
        <v>62</v>
      </c>
      <c r="AI781" s="19" t="s">
        <v>63</v>
      </c>
      <c r="AJ781" s="19" t="s">
        <v>5782</v>
      </c>
      <c r="AK781" s="19" t="s">
        <v>5783</v>
      </c>
      <c r="AL781" s="19"/>
      <c r="AM781" s="19"/>
      <c r="AN781" s="19" t="s">
        <v>65</v>
      </c>
      <c r="AO781" s="23">
        <v>45986.993750000001</v>
      </c>
      <c r="AP781" s="26">
        <f t="shared" si="25"/>
        <v>20</v>
      </c>
    </row>
    <row r="782" spans="1:42" ht="25.5" customHeight="1">
      <c r="A782" s="19" t="s">
        <v>42</v>
      </c>
      <c r="C782" s="19" t="s">
        <v>5784</v>
      </c>
      <c r="D782" s="19" t="s">
        <v>45</v>
      </c>
      <c r="E782" s="19" t="s">
        <v>46</v>
      </c>
      <c r="F782" s="19" t="s">
        <v>5785</v>
      </c>
      <c r="G782" s="19" t="s">
        <v>48</v>
      </c>
      <c r="H782" s="19" t="s">
        <v>144</v>
      </c>
      <c r="I782" s="20">
        <v>45987.25</v>
      </c>
      <c r="J782" s="20">
        <v>45987.270833333343</v>
      </c>
      <c r="K782" s="19">
        <v>45987.291666666657</v>
      </c>
      <c r="L782" s="20">
        <v>45987.416666666657</v>
      </c>
      <c r="M782" s="19"/>
      <c r="N782" s="22">
        <f t="shared" si="24"/>
        <v>0.16666666665696539</v>
      </c>
      <c r="O782" s="19" t="s">
        <v>50</v>
      </c>
      <c r="P782" s="19" t="s">
        <v>5786</v>
      </c>
      <c r="Q782" s="19" t="s">
        <v>5787</v>
      </c>
      <c r="R782" s="19"/>
      <c r="S782" s="19"/>
      <c r="U782" s="19"/>
      <c r="W782" s="19"/>
      <c r="X782" s="19" t="s">
        <v>72</v>
      </c>
      <c r="Y782" s="27" t="s">
        <v>147</v>
      </c>
      <c r="Z782" s="27" t="s">
        <v>78</v>
      </c>
      <c r="AA782" s="27" t="s">
        <v>147</v>
      </c>
      <c r="AB782" s="27" t="s">
        <v>147</v>
      </c>
      <c r="AC782" s="37" t="s">
        <v>78</v>
      </c>
      <c r="AD782" s="38" t="s">
        <v>78</v>
      </c>
      <c r="AE782" s="36">
        <v>45962</v>
      </c>
      <c r="AF782" s="19" t="s">
        <v>99</v>
      </c>
      <c r="AG782" s="19" t="s">
        <v>768</v>
      </c>
      <c r="AH782" s="19" t="s">
        <v>62</v>
      </c>
      <c r="AI782" s="19" t="s">
        <v>63</v>
      </c>
      <c r="AJ782" s="19" t="s">
        <v>5788</v>
      </c>
      <c r="AK782" s="19" t="s">
        <v>5789</v>
      </c>
      <c r="AL782" s="19"/>
      <c r="AM782" s="19"/>
      <c r="AN782" s="19" t="s">
        <v>65</v>
      </c>
      <c r="AO782" s="23">
        <v>45987.270833333343</v>
      </c>
      <c r="AP782" s="26">
        <f t="shared" si="25"/>
        <v>240</v>
      </c>
    </row>
    <row r="783" spans="1:42" ht="25.5" hidden="1" customHeight="1">
      <c r="A783" s="19" t="s">
        <v>92</v>
      </c>
      <c r="B783" s="19" t="s">
        <v>1917</v>
      </c>
      <c r="C783" s="19" t="s">
        <v>1021</v>
      </c>
      <c r="D783" s="19" t="s">
        <v>45</v>
      </c>
      <c r="E783" s="19" t="s">
        <v>46</v>
      </c>
      <c r="F783" s="19" t="s">
        <v>5790</v>
      </c>
      <c r="G783" s="19" t="s">
        <v>48</v>
      </c>
      <c r="H783" s="19" t="s">
        <v>49</v>
      </c>
      <c r="I783" s="20">
        <v>45987.59097222222</v>
      </c>
      <c r="K783" s="19"/>
      <c r="L783" s="20">
        <v>45987.631944444453</v>
      </c>
      <c r="M783" s="19"/>
      <c r="N783" s="22">
        <f t="shared" si="24"/>
        <v>4.0972222232085187E-2</v>
      </c>
      <c r="O783" s="19" t="s">
        <v>50</v>
      </c>
      <c r="P783" s="19" t="s">
        <v>5169</v>
      </c>
      <c r="Q783" s="19" t="s">
        <v>5791</v>
      </c>
      <c r="R783" s="19"/>
      <c r="S783" s="19"/>
      <c r="U783" s="19"/>
      <c r="W783" s="19"/>
      <c r="X783" s="19" t="s">
        <v>109</v>
      </c>
      <c r="Y783" s="27" t="s">
        <v>54</v>
      </c>
      <c r="Z783" s="27" t="s">
        <v>1852</v>
      </c>
      <c r="AA783" s="27" t="s">
        <v>5792</v>
      </c>
      <c r="AB783" s="27" t="s">
        <v>5793</v>
      </c>
      <c r="AC783" s="37" t="s">
        <v>5794</v>
      </c>
      <c r="AD783" s="38" t="s">
        <v>5795</v>
      </c>
      <c r="AE783" s="36">
        <v>45962</v>
      </c>
      <c r="AF783" s="19" t="s">
        <v>60</v>
      </c>
      <c r="AG783" s="19" t="s">
        <v>78</v>
      </c>
      <c r="AH783" s="19" t="s">
        <v>78</v>
      </c>
      <c r="AI783" s="19" t="s">
        <v>63</v>
      </c>
      <c r="AJ783" s="19" t="s">
        <v>5796</v>
      </c>
      <c r="AK783" s="19"/>
      <c r="AL783" s="19"/>
      <c r="AM783" s="19"/>
      <c r="AN783" s="19" t="s">
        <v>103</v>
      </c>
      <c r="AO783" s="23">
        <v>45987.59097222222</v>
      </c>
      <c r="AP783" s="26">
        <f t="shared" si="25"/>
        <v>59</v>
      </c>
    </row>
    <row r="784" spans="1:42" ht="25.5" hidden="1" customHeight="1">
      <c r="A784" s="19" t="s">
        <v>42</v>
      </c>
      <c r="C784" s="19" t="s">
        <v>5797</v>
      </c>
      <c r="D784" s="19" t="s">
        <v>45</v>
      </c>
      <c r="E784" s="19" t="s">
        <v>46</v>
      </c>
      <c r="F784" s="19" t="s">
        <v>5798</v>
      </c>
      <c r="G784" s="19" t="s">
        <v>48</v>
      </c>
      <c r="H784" s="19" t="s">
        <v>49</v>
      </c>
      <c r="I784" s="20">
        <v>45987.645138888889</v>
      </c>
      <c r="K784" s="19"/>
      <c r="L784" s="20">
        <v>45987.725694444453</v>
      </c>
      <c r="M784" s="19"/>
      <c r="N784" s="22">
        <f t="shared" ref="N784:N847" si="26">L784-I784</f>
        <v>8.0555555563478265E-2</v>
      </c>
      <c r="O784" s="19" t="s">
        <v>63</v>
      </c>
      <c r="P784" s="19" t="s">
        <v>5799</v>
      </c>
      <c r="Q784" s="19" t="s">
        <v>5800</v>
      </c>
      <c r="R784" s="19"/>
      <c r="S784" s="19"/>
      <c r="U784" s="19"/>
      <c r="W784" s="19"/>
      <c r="X784" s="19" t="s">
        <v>509</v>
      </c>
      <c r="Y784" s="27" t="s">
        <v>147</v>
      </c>
      <c r="Z784" s="27" t="s">
        <v>78</v>
      </c>
      <c r="AA784" s="27" t="s">
        <v>78</v>
      </c>
      <c r="AB784" s="27" t="s">
        <v>63</v>
      </c>
      <c r="AC784" s="37" t="s">
        <v>78</v>
      </c>
      <c r="AD784" s="38" t="s">
        <v>78</v>
      </c>
      <c r="AE784" s="36">
        <v>45962</v>
      </c>
      <c r="AF784" s="19" t="s">
        <v>89</v>
      </c>
      <c r="AG784" s="19" t="s">
        <v>90</v>
      </c>
      <c r="AH784" s="19" t="s">
        <v>62</v>
      </c>
      <c r="AI784" s="19" t="s">
        <v>63</v>
      </c>
      <c r="AJ784" s="19" t="s">
        <v>5801</v>
      </c>
      <c r="AK784" s="19"/>
      <c r="AL784" s="19"/>
      <c r="AM784" s="19"/>
      <c r="AN784" s="19" t="s">
        <v>65</v>
      </c>
      <c r="AO784" s="23">
        <v>45987.645138888889</v>
      </c>
      <c r="AP784" s="26">
        <f t="shared" ref="AP784:AP847" si="27">((HOUR(N784)*60)+MINUTE(N784)+(SECOND(N784)/60))</f>
        <v>116</v>
      </c>
    </row>
    <row r="785" spans="1:42" ht="25.5" hidden="1" customHeight="1">
      <c r="A785" s="19" t="s">
        <v>92</v>
      </c>
      <c r="B785" s="19" t="s">
        <v>1917</v>
      </c>
      <c r="C785" s="19" t="s">
        <v>2480</v>
      </c>
      <c r="D785" s="19" t="s">
        <v>45</v>
      </c>
      <c r="E785" s="19" t="s">
        <v>46</v>
      </c>
      <c r="F785" s="19" t="s">
        <v>5790</v>
      </c>
      <c r="G785" s="19" t="s">
        <v>226</v>
      </c>
      <c r="H785" s="19" t="s">
        <v>49</v>
      </c>
      <c r="I785" s="20">
        <v>45987.717361111107</v>
      </c>
      <c r="K785" s="19"/>
      <c r="L785" s="20">
        <v>45987.777777777781</v>
      </c>
      <c r="M785" s="19"/>
      <c r="N785" s="22">
        <f t="shared" si="26"/>
        <v>6.0416666674427688E-2</v>
      </c>
      <c r="O785" s="19" t="s">
        <v>50</v>
      </c>
      <c r="P785" s="19" t="s">
        <v>5169</v>
      </c>
      <c r="Q785" s="19" t="s">
        <v>5791</v>
      </c>
      <c r="R785" s="19"/>
      <c r="S785" s="19"/>
      <c r="U785" s="19"/>
      <c r="W785" s="19"/>
      <c r="X785" s="19" t="s">
        <v>109</v>
      </c>
      <c r="Y785" s="27" t="s">
        <v>147</v>
      </c>
      <c r="Z785" s="27" t="s">
        <v>78</v>
      </c>
      <c r="AA785" s="27" t="s">
        <v>78</v>
      </c>
      <c r="AB785" s="27" t="s">
        <v>147</v>
      </c>
      <c r="AC785" s="37" t="s">
        <v>78</v>
      </c>
      <c r="AD785" s="38" t="s">
        <v>78</v>
      </c>
      <c r="AE785" s="36">
        <v>45962</v>
      </c>
      <c r="AF785" s="19" t="s">
        <v>60</v>
      </c>
      <c r="AG785" s="19" t="s">
        <v>78</v>
      </c>
      <c r="AH785" s="19" t="s">
        <v>78</v>
      </c>
      <c r="AI785" s="19" t="s">
        <v>50</v>
      </c>
      <c r="AJ785" s="19" t="s">
        <v>5802</v>
      </c>
      <c r="AK785" s="19"/>
      <c r="AL785" s="19"/>
      <c r="AM785" s="19"/>
      <c r="AN785" s="19" t="s">
        <v>103</v>
      </c>
      <c r="AO785" s="23">
        <v>45987.59097222222</v>
      </c>
      <c r="AP785" s="26">
        <f t="shared" si="27"/>
        <v>87</v>
      </c>
    </row>
    <row r="786" spans="1:42" ht="32.25" hidden="1" customHeight="1">
      <c r="A786" s="19" t="s">
        <v>42</v>
      </c>
      <c r="B786" s="19" t="s">
        <v>309</v>
      </c>
      <c r="C786" s="19" t="s">
        <v>5280</v>
      </c>
      <c r="D786" s="19" t="s">
        <v>45</v>
      </c>
      <c r="E786" s="19" t="s">
        <v>46</v>
      </c>
      <c r="F786" s="19" t="s">
        <v>5803</v>
      </c>
      <c r="G786" s="19" t="s">
        <v>48</v>
      </c>
      <c r="H786" s="19" t="s">
        <v>49</v>
      </c>
      <c r="I786" s="20">
        <v>45987.79583333333</v>
      </c>
      <c r="K786" s="19"/>
      <c r="L786" s="20">
        <v>45987.90347222222</v>
      </c>
      <c r="M786" s="19"/>
      <c r="N786" s="22">
        <f t="shared" si="26"/>
        <v>0.10763888889050577</v>
      </c>
      <c r="O786" s="19" t="s">
        <v>63</v>
      </c>
      <c r="P786" s="19" t="s">
        <v>5804</v>
      </c>
      <c r="Q786" s="19" t="s">
        <v>5805</v>
      </c>
      <c r="R786" s="19"/>
      <c r="S786" s="19"/>
      <c r="U786" s="19"/>
      <c r="W786" s="19"/>
      <c r="X786" s="19" t="s">
        <v>314</v>
      </c>
      <c r="Y786" s="27" t="s">
        <v>54</v>
      </c>
      <c r="Z786" s="27" t="s">
        <v>1988</v>
      </c>
      <c r="AA786" s="27" t="s">
        <v>5806</v>
      </c>
      <c r="AB786" s="27" t="s">
        <v>5807</v>
      </c>
      <c r="AC786" s="37" t="s">
        <v>5808</v>
      </c>
      <c r="AD786" s="38" t="s">
        <v>5809</v>
      </c>
      <c r="AE786" s="36">
        <v>45962</v>
      </c>
      <c r="AF786" s="19" t="s">
        <v>1555</v>
      </c>
      <c r="AG786" s="19" t="s">
        <v>5810</v>
      </c>
      <c r="AH786" s="19" t="s">
        <v>164</v>
      </c>
      <c r="AI786" s="19" t="s">
        <v>63</v>
      </c>
      <c r="AJ786" s="19" t="s">
        <v>5811</v>
      </c>
      <c r="AK786" s="19"/>
      <c r="AL786" s="19"/>
      <c r="AM786" s="19"/>
      <c r="AN786" s="19" t="s">
        <v>65</v>
      </c>
      <c r="AO786" s="23">
        <v>45987.79583333333</v>
      </c>
      <c r="AP786" s="26">
        <f t="shared" si="27"/>
        <v>155</v>
      </c>
    </row>
    <row r="787" spans="1:42" ht="25.5" hidden="1" customHeight="1">
      <c r="A787" s="19" t="s">
        <v>92</v>
      </c>
      <c r="B787" s="19" t="s">
        <v>1917</v>
      </c>
      <c r="C787" s="19" t="s">
        <v>1021</v>
      </c>
      <c r="D787" s="19" t="s">
        <v>45</v>
      </c>
      <c r="E787" s="19" t="s">
        <v>46</v>
      </c>
      <c r="F787" s="19" t="s">
        <v>5790</v>
      </c>
      <c r="G787" s="19" t="s">
        <v>226</v>
      </c>
      <c r="H787" s="19" t="s">
        <v>49</v>
      </c>
      <c r="I787" s="20">
        <v>45988.30972222222</v>
      </c>
      <c r="K787" s="19"/>
      <c r="L787" s="20">
        <v>45988.392361111109</v>
      </c>
      <c r="M787" s="19"/>
      <c r="N787" s="22">
        <f t="shared" si="26"/>
        <v>8.2638888889050577E-2</v>
      </c>
      <c r="O787" s="19" t="s">
        <v>50</v>
      </c>
      <c r="P787" s="19" t="s">
        <v>5169</v>
      </c>
      <c r="Q787" s="19" t="s">
        <v>5812</v>
      </c>
      <c r="R787" s="19"/>
      <c r="S787" s="19"/>
      <c r="U787" s="19"/>
      <c r="W787" s="19"/>
      <c r="X787" s="19" t="s">
        <v>109</v>
      </c>
      <c r="Y787" s="27" t="s">
        <v>54</v>
      </c>
      <c r="Z787" s="27" t="s">
        <v>123</v>
      </c>
      <c r="AA787" s="27" t="s">
        <v>5813</v>
      </c>
      <c r="AB787" s="27" t="s">
        <v>5814</v>
      </c>
      <c r="AC787" s="37">
        <v>45988.326388888891</v>
      </c>
      <c r="AD787" s="38">
        <v>45988.328472222223</v>
      </c>
      <c r="AE787" s="36">
        <v>45962</v>
      </c>
      <c r="AF787" s="19" t="s">
        <v>60</v>
      </c>
      <c r="AG787" s="19" t="s">
        <v>78</v>
      </c>
      <c r="AH787" s="19" t="s">
        <v>78</v>
      </c>
      <c r="AI787" s="19" t="s">
        <v>50</v>
      </c>
      <c r="AJ787" s="19" t="s">
        <v>5815</v>
      </c>
      <c r="AK787" s="19"/>
      <c r="AL787" s="19"/>
      <c r="AM787" s="19"/>
      <c r="AN787" s="19" t="s">
        <v>103</v>
      </c>
      <c r="AO787" s="23">
        <v>45988.31527777778</v>
      </c>
      <c r="AP787" s="26">
        <f t="shared" si="27"/>
        <v>119</v>
      </c>
    </row>
    <row r="788" spans="1:42" ht="25.5" hidden="1" customHeight="1">
      <c r="A788" s="19" t="s">
        <v>42</v>
      </c>
      <c r="B788" s="19" t="s">
        <v>5248</v>
      </c>
      <c r="C788" s="19" t="s">
        <v>336</v>
      </c>
      <c r="D788" s="19" t="s">
        <v>45</v>
      </c>
      <c r="E788" s="19" t="s">
        <v>46</v>
      </c>
      <c r="F788" s="19" t="s">
        <v>5816</v>
      </c>
      <c r="G788" s="19" t="s">
        <v>48</v>
      </c>
      <c r="H788" s="19" t="s">
        <v>49</v>
      </c>
      <c r="I788" s="20">
        <v>45988.412499999999</v>
      </c>
      <c r="K788" s="19"/>
      <c r="L788" s="20">
        <v>45988.425694444442</v>
      </c>
      <c r="M788" s="19"/>
      <c r="N788" s="22">
        <f t="shared" si="26"/>
        <v>1.3194444443797693E-2</v>
      </c>
      <c r="O788" s="19" t="s">
        <v>50</v>
      </c>
      <c r="P788" s="19" t="s">
        <v>5250</v>
      </c>
      <c r="Q788" s="19" t="s">
        <v>5817</v>
      </c>
      <c r="R788" s="19"/>
      <c r="S788" s="19"/>
      <c r="U788" s="19"/>
      <c r="W788" s="19"/>
      <c r="X788" s="19" t="s">
        <v>314</v>
      </c>
      <c r="Y788" s="27" t="s">
        <v>54</v>
      </c>
      <c r="Z788" s="27" t="s">
        <v>1852</v>
      </c>
      <c r="AA788" s="27" t="s">
        <v>5818</v>
      </c>
      <c r="AB788" s="27" t="s">
        <v>5819</v>
      </c>
      <c r="AC788" s="37" t="s">
        <v>5820</v>
      </c>
      <c r="AD788" s="38" t="s">
        <v>5821</v>
      </c>
      <c r="AE788" s="36">
        <v>45962</v>
      </c>
      <c r="AF788" s="19" t="s">
        <v>89</v>
      </c>
      <c r="AG788" s="19" t="s">
        <v>90</v>
      </c>
      <c r="AH788" s="19" t="s">
        <v>62</v>
      </c>
      <c r="AI788" s="19" t="s">
        <v>63</v>
      </c>
      <c r="AJ788" s="19" t="s">
        <v>5822</v>
      </c>
      <c r="AK788" s="19"/>
      <c r="AL788" s="19"/>
      <c r="AM788" s="19"/>
      <c r="AN788" s="19" t="s">
        <v>103</v>
      </c>
      <c r="AO788" s="23">
        <v>45988.412499999999</v>
      </c>
      <c r="AP788" s="26">
        <f t="shared" si="27"/>
        <v>19</v>
      </c>
    </row>
    <row r="789" spans="1:42" ht="25.5" hidden="1" customHeight="1">
      <c r="A789" s="19" t="s">
        <v>116</v>
      </c>
      <c r="B789" s="19" t="s">
        <v>5823</v>
      </c>
      <c r="C789" s="19" t="s">
        <v>5824</v>
      </c>
      <c r="D789" s="19" t="s">
        <v>45</v>
      </c>
      <c r="E789" s="19" t="s">
        <v>46</v>
      </c>
      <c r="F789" s="19" t="s">
        <v>5825</v>
      </c>
      <c r="G789" s="19" t="s">
        <v>48</v>
      </c>
      <c r="H789" s="19" t="s">
        <v>49</v>
      </c>
      <c r="I789" s="20">
        <v>45988.555555555547</v>
      </c>
      <c r="K789" s="19"/>
      <c r="L789" s="20">
        <v>45988.611111111109</v>
      </c>
      <c r="M789" s="19"/>
      <c r="N789" s="22">
        <f t="shared" si="26"/>
        <v>5.5555555562023073E-2</v>
      </c>
      <c r="O789" s="19" t="s">
        <v>50</v>
      </c>
      <c r="P789" s="19" t="s">
        <v>5685</v>
      </c>
      <c r="Q789" s="19" t="s">
        <v>5826</v>
      </c>
      <c r="R789" s="19"/>
      <c r="S789" s="19"/>
      <c r="U789" s="19"/>
      <c r="W789" s="19"/>
      <c r="X789" s="19" t="s">
        <v>122</v>
      </c>
      <c r="Y789" s="27" t="s">
        <v>133</v>
      </c>
      <c r="Z789" s="27" t="s">
        <v>694</v>
      </c>
      <c r="AA789" s="27" t="s">
        <v>5827</v>
      </c>
      <c r="AB789" s="27" t="s">
        <v>5828</v>
      </c>
      <c r="AC789" s="37" t="s">
        <v>5829</v>
      </c>
      <c r="AD789" s="38" t="s">
        <v>5830</v>
      </c>
      <c r="AE789" s="36">
        <v>45962</v>
      </c>
      <c r="AF789" s="19" t="s">
        <v>89</v>
      </c>
      <c r="AG789" s="19" t="s">
        <v>90</v>
      </c>
      <c r="AH789" s="19" t="s">
        <v>62</v>
      </c>
      <c r="AI789" s="19" t="s">
        <v>63</v>
      </c>
      <c r="AJ789" s="19" t="s">
        <v>5831</v>
      </c>
      <c r="AK789" s="19"/>
      <c r="AL789" s="19"/>
      <c r="AM789" s="19"/>
      <c r="AN789" s="19" t="s">
        <v>103</v>
      </c>
      <c r="AO789" s="23">
        <v>45988.555555555547</v>
      </c>
      <c r="AP789" s="26">
        <f t="shared" si="27"/>
        <v>80</v>
      </c>
    </row>
    <row r="790" spans="1:42" ht="32.25" hidden="1" customHeight="1">
      <c r="A790" s="19" t="s">
        <v>42</v>
      </c>
      <c r="B790" s="19" t="s">
        <v>5832</v>
      </c>
      <c r="C790" s="19" t="s">
        <v>5833</v>
      </c>
      <c r="D790" s="19" t="s">
        <v>45</v>
      </c>
      <c r="E790" s="19" t="s">
        <v>46</v>
      </c>
      <c r="F790" s="19" t="s">
        <v>5834</v>
      </c>
      <c r="G790" s="19" t="s">
        <v>48</v>
      </c>
      <c r="H790" s="19" t="s">
        <v>49</v>
      </c>
      <c r="I790" s="20">
        <v>45988.768750000003</v>
      </c>
      <c r="K790" s="19"/>
      <c r="L790" s="20">
        <v>45988.798611111109</v>
      </c>
      <c r="M790" s="19"/>
      <c r="N790" s="22">
        <f t="shared" si="26"/>
        <v>2.9861111106583849E-2</v>
      </c>
      <c r="O790" s="19" t="s">
        <v>63</v>
      </c>
      <c r="P790" s="19" t="s">
        <v>5835</v>
      </c>
      <c r="Q790" s="19" t="s">
        <v>5836</v>
      </c>
      <c r="R790" s="19"/>
      <c r="S790" s="19"/>
      <c r="U790" s="19"/>
      <c r="W790" s="19"/>
      <c r="X790" s="19" t="s">
        <v>109</v>
      </c>
      <c r="Y790" s="27" t="s">
        <v>54</v>
      </c>
      <c r="Z790" s="27" t="s">
        <v>5837</v>
      </c>
      <c r="AA790" s="27" t="s">
        <v>5838</v>
      </c>
      <c r="AB790" s="27" t="s">
        <v>5839</v>
      </c>
      <c r="AC790" s="37" t="s">
        <v>5840</v>
      </c>
      <c r="AD790" s="38" t="s">
        <v>5841</v>
      </c>
      <c r="AE790" s="36">
        <v>45962</v>
      </c>
      <c r="AF790" s="19" t="s">
        <v>89</v>
      </c>
      <c r="AG790" s="19" t="s">
        <v>90</v>
      </c>
      <c r="AH790" s="19" t="s">
        <v>62</v>
      </c>
      <c r="AI790" s="19" t="s">
        <v>63</v>
      </c>
      <c r="AJ790" s="19" t="s">
        <v>5842</v>
      </c>
      <c r="AK790" s="19"/>
      <c r="AL790" s="19"/>
      <c r="AM790" s="19"/>
      <c r="AN790" s="19" t="s">
        <v>65</v>
      </c>
      <c r="AO790" s="23">
        <v>45988.768750000003</v>
      </c>
      <c r="AP790" s="26">
        <f t="shared" si="27"/>
        <v>43</v>
      </c>
    </row>
    <row r="791" spans="1:42" ht="25.5" hidden="1" customHeight="1">
      <c r="A791" s="19" t="s">
        <v>42</v>
      </c>
      <c r="B791" s="19" t="s">
        <v>5843</v>
      </c>
      <c r="C791" s="19" t="s">
        <v>5844</v>
      </c>
      <c r="D791" s="19" t="s">
        <v>45</v>
      </c>
      <c r="E791" s="19" t="s">
        <v>46</v>
      </c>
      <c r="F791" s="19" t="s">
        <v>5845</v>
      </c>
      <c r="G791" s="19" t="s">
        <v>48</v>
      </c>
      <c r="H791" s="19" t="s">
        <v>49</v>
      </c>
      <c r="I791" s="20">
        <v>45988.472222222219</v>
      </c>
      <c r="K791" s="19"/>
      <c r="L791" s="20">
        <v>45988.768750000003</v>
      </c>
      <c r="M791" s="19"/>
      <c r="N791" s="22">
        <f t="shared" si="26"/>
        <v>0.29652777778392192</v>
      </c>
      <c r="O791" s="19" t="s">
        <v>50</v>
      </c>
      <c r="P791" s="19" t="s">
        <v>5846</v>
      </c>
      <c r="Q791" s="19" t="s">
        <v>5847</v>
      </c>
      <c r="R791" s="19" t="s">
        <v>5848</v>
      </c>
      <c r="S791" s="19" t="s">
        <v>5849</v>
      </c>
      <c r="T791" s="20">
        <v>45988.833101851851</v>
      </c>
      <c r="U791" s="19">
        <v>45995.709027777782</v>
      </c>
      <c r="V791" s="19" t="s">
        <v>157</v>
      </c>
      <c r="W791" s="19"/>
      <c r="X791" s="19" t="s">
        <v>5850</v>
      </c>
      <c r="Y791" s="27" t="s">
        <v>54</v>
      </c>
      <c r="Z791" s="27" t="s">
        <v>361</v>
      </c>
      <c r="AA791" s="27" t="s">
        <v>5851</v>
      </c>
      <c r="AB791" s="27" t="s">
        <v>5852</v>
      </c>
      <c r="AC791" s="37" t="s">
        <v>5853</v>
      </c>
      <c r="AD791" s="38" t="s">
        <v>5854</v>
      </c>
      <c r="AE791" s="36">
        <v>45962</v>
      </c>
      <c r="AF791" s="19" t="s">
        <v>89</v>
      </c>
      <c r="AG791" s="19" t="s">
        <v>656</v>
      </c>
      <c r="AH791" s="19" t="s">
        <v>62</v>
      </c>
      <c r="AI791" s="19" t="s">
        <v>63</v>
      </c>
      <c r="AJ791" s="19" t="s">
        <v>5855</v>
      </c>
      <c r="AK791" s="19"/>
      <c r="AL791" s="19"/>
      <c r="AM791" s="19"/>
      <c r="AN791" s="19" t="s">
        <v>65</v>
      </c>
      <c r="AO791" s="23">
        <v>45988.472222222219</v>
      </c>
      <c r="AP791" s="26">
        <f t="shared" si="27"/>
        <v>427</v>
      </c>
    </row>
    <row r="792" spans="1:42" ht="25.5" hidden="1" customHeight="1">
      <c r="A792" s="19" t="s">
        <v>116</v>
      </c>
      <c r="B792" s="19" t="s">
        <v>5856</v>
      </c>
      <c r="C792" s="19" t="s">
        <v>5857</v>
      </c>
      <c r="D792" s="19" t="s">
        <v>45</v>
      </c>
      <c r="E792" s="19" t="s">
        <v>356</v>
      </c>
      <c r="F792" s="19" t="s">
        <v>5858</v>
      </c>
      <c r="G792" s="19" t="s">
        <v>48</v>
      </c>
      <c r="H792" s="19" t="s">
        <v>49</v>
      </c>
      <c r="I792" s="20">
        <v>45988.916666666657</v>
      </c>
      <c r="K792" s="19"/>
      <c r="L792" s="20">
        <v>45988.993055555547</v>
      </c>
      <c r="M792" s="19"/>
      <c r="N792" s="22">
        <f t="shared" si="26"/>
        <v>7.6388888890505768E-2</v>
      </c>
      <c r="O792" s="19" t="s">
        <v>50</v>
      </c>
      <c r="P792" s="19" t="s">
        <v>5859</v>
      </c>
      <c r="Q792" s="19" t="s">
        <v>5860</v>
      </c>
      <c r="R792" s="19"/>
      <c r="S792" s="19"/>
      <c r="U792" s="19"/>
      <c r="W792" s="19"/>
      <c r="X792" s="19" t="s">
        <v>5861</v>
      </c>
      <c r="Y792" s="27" t="s">
        <v>147</v>
      </c>
      <c r="Z792" s="27" t="s">
        <v>78</v>
      </c>
      <c r="AA792" s="27" t="s">
        <v>78</v>
      </c>
      <c r="AB792" s="27" t="s">
        <v>147</v>
      </c>
      <c r="AC792" s="37" t="s">
        <v>78</v>
      </c>
      <c r="AD792" s="38" t="s">
        <v>78</v>
      </c>
      <c r="AE792" s="36">
        <v>45962</v>
      </c>
      <c r="AF792" s="19" t="s">
        <v>99</v>
      </c>
      <c r="AG792" s="19" t="s">
        <v>100</v>
      </c>
      <c r="AH792" s="19" t="s">
        <v>62</v>
      </c>
      <c r="AI792" s="19" t="s">
        <v>63</v>
      </c>
      <c r="AJ792" s="19" t="s">
        <v>5862</v>
      </c>
      <c r="AK792" s="19" t="s">
        <v>5863</v>
      </c>
      <c r="AL792" s="19"/>
      <c r="AM792" s="19"/>
      <c r="AN792" s="19" t="s">
        <v>65</v>
      </c>
      <c r="AO792" s="23">
        <v>45988.916666666657</v>
      </c>
      <c r="AP792" s="26">
        <f t="shared" si="27"/>
        <v>110</v>
      </c>
    </row>
    <row r="793" spans="1:42" ht="25.5" hidden="1" customHeight="1">
      <c r="A793" s="19" t="s">
        <v>285</v>
      </c>
      <c r="B793" s="19" t="s">
        <v>186</v>
      </c>
      <c r="C793" s="19" t="s">
        <v>577</v>
      </c>
      <c r="D793" s="19" t="s">
        <v>45</v>
      </c>
      <c r="E793" s="19" t="s">
        <v>46</v>
      </c>
      <c r="F793" s="19" t="s">
        <v>5864</v>
      </c>
      <c r="G793" s="19" t="s">
        <v>48</v>
      </c>
      <c r="H793" s="19" t="s">
        <v>49</v>
      </c>
      <c r="I793" s="20">
        <v>45989.022916666669</v>
      </c>
      <c r="K793" s="19"/>
      <c r="L793" s="20">
        <v>45989.107638888891</v>
      </c>
      <c r="M793" s="19"/>
      <c r="N793" s="22">
        <f t="shared" si="26"/>
        <v>8.4722222221898846E-2</v>
      </c>
      <c r="O793" s="19" t="s">
        <v>50</v>
      </c>
      <c r="P793" s="19" t="s">
        <v>5865</v>
      </c>
      <c r="Q793" s="19" t="s">
        <v>5866</v>
      </c>
      <c r="R793" s="19"/>
      <c r="S793" s="19"/>
      <c r="U793" s="19"/>
      <c r="W793" s="19"/>
      <c r="X793" s="19" t="s">
        <v>191</v>
      </c>
      <c r="Y793" s="27" t="s">
        <v>133</v>
      </c>
      <c r="Z793" s="27" t="s">
        <v>123</v>
      </c>
      <c r="AA793" s="27" t="s">
        <v>5867</v>
      </c>
      <c r="AB793" s="27" t="s">
        <v>5868</v>
      </c>
      <c r="AC793" s="37">
        <v>45989.013194444437</v>
      </c>
      <c r="AD793" s="38" t="s">
        <v>861</v>
      </c>
      <c r="AE793" s="36">
        <v>45962</v>
      </c>
      <c r="AF793" s="19" t="s">
        <v>293</v>
      </c>
      <c r="AG793" s="19" t="s">
        <v>294</v>
      </c>
      <c r="AH793" s="19" t="s">
        <v>62</v>
      </c>
      <c r="AI793" s="19" t="s">
        <v>63</v>
      </c>
      <c r="AJ793" s="19" t="s">
        <v>5869</v>
      </c>
      <c r="AK793" s="19" t="s">
        <v>5870</v>
      </c>
      <c r="AL793" s="19"/>
      <c r="AM793" s="19"/>
      <c r="AN793" s="19" t="s">
        <v>65</v>
      </c>
      <c r="AO793" s="23">
        <v>45989.022916666669</v>
      </c>
      <c r="AP793" s="26">
        <f t="shared" si="27"/>
        <v>122</v>
      </c>
    </row>
    <row r="794" spans="1:42" ht="32.25" hidden="1" customHeight="1">
      <c r="A794" s="19" t="s">
        <v>42</v>
      </c>
      <c r="B794" s="19" t="s">
        <v>5871</v>
      </c>
      <c r="C794" s="19" t="s">
        <v>2677</v>
      </c>
      <c r="D794" s="19" t="s">
        <v>45</v>
      </c>
      <c r="E794" s="19" t="s">
        <v>46</v>
      </c>
      <c r="F794" s="19" t="s">
        <v>5872</v>
      </c>
      <c r="G794" s="19" t="s">
        <v>48</v>
      </c>
      <c r="H794" s="19" t="s">
        <v>49</v>
      </c>
      <c r="I794" s="20">
        <v>45989.313888888893</v>
      </c>
      <c r="K794" s="19"/>
      <c r="L794" s="20">
        <v>45989.354166666657</v>
      </c>
      <c r="M794" s="19"/>
      <c r="N794" s="22">
        <f t="shared" si="26"/>
        <v>4.0277777763549238E-2</v>
      </c>
      <c r="O794" s="19" t="s">
        <v>50</v>
      </c>
      <c r="P794" s="19" t="s">
        <v>5873</v>
      </c>
      <c r="Q794" s="19" t="s">
        <v>5874</v>
      </c>
      <c r="R794" s="19"/>
      <c r="S794" s="19"/>
      <c r="U794" s="19"/>
      <c r="W794" s="19"/>
      <c r="X794" s="19" t="s">
        <v>314</v>
      </c>
      <c r="Y794" s="27" t="s">
        <v>147</v>
      </c>
      <c r="Z794" s="27" t="s">
        <v>78</v>
      </c>
      <c r="AA794" s="27" t="s">
        <v>78</v>
      </c>
      <c r="AB794" s="27" t="s">
        <v>147</v>
      </c>
      <c r="AC794" s="37" t="s">
        <v>78</v>
      </c>
      <c r="AD794" s="38" t="s">
        <v>78</v>
      </c>
      <c r="AE794" s="36">
        <v>45962</v>
      </c>
      <c r="AF794" s="19" t="s">
        <v>89</v>
      </c>
      <c r="AG794" s="19" t="s">
        <v>90</v>
      </c>
      <c r="AH794" s="19" t="s">
        <v>62</v>
      </c>
      <c r="AI794" s="19" t="s">
        <v>63</v>
      </c>
      <c r="AJ794" s="19" t="s">
        <v>5875</v>
      </c>
      <c r="AK794" s="19"/>
      <c r="AL794" s="19"/>
      <c r="AM794" s="19"/>
      <c r="AN794" s="19" t="s">
        <v>103</v>
      </c>
      <c r="AO794" s="23">
        <v>45989.354166666657</v>
      </c>
      <c r="AP794" s="26">
        <f t="shared" si="27"/>
        <v>58</v>
      </c>
    </row>
    <row r="795" spans="1:42" ht="25.5" hidden="1" customHeight="1">
      <c r="A795" s="19" t="s">
        <v>42</v>
      </c>
      <c r="B795" s="19" t="s">
        <v>5876</v>
      </c>
      <c r="C795" s="19" t="s">
        <v>5877</v>
      </c>
      <c r="D795" s="19" t="s">
        <v>45</v>
      </c>
      <c r="E795" s="19" t="s">
        <v>46</v>
      </c>
      <c r="F795" s="19" t="s">
        <v>5878</v>
      </c>
      <c r="G795" s="19" t="s">
        <v>48</v>
      </c>
      <c r="H795" s="19" t="s">
        <v>49</v>
      </c>
      <c r="I795" s="20">
        <v>45989.279166666667</v>
      </c>
      <c r="K795" s="19"/>
      <c r="L795" s="20">
        <v>45989.390277777777</v>
      </c>
      <c r="M795" s="19"/>
      <c r="N795" s="22">
        <f t="shared" si="26"/>
        <v>0.11111111110949423</v>
      </c>
      <c r="O795" s="19" t="s">
        <v>50</v>
      </c>
      <c r="P795" s="19" t="s">
        <v>5879</v>
      </c>
      <c r="Q795" s="19" t="s">
        <v>5880</v>
      </c>
      <c r="R795" s="19" t="s">
        <v>5881</v>
      </c>
      <c r="S795" s="19" t="s">
        <v>5882</v>
      </c>
      <c r="T795" s="20">
        <v>45989.509340277778</v>
      </c>
      <c r="U795" s="19">
        <v>45995.717361111107</v>
      </c>
      <c r="V795" s="19" t="s">
        <v>157</v>
      </c>
      <c r="W795" s="19"/>
      <c r="X795" s="19" t="s">
        <v>5883</v>
      </c>
      <c r="Y795" s="27" t="s">
        <v>54</v>
      </c>
      <c r="Z795" s="27" t="s">
        <v>5884</v>
      </c>
      <c r="AA795" s="27" t="s">
        <v>5885</v>
      </c>
      <c r="AB795" s="27" t="s">
        <v>5886</v>
      </c>
      <c r="AC795" s="37" t="s">
        <v>5887</v>
      </c>
      <c r="AD795" s="38" t="s">
        <v>5888</v>
      </c>
      <c r="AE795" s="36">
        <v>45962</v>
      </c>
      <c r="AF795" s="19" t="s">
        <v>89</v>
      </c>
      <c r="AG795" s="19" t="s">
        <v>90</v>
      </c>
      <c r="AH795" s="19" t="s">
        <v>62</v>
      </c>
      <c r="AI795" s="19" t="s">
        <v>63</v>
      </c>
      <c r="AJ795" s="19" t="s">
        <v>5889</v>
      </c>
      <c r="AK795" s="19"/>
      <c r="AL795" s="19"/>
      <c r="AM795" s="19"/>
      <c r="AN795" s="19" t="s">
        <v>65</v>
      </c>
      <c r="AO795" s="23">
        <v>45989.279166666667</v>
      </c>
      <c r="AP795" s="26">
        <f t="shared" si="27"/>
        <v>160</v>
      </c>
    </row>
    <row r="796" spans="1:42" ht="25.5" hidden="1" customHeight="1">
      <c r="A796" s="19" t="s">
        <v>42</v>
      </c>
      <c r="B796" s="19" t="s">
        <v>2100</v>
      </c>
      <c r="C796" s="19" t="s">
        <v>5890</v>
      </c>
      <c r="D796" s="19" t="s">
        <v>45</v>
      </c>
      <c r="E796" s="19" t="s">
        <v>46</v>
      </c>
      <c r="F796" s="19" t="s">
        <v>5891</v>
      </c>
      <c r="G796" s="19" t="s">
        <v>48</v>
      </c>
      <c r="H796" s="19" t="s">
        <v>49</v>
      </c>
      <c r="I796" s="20">
        <v>45989.284722222219</v>
      </c>
      <c r="K796" s="19"/>
      <c r="L796" s="20">
        <v>45989.308333333327</v>
      </c>
      <c r="M796" s="19"/>
      <c r="N796" s="22">
        <f t="shared" si="26"/>
        <v>2.361111110803904E-2</v>
      </c>
      <c r="O796" s="19" t="s">
        <v>50</v>
      </c>
      <c r="P796" s="19" t="s">
        <v>5892</v>
      </c>
      <c r="Q796" s="19" t="s">
        <v>5893</v>
      </c>
      <c r="R796" s="19"/>
      <c r="S796" s="19"/>
      <c r="U796" s="19"/>
      <c r="W796" s="19"/>
      <c r="X796" s="19" t="s">
        <v>1412</v>
      </c>
      <c r="Y796" s="27" t="s">
        <v>147</v>
      </c>
      <c r="Z796" s="27" t="s">
        <v>78</v>
      </c>
      <c r="AA796" s="27" t="s">
        <v>78</v>
      </c>
      <c r="AB796" s="27" t="s">
        <v>147</v>
      </c>
      <c r="AC796" s="37" t="s">
        <v>78</v>
      </c>
      <c r="AD796" s="38" t="s">
        <v>78</v>
      </c>
      <c r="AE796" s="36">
        <v>45962</v>
      </c>
      <c r="AF796" s="19" t="s">
        <v>89</v>
      </c>
      <c r="AG796" s="19" t="s">
        <v>90</v>
      </c>
      <c r="AH796" s="19" t="s">
        <v>62</v>
      </c>
      <c r="AI796" s="19" t="s">
        <v>63</v>
      </c>
      <c r="AJ796" s="19" t="s">
        <v>5894</v>
      </c>
      <c r="AK796" s="19"/>
      <c r="AL796" s="19"/>
      <c r="AM796" s="19"/>
      <c r="AN796" s="19" t="s">
        <v>65</v>
      </c>
      <c r="AO796" s="23">
        <v>45989.284722222219</v>
      </c>
      <c r="AP796" s="26">
        <f t="shared" si="27"/>
        <v>34</v>
      </c>
    </row>
    <row r="797" spans="1:42" ht="25.5" customHeight="1">
      <c r="A797" s="19" t="s">
        <v>42</v>
      </c>
      <c r="C797" s="19" t="s">
        <v>5895</v>
      </c>
      <c r="D797" s="19" t="s">
        <v>45</v>
      </c>
      <c r="E797" s="19" t="s">
        <v>46</v>
      </c>
      <c r="F797" s="19" t="s">
        <v>5896</v>
      </c>
      <c r="G797" s="19" t="s">
        <v>48</v>
      </c>
      <c r="H797" s="19" t="s">
        <v>69</v>
      </c>
      <c r="I797" s="20">
        <v>45989.453472222223</v>
      </c>
      <c r="K797" s="19">
        <v>45989.461805555547</v>
      </c>
      <c r="L797" s="20">
        <v>45989.470138888893</v>
      </c>
      <c r="M797" s="19"/>
      <c r="N797" s="22">
        <f t="shared" si="26"/>
        <v>1.6666666670062114E-2</v>
      </c>
      <c r="O797" s="19" t="s">
        <v>50</v>
      </c>
      <c r="P797" s="19" t="s">
        <v>5897</v>
      </c>
      <c r="Q797" s="19" t="s">
        <v>5898</v>
      </c>
      <c r="R797" s="19"/>
      <c r="S797" s="19"/>
      <c r="U797" s="19"/>
      <c r="W797" s="19"/>
      <c r="X797" s="19" t="s">
        <v>72</v>
      </c>
      <c r="Y797" s="27" t="s">
        <v>147</v>
      </c>
      <c r="Z797" s="27" t="s">
        <v>78</v>
      </c>
      <c r="AA797" s="27" t="s">
        <v>78</v>
      </c>
      <c r="AB797" s="27" t="s">
        <v>147</v>
      </c>
      <c r="AC797" s="37" t="s">
        <v>78</v>
      </c>
      <c r="AD797" s="38" t="s">
        <v>78</v>
      </c>
      <c r="AE797" s="36">
        <v>45962</v>
      </c>
      <c r="AF797" s="19" t="s">
        <v>89</v>
      </c>
      <c r="AG797" s="19" t="s">
        <v>90</v>
      </c>
      <c r="AH797" s="19" t="s">
        <v>62</v>
      </c>
      <c r="AI797" s="19" t="s">
        <v>63</v>
      </c>
      <c r="AJ797" s="19" t="s">
        <v>5899</v>
      </c>
      <c r="AK797" s="19"/>
      <c r="AL797" s="19"/>
      <c r="AM797" s="19"/>
      <c r="AN797" s="19" t="s">
        <v>65</v>
      </c>
      <c r="AO797" s="23">
        <v>45989.525000000001</v>
      </c>
      <c r="AP797" s="26">
        <f t="shared" si="27"/>
        <v>24</v>
      </c>
    </row>
    <row r="798" spans="1:42" ht="25.5" hidden="1" customHeight="1">
      <c r="A798" s="19" t="s">
        <v>42</v>
      </c>
      <c r="C798" s="19" t="s">
        <v>5900</v>
      </c>
      <c r="D798" s="19" t="s">
        <v>45</v>
      </c>
      <c r="E798" s="19" t="s">
        <v>46</v>
      </c>
      <c r="F798" s="19" t="s">
        <v>5901</v>
      </c>
      <c r="G798" s="19" t="s">
        <v>48</v>
      </c>
      <c r="H798" s="19" t="s">
        <v>49</v>
      </c>
      <c r="I798" s="20">
        <v>45989.268055555563</v>
      </c>
      <c r="K798" s="19"/>
      <c r="L798" s="20">
        <v>45989.479166666657</v>
      </c>
      <c r="M798" s="19"/>
      <c r="N798" s="22">
        <f t="shared" si="26"/>
        <v>0.21111111109348712</v>
      </c>
      <c r="O798" s="19" t="s">
        <v>63</v>
      </c>
      <c r="P798" s="19" t="s">
        <v>5902</v>
      </c>
      <c r="Q798" s="19" t="s">
        <v>5903</v>
      </c>
      <c r="R798" s="19"/>
      <c r="S798" s="19"/>
      <c r="U798" s="19"/>
      <c r="W798" s="19"/>
      <c r="X798" s="19" t="s">
        <v>72</v>
      </c>
      <c r="Y798" s="27" t="s">
        <v>147</v>
      </c>
      <c r="Z798" s="27" t="s">
        <v>78</v>
      </c>
      <c r="AA798" s="27" t="s">
        <v>78</v>
      </c>
      <c r="AB798" s="27" t="s">
        <v>147</v>
      </c>
      <c r="AC798" s="37" t="s">
        <v>78</v>
      </c>
      <c r="AD798" s="38" t="s">
        <v>78</v>
      </c>
      <c r="AE798" s="36">
        <v>45962</v>
      </c>
      <c r="AF798" s="19" t="s">
        <v>89</v>
      </c>
      <c r="AG798" s="19" t="s">
        <v>90</v>
      </c>
      <c r="AH798" s="19" t="s">
        <v>62</v>
      </c>
      <c r="AI798" s="19" t="s">
        <v>63</v>
      </c>
      <c r="AJ798" s="19" t="s">
        <v>5904</v>
      </c>
      <c r="AK798" s="19"/>
      <c r="AL798" s="19"/>
      <c r="AM798" s="19"/>
      <c r="AN798" s="19" t="s">
        <v>65</v>
      </c>
      <c r="AO798" s="23">
        <v>45989.268055555563</v>
      </c>
      <c r="AP798" s="26">
        <f t="shared" si="27"/>
        <v>304</v>
      </c>
    </row>
    <row r="799" spans="1:42" ht="32.25" hidden="1" customHeight="1">
      <c r="A799" s="19" t="s">
        <v>42</v>
      </c>
      <c r="B799" s="19" t="s">
        <v>5905</v>
      </c>
      <c r="C799" s="19" t="s">
        <v>5906</v>
      </c>
      <c r="D799" s="19" t="s">
        <v>45</v>
      </c>
      <c r="E799" s="19" t="s">
        <v>225</v>
      </c>
      <c r="F799" s="19" t="s">
        <v>5907</v>
      </c>
      <c r="G799" s="19" t="s">
        <v>48</v>
      </c>
      <c r="H799" s="19" t="s">
        <v>49</v>
      </c>
      <c r="I799" s="20">
        <v>45990.029861111107</v>
      </c>
      <c r="K799" s="19"/>
      <c r="L799" s="20">
        <v>45990.051388888889</v>
      </c>
      <c r="M799" s="19"/>
      <c r="N799" s="22">
        <f t="shared" si="26"/>
        <v>2.1527777782466728E-2</v>
      </c>
      <c r="O799" s="19" t="s">
        <v>50</v>
      </c>
      <c r="P799" s="19" t="s">
        <v>5908</v>
      </c>
      <c r="Q799" s="19" t="s">
        <v>5909</v>
      </c>
      <c r="R799" s="19"/>
      <c r="S799" s="19"/>
      <c r="U799" s="19"/>
      <c r="W799" s="19"/>
      <c r="X799" s="19" t="s">
        <v>1589</v>
      </c>
      <c r="Y799" s="27" t="s">
        <v>133</v>
      </c>
      <c r="Z799" s="27" t="s">
        <v>694</v>
      </c>
      <c r="AA799" s="27" t="s">
        <v>5910</v>
      </c>
      <c r="AB799" s="27" t="s">
        <v>5911</v>
      </c>
      <c r="AC799" s="37" t="s">
        <v>5912</v>
      </c>
      <c r="AD799" s="38" t="s">
        <v>5913</v>
      </c>
      <c r="AE799" s="36">
        <v>45962</v>
      </c>
      <c r="AF799" s="19" t="s">
        <v>99</v>
      </c>
      <c r="AG799" s="19" t="s">
        <v>971</v>
      </c>
      <c r="AH799" s="19" t="s">
        <v>62</v>
      </c>
      <c r="AI799" s="19" t="s">
        <v>63</v>
      </c>
      <c r="AJ799" s="19" t="s">
        <v>5914</v>
      </c>
      <c r="AK799" s="19" t="s">
        <v>5915</v>
      </c>
      <c r="AL799" s="19"/>
      <c r="AM799" s="19"/>
      <c r="AN799" s="19" t="s">
        <v>65</v>
      </c>
      <c r="AO799" s="23">
        <v>45990.029861111107</v>
      </c>
      <c r="AP799" s="26">
        <f t="shared" si="27"/>
        <v>31</v>
      </c>
    </row>
    <row r="800" spans="1:42" ht="32.25" hidden="1" customHeight="1">
      <c r="A800" s="19" t="s">
        <v>42</v>
      </c>
      <c r="B800" s="19" t="s">
        <v>5916</v>
      </c>
      <c r="C800" s="19" t="s">
        <v>5917</v>
      </c>
      <c r="D800" s="19" t="s">
        <v>45</v>
      </c>
      <c r="E800" s="19" t="s">
        <v>46</v>
      </c>
      <c r="F800" s="19" t="s">
        <v>5918</v>
      </c>
      <c r="G800" s="19" t="s">
        <v>48</v>
      </c>
      <c r="H800" s="19" t="s">
        <v>49</v>
      </c>
      <c r="I800" s="20">
        <v>45991.366666666669</v>
      </c>
      <c r="K800" s="19"/>
      <c r="L800" s="20">
        <v>45991.425694444442</v>
      </c>
      <c r="M800" s="19"/>
      <c r="N800" s="22">
        <f t="shared" si="26"/>
        <v>5.9027777773735579E-2</v>
      </c>
      <c r="O800" s="19" t="s">
        <v>50</v>
      </c>
      <c r="P800" s="19" t="s">
        <v>5919</v>
      </c>
      <c r="Q800" s="19" t="s">
        <v>5920</v>
      </c>
      <c r="R800" s="19"/>
      <c r="S800" s="19"/>
      <c r="U800" s="19"/>
      <c r="W800" s="19"/>
      <c r="X800" s="19" t="s">
        <v>314</v>
      </c>
      <c r="Y800" s="27" t="s">
        <v>54</v>
      </c>
      <c r="Z800" s="27" t="s">
        <v>3590</v>
      </c>
      <c r="AA800" s="27" t="s">
        <v>5921</v>
      </c>
      <c r="AB800" s="27" t="s">
        <v>5922</v>
      </c>
      <c r="AC800" s="37" t="s">
        <v>5923</v>
      </c>
      <c r="AD800" s="38" t="s">
        <v>5924</v>
      </c>
      <c r="AE800" s="36">
        <v>45962</v>
      </c>
      <c r="AF800" s="19" t="s">
        <v>99</v>
      </c>
      <c r="AG800" s="19" t="s">
        <v>100</v>
      </c>
      <c r="AH800" s="19" t="s">
        <v>62</v>
      </c>
      <c r="AI800" s="19" t="s">
        <v>63</v>
      </c>
      <c r="AJ800" s="19" t="s">
        <v>5925</v>
      </c>
      <c r="AK800" s="19" t="s">
        <v>5926</v>
      </c>
      <c r="AL800" s="19"/>
      <c r="AM800" s="19"/>
      <c r="AN800" s="19" t="s">
        <v>103</v>
      </c>
      <c r="AO800" s="23">
        <v>45990.366666666669</v>
      </c>
      <c r="AP800" s="26">
        <f t="shared" si="27"/>
        <v>85</v>
      </c>
    </row>
    <row r="801" spans="1:42" ht="32.25" hidden="1" customHeight="1">
      <c r="A801" s="19" t="s">
        <v>42</v>
      </c>
      <c r="B801" s="19" t="s">
        <v>5871</v>
      </c>
      <c r="C801" s="19" t="s">
        <v>2677</v>
      </c>
      <c r="D801" s="19" t="s">
        <v>45</v>
      </c>
      <c r="E801" s="19" t="s">
        <v>46</v>
      </c>
      <c r="F801" s="19" t="s">
        <v>5927</v>
      </c>
      <c r="G801" s="19" t="s">
        <v>48</v>
      </c>
      <c r="H801" s="19" t="s">
        <v>49</v>
      </c>
      <c r="I801" s="20">
        <v>45992.429166666669</v>
      </c>
      <c r="K801" s="19"/>
      <c r="L801" s="20">
        <v>45992.435416666667</v>
      </c>
      <c r="M801" s="19"/>
      <c r="N801" s="22">
        <f t="shared" si="26"/>
        <v>6.2499999985448085E-3</v>
      </c>
      <c r="O801" s="19" t="s">
        <v>50</v>
      </c>
      <c r="P801" s="19" t="s">
        <v>5873</v>
      </c>
      <c r="Q801" s="19" t="s">
        <v>5928</v>
      </c>
      <c r="R801" s="19"/>
      <c r="S801" s="19"/>
      <c r="U801" s="19"/>
      <c r="W801" s="19"/>
      <c r="X801" s="19" t="s">
        <v>314</v>
      </c>
      <c r="Y801" s="27" t="s">
        <v>54</v>
      </c>
      <c r="Z801" s="27" t="s">
        <v>5929</v>
      </c>
      <c r="AA801" s="27" t="s">
        <v>5930</v>
      </c>
      <c r="AB801" s="27" t="s">
        <v>5931</v>
      </c>
      <c r="AC801" s="37" t="s">
        <v>5932</v>
      </c>
      <c r="AD801" s="38" t="s">
        <v>5933</v>
      </c>
      <c r="AE801" s="36">
        <v>45992</v>
      </c>
      <c r="AF801" s="19" t="s">
        <v>89</v>
      </c>
      <c r="AG801" s="19" t="s">
        <v>90</v>
      </c>
      <c r="AH801" s="19" t="s">
        <v>62</v>
      </c>
      <c r="AI801" s="19" t="s">
        <v>63</v>
      </c>
      <c r="AJ801" s="19" t="s">
        <v>5875</v>
      </c>
      <c r="AK801" s="19"/>
      <c r="AL801" s="19"/>
      <c r="AM801" s="19"/>
      <c r="AN801" s="19" t="s">
        <v>103</v>
      </c>
      <c r="AO801" s="23">
        <v>45992.429166666669</v>
      </c>
      <c r="AP801" s="26">
        <f t="shared" si="27"/>
        <v>9</v>
      </c>
    </row>
    <row r="802" spans="1:42" ht="32.25" hidden="1" customHeight="1">
      <c r="A802" s="19" t="s">
        <v>42</v>
      </c>
      <c r="B802" s="19" t="s">
        <v>5934</v>
      </c>
      <c r="C802" s="19" t="s">
        <v>4164</v>
      </c>
      <c r="D802" s="19" t="s">
        <v>45</v>
      </c>
      <c r="E802" s="19" t="s">
        <v>46</v>
      </c>
      <c r="F802" s="19" t="s">
        <v>5935</v>
      </c>
      <c r="G802" s="19" t="s">
        <v>48</v>
      </c>
      <c r="H802" s="19" t="s">
        <v>49</v>
      </c>
      <c r="I802" s="20">
        <v>45992.503472222219</v>
      </c>
      <c r="K802" s="19"/>
      <c r="L802" s="20">
        <v>45992.663194444453</v>
      </c>
      <c r="M802" s="19"/>
      <c r="N802" s="22">
        <f t="shared" si="26"/>
        <v>0.15972222223354038</v>
      </c>
      <c r="O802" s="19" t="s">
        <v>50</v>
      </c>
      <c r="P802" s="19" t="s">
        <v>5936</v>
      </c>
      <c r="Q802" s="19" t="s">
        <v>5937</v>
      </c>
      <c r="R802" s="19"/>
      <c r="S802" s="19"/>
      <c r="U802" s="19"/>
      <c r="W802" s="19"/>
      <c r="X802" s="19" t="s">
        <v>109</v>
      </c>
      <c r="Y802" s="27" t="s">
        <v>133</v>
      </c>
      <c r="Z802" s="27" t="s">
        <v>5938</v>
      </c>
      <c r="AA802" s="27" t="s">
        <v>5939</v>
      </c>
      <c r="AB802" s="27" t="s">
        <v>5940</v>
      </c>
      <c r="AC802" s="37" t="s">
        <v>5941</v>
      </c>
      <c r="AD802" s="38" t="s">
        <v>5942</v>
      </c>
      <c r="AE802" s="36">
        <v>45992</v>
      </c>
      <c r="AF802" s="19" t="s">
        <v>89</v>
      </c>
      <c r="AG802" s="19" t="s">
        <v>90</v>
      </c>
      <c r="AH802" s="19" t="s">
        <v>62</v>
      </c>
      <c r="AI802" s="19" t="s">
        <v>63</v>
      </c>
      <c r="AJ802" s="19" t="s">
        <v>5943</v>
      </c>
      <c r="AK802" s="19"/>
      <c r="AL802" s="19"/>
      <c r="AM802" s="19"/>
      <c r="AN802" s="19" t="s">
        <v>103</v>
      </c>
      <c r="AO802" s="23">
        <v>45992.503472222219</v>
      </c>
      <c r="AP802" s="26">
        <f t="shared" si="27"/>
        <v>230</v>
      </c>
    </row>
    <row r="803" spans="1:42" ht="32.25" hidden="1" customHeight="1">
      <c r="A803" s="19" t="s">
        <v>92</v>
      </c>
      <c r="B803" s="19" t="s">
        <v>1917</v>
      </c>
      <c r="C803" s="19" t="s">
        <v>2480</v>
      </c>
      <c r="D803" s="19" t="s">
        <v>45</v>
      </c>
      <c r="E803" s="19" t="s">
        <v>46</v>
      </c>
      <c r="F803" s="19" t="s">
        <v>5944</v>
      </c>
      <c r="G803" s="19" t="s">
        <v>48</v>
      </c>
      <c r="H803" s="19" t="s">
        <v>49</v>
      </c>
      <c r="I803" s="20">
        <v>45992.805555555547</v>
      </c>
      <c r="K803" s="19"/>
      <c r="L803" s="20">
        <v>45992.818055555559</v>
      </c>
      <c r="M803" s="19"/>
      <c r="N803" s="22">
        <f t="shared" si="26"/>
        <v>1.2500000011641532E-2</v>
      </c>
      <c r="O803" s="19" t="s">
        <v>50</v>
      </c>
      <c r="P803" s="19" t="s">
        <v>5169</v>
      </c>
      <c r="Q803" s="19" t="s">
        <v>5945</v>
      </c>
      <c r="R803" s="19"/>
      <c r="S803" s="19"/>
      <c r="U803" s="19"/>
      <c r="W803" s="19"/>
      <c r="X803" s="19" t="s">
        <v>109</v>
      </c>
      <c r="Y803" s="27" t="s">
        <v>54</v>
      </c>
      <c r="Z803" s="27" t="s">
        <v>84</v>
      </c>
      <c r="AA803" s="27" t="s">
        <v>5946</v>
      </c>
      <c r="AB803" s="27" t="s">
        <v>5947</v>
      </c>
      <c r="AC803" s="37" t="s">
        <v>5948</v>
      </c>
      <c r="AD803" s="38" t="s">
        <v>5949</v>
      </c>
      <c r="AE803" s="36">
        <v>45992</v>
      </c>
      <c r="AF803" s="19" t="s">
        <v>89</v>
      </c>
      <c r="AG803" s="19" t="s">
        <v>90</v>
      </c>
      <c r="AH803" s="19" t="s">
        <v>62</v>
      </c>
      <c r="AI803" s="19" t="s">
        <v>63</v>
      </c>
      <c r="AJ803" s="19" t="s">
        <v>5950</v>
      </c>
      <c r="AK803" s="19"/>
      <c r="AL803" s="19"/>
      <c r="AM803" s="19"/>
      <c r="AN803" s="19" t="s">
        <v>103</v>
      </c>
      <c r="AO803" s="23">
        <v>45992.805555555547</v>
      </c>
      <c r="AP803" s="26">
        <f t="shared" si="27"/>
        <v>18</v>
      </c>
    </row>
    <row r="804" spans="1:42" ht="32.25" hidden="1" customHeight="1">
      <c r="A804" s="19" t="s">
        <v>42</v>
      </c>
      <c r="B804" s="19" t="s">
        <v>5951</v>
      </c>
      <c r="C804" s="19" t="s">
        <v>5952</v>
      </c>
      <c r="D804" s="19" t="s">
        <v>45</v>
      </c>
      <c r="E804" s="19" t="s">
        <v>46</v>
      </c>
      <c r="F804" s="19" t="s">
        <v>5953</v>
      </c>
      <c r="G804" s="19" t="s">
        <v>48</v>
      </c>
      <c r="H804" s="19" t="s">
        <v>49</v>
      </c>
      <c r="I804" s="20">
        <v>45992.87222222222</v>
      </c>
      <c r="K804" s="19"/>
      <c r="L804" s="20">
        <v>45992.921527777777</v>
      </c>
      <c r="M804" s="19"/>
      <c r="N804" s="22">
        <f t="shared" si="26"/>
        <v>4.9305555556202307E-2</v>
      </c>
      <c r="O804" s="19" t="s">
        <v>50</v>
      </c>
      <c r="P804" s="19" t="s">
        <v>5954</v>
      </c>
      <c r="Q804" s="19" t="s">
        <v>5955</v>
      </c>
      <c r="R804" s="19" t="s">
        <v>5956</v>
      </c>
      <c r="S804" s="19" t="s">
        <v>5957</v>
      </c>
      <c r="T804" s="20">
        <v>45993.427847222221</v>
      </c>
      <c r="U804" s="19">
        <v>45995.556944444441</v>
      </c>
      <c r="V804" s="19" t="s">
        <v>157</v>
      </c>
      <c r="W804" s="19"/>
      <c r="X804" s="19" t="s">
        <v>746</v>
      </c>
      <c r="Y804" s="27" t="s">
        <v>54</v>
      </c>
      <c r="Z804" s="27" t="s">
        <v>414</v>
      </c>
      <c r="AA804" s="27" t="s">
        <v>5958</v>
      </c>
      <c r="AB804" s="27" t="s">
        <v>5959</v>
      </c>
      <c r="AC804" s="37">
        <v>45992.86917824074</v>
      </c>
      <c r="AD804" s="38" t="s">
        <v>861</v>
      </c>
      <c r="AE804" s="36">
        <v>45992</v>
      </c>
      <c r="AF804" s="19" t="s">
        <v>99</v>
      </c>
      <c r="AG804" s="19" t="s">
        <v>139</v>
      </c>
      <c r="AH804" s="19" t="s">
        <v>62</v>
      </c>
      <c r="AI804" s="19" t="s">
        <v>63</v>
      </c>
      <c r="AJ804" s="19" t="s">
        <v>5960</v>
      </c>
      <c r="AK804" s="19" t="s">
        <v>5961</v>
      </c>
      <c r="AL804" s="19"/>
      <c r="AM804" s="19"/>
      <c r="AN804" s="19" t="s">
        <v>103</v>
      </c>
      <c r="AO804" s="23">
        <v>45992.87222222222</v>
      </c>
      <c r="AP804" s="26">
        <f t="shared" si="27"/>
        <v>71</v>
      </c>
    </row>
    <row r="805" spans="1:42" ht="32.25" hidden="1" customHeight="1">
      <c r="A805" s="19" t="s">
        <v>42</v>
      </c>
      <c r="B805" s="19" t="s">
        <v>5248</v>
      </c>
      <c r="C805" s="19" t="s">
        <v>5962</v>
      </c>
      <c r="D805" s="19" t="s">
        <v>45</v>
      </c>
      <c r="E805" s="19" t="s">
        <v>46</v>
      </c>
      <c r="F805" s="19" t="s">
        <v>5963</v>
      </c>
      <c r="G805" s="19" t="s">
        <v>48</v>
      </c>
      <c r="H805" s="19" t="s">
        <v>49</v>
      </c>
      <c r="I805" s="20">
        <v>45993.436111111107</v>
      </c>
      <c r="K805" s="19"/>
      <c r="L805" s="20">
        <v>45993.583333333343</v>
      </c>
      <c r="M805" s="19"/>
      <c r="N805" s="22">
        <f t="shared" si="26"/>
        <v>0.14722222223645076</v>
      </c>
      <c r="O805" s="19" t="s">
        <v>50</v>
      </c>
      <c r="P805" s="19" t="s">
        <v>5964</v>
      </c>
      <c r="Q805" s="19" t="s">
        <v>5965</v>
      </c>
      <c r="R805" s="19"/>
      <c r="S805" s="19"/>
      <c r="U805" s="19"/>
      <c r="W805" s="19"/>
      <c r="X805" s="19" t="s">
        <v>314</v>
      </c>
      <c r="Y805" s="27" t="s">
        <v>133</v>
      </c>
      <c r="Z805" s="27" t="s">
        <v>259</v>
      </c>
      <c r="AA805" s="27" t="s">
        <v>5966</v>
      </c>
      <c r="AB805" s="27" t="s">
        <v>5967</v>
      </c>
      <c r="AC805" s="37" t="s">
        <v>5968</v>
      </c>
      <c r="AD805" s="38" t="s">
        <v>5969</v>
      </c>
      <c r="AE805" s="36">
        <v>45992</v>
      </c>
      <c r="AF805" s="19" t="s">
        <v>89</v>
      </c>
      <c r="AG805" s="19" t="s">
        <v>90</v>
      </c>
      <c r="AH805" s="19" t="s">
        <v>62</v>
      </c>
      <c r="AI805" s="19" t="s">
        <v>63</v>
      </c>
      <c r="AJ805" s="19" t="s">
        <v>5970</v>
      </c>
      <c r="AK805" s="19"/>
      <c r="AL805" s="19"/>
      <c r="AM805" s="19"/>
      <c r="AN805" s="19" t="s">
        <v>103</v>
      </c>
      <c r="AO805" s="23">
        <v>45993.436111111107</v>
      </c>
      <c r="AP805" s="26">
        <f t="shared" si="27"/>
        <v>212</v>
      </c>
    </row>
    <row r="806" spans="1:42" ht="32.25" hidden="1" customHeight="1">
      <c r="A806" s="19" t="s">
        <v>42</v>
      </c>
      <c r="B806" s="19" t="s">
        <v>309</v>
      </c>
      <c r="C806" s="19" t="s">
        <v>5280</v>
      </c>
      <c r="D806" s="19" t="s">
        <v>45</v>
      </c>
      <c r="E806" s="19" t="s">
        <v>46</v>
      </c>
      <c r="F806" s="19" t="s">
        <v>5971</v>
      </c>
      <c r="G806" s="19" t="s">
        <v>48</v>
      </c>
      <c r="H806" s="19" t="s">
        <v>49</v>
      </c>
      <c r="I806" s="20">
        <v>45993.512499999997</v>
      </c>
      <c r="K806" s="19"/>
      <c r="L806" s="20">
        <v>45993.517361111109</v>
      </c>
      <c r="M806" s="19"/>
      <c r="N806" s="22">
        <f t="shared" si="26"/>
        <v>4.8611111124046147E-3</v>
      </c>
      <c r="O806" s="19" t="s">
        <v>63</v>
      </c>
      <c r="P806" s="19" t="s">
        <v>5972</v>
      </c>
      <c r="Q806" s="19" t="s">
        <v>5973</v>
      </c>
      <c r="R806" s="19"/>
      <c r="S806" s="19"/>
      <c r="U806" s="19"/>
      <c r="W806" s="19"/>
      <c r="X806" s="19" t="s">
        <v>314</v>
      </c>
      <c r="Y806" s="27" t="s">
        <v>54</v>
      </c>
      <c r="Z806" s="27" t="s">
        <v>331</v>
      </c>
      <c r="AA806" s="27" t="s">
        <v>5974</v>
      </c>
      <c r="AB806" s="27" t="s">
        <v>5975</v>
      </c>
      <c r="AC806" s="37" t="s">
        <v>5976</v>
      </c>
      <c r="AD806" s="38" t="s">
        <v>5977</v>
      </c>
      <c r="AE806" s="36">
        <v>45992</v>
      </c>
      <c r="AF806" s="19" t="s">
        <v>89</v>
      </c>
      <c r="AG806" s="19" t="s">
        <v>90</v>
      </c>
      <c r="AH806" s="19" t="s">
        <v>62</v>
      </c>
      <c r="AI806" s="19" t="s">
        <v>63</v>
      </c>
      <c r="AJ806" s="19" t="s">
        <v>5978</v>
      </c>
      <c r="AK806" s="19"/>
      <c r="AL806" s="19"/>
      <c r="AM806" s="19"/>
      <c r="AN806" s="19" t="s">
        <v>65</v>
      </c>
      <c r="AO806" s="23">
        <v>45993.512499999997</v>
      </c>
      <c r="AP806" s="26">
        <f t="shared" si="27"/>
        <v>7</v>
      </c>
    </row>
    <row r="807" spans="1:42" ht="32.25" hidden="1" customHeight="1">
      <c r="A807" s="19" t="s">
        <v>42</v>
      </c>
      <c r="B807" s="19" t="s">
        <v>5248</v>
      </c>
      <c r="C807" s="19" t="s">
        <v>2101</v>
      </c>
      <c r="D807" s="19" t="s">
        <v>45</v>
      </c>
      <c r="E807" s="19" t="s">
        <v>46</v>
      </c>
      <c r="F807" s="19" t="s">
        <v>5963</v>
      </c>
      <c r="G807" s="19" t="s">
        <v>226</v>
      </c>
      <c r="H807" s="19" t="s">
        <v>49</v>
      </c>
      <c r="I807" s="20">
        <v>45993.616666666669</v>
      </c>
      <c r="K807" s="19"/>
      <c r="L807" s="20">
        <v>45993.660416666673</v>
      </c>
      <c r="M807" s="19"/>
      <c r="N807" s="22">
        <f t="shared" si="26"/>
        <v>4.3750000004365575E-2</v>
      </c>
      <c r="O807" s="19" t="s">
        <v>50</v>
      </c>
      <c r="P807" s="19" t="s">
        <v>5979</v>
      </c>
      <c r="Q807" s="19" t="s">
        <v>5980</v>
      </c>
      <c r="R807" s="19"/>
      <c r="S807" s="19"/>
      <c r="U807" s="19"/>
      <c r="W807" s="19"/>
      <c r="X807" s="19" t="s">
        <v>314</v>
      </c>
      <c r="Y807" s="27" t="s">
        <v>54</v>
      </c>
      <c r="Z807" s="27" t="s">
        <v>811</v>
      </c>
      <c r="AA807" s="27" t="s">
        <v>5981</v>
      </c>
      <c r="AB807" s="27" t="s">
        <v>5982</v>
      </c>
      <c r="AC807" s="37" t="s">
        <v>5983</v>
      </c>
      <c r="AD807" s="38" t="s">
        <v>5984</v>
      </c>
      <c r="AE807" s="36">
        <v>45992</v>
      </c>
      <c r="AF807" s="19" t="s">
        <v>89</v>
      </c>
      <c r="AG807" s="19" t="s">
        <v>90</v>
      </c>
      <c r="AH807" s="19" t="s">
        <v>62</v>
      </c>
      <c r="AI807" s="19" t="s">
        <v>50</v>
      </c>
      <c r="AJ807" s="19" t="s">
        <v>5855</v>
      </c>
      <c r="AK807" s="19"/>
      <c r="AL807" s="19"/>
      <c r="AM807" s="19"/>
      <c r="AN807" s="19" t="s">
        <v>103</v>
      </c>
      <c r="AO807" s="23">
        <v>45993.616666666669</v>
      </c>
      <c r="AP807" s="26">
        <f t="shared" si="27"/>
        <v>63</v>
      </c>
    </row>
    <row r="808" spans="1:42" ht="32.25" hidden="1" customHeight="1">
      <c r="A808" s="19" t="s">
        <v>42</v>
      </c>
      <c r="B808" s="19" t="s">
        <v>4075</v>
      </c>
      <c r="C808" s="19" t="s">
        <v>336</v>
      </c>
      <c r="D808" s="19" t="s">
        <v>45</v>
      </c>
      <c r="E808" s="19" t="s">
        <v>46</v>
      </c>
      <c r="F808" s="19" t="s">
        <v>5985</v>
      </c>
      <c r="G808" s="19" t="s">
        <v>48</v>
      </c>
      <c r="H808" s="19" t="s">
        <v>49</v>
      </c>
      <c r="I808" s="20">
        <v>45993.805555555547</v>
      </c>
      <c r="K808" s="19"/>
      <c r="L808" s="20">
        <v>45994.291666666657</v>
      </c>
      <c r="M808" s="19"/>
      <c r="N808" s="22">
        <f t="shared" si="26"/>
        <v>0.48611111110949423</v>
      </c>
      <c r="O808" s="19" t="s">
        <v>50</v>
      </c>
      <c r="P808" s="19" t="s">
        <v>5986</v>
      </c>
      <c r="Q808" s="19" t="s">
        <v>5987</v>
      </c>
      <c r="R808" s="19"/>
      <c r="S808" s="19"/>
      <c r="U808" s="19"/>
      <c r="W808" s="19"/>
      <c r="X808" s="19" t="s">
        <v>314</v>
      </c>
      <c r="Y808" s="27" t="s">
        <v>54</v>
      </c>
      <c r="Z808" s="27" t="s">
        <v>55</v>
      </c>
      <c r="AA808" s="27" t="s">
        <v>5988</v>
      </c>
      <c r="AB808" s="27" t="s">
        <v>5989</v>
      </c>
      <c r="AC808" s="37" t="s">
        <v>5990</v>
      </c>
      <c r="AD808" s="38" t="s">
        <v>5991</v>
      </c>
      <c r="AE808" s="36">
        <v>45992</v>
      </c>
      <c r="AF808" s="19" t="s">
        <v>89</v>
      </c>
      <c r="AG808" s="19" t="s">
        <v>90</v>
      </c>
      <c r="AH808" s="19" t="s">
        <v>62</v>
      </c>
      <c r="AI808" s="19" t="s">
        <v>63</v>
      </c>
      <c r="AJ808" s="19" t="s">
        <v>5992</v>
      </c>
      <c r="AK808" s="19"/>
      <c r="AL808" s="19"/>
      <c r="AM808" s="19"/>
      <c r="AN808" s="19" t="s">
        <v>65</v>
      </c>
      <c r="AO808" s="23">
        <v>45993.805555555547</v>
      </c>
      <c r="AP808" s="26">
        <f t="shared" si="27"/>
        <v>700</v>
      </c>
    </row>
    <row r="809" spans="1:42" ht="32.25" hidden="1" customHeight="1">
      <c r="A809" s="19" t="s">
        <v>92</v>
      </c>
      <c r="B809" s="19" t="s">
        <v>1917</v>
      </c>
      <c r="C809" s="19" t="s">
        <v>1021</v>
      </c>
      <c r="D809" s="19" t="s">
        <v>45</v>
      </c>
      <c r="E809" s="19" t="s">
        <v>46</v>
      </c>
      <c r="F809" s="19" t="s">
        <v>5993</v>
      </c>
      <c r="G809" s="19" t="s">
        <v>48</v>
      </c>
      <c r="H809" s="19" t="s">
        <v>49</v>
      </c>
      <c r="I809" s="20">
        <v>45994.293749999997</v>
      </c>
      <c r="K809" s="19"/>
      <c r="L809" s="20">
        <v>45994.322916666657</v>
      </c>
      <c r="M809" s="19"/>
      <c r="N809" s="22">
        <f t="shared" si="26"/>
        <v>2.9166666659875773E-2</v>
      </c>
      <c r="O809" s="19" t="s">
        <v>50</v>
      </c>
      <c r="P809" s="19" t="s">
        <v>5169</v>
      </c>
      <c r="Q809" s="19" t="s">
        <v>5791</v>
      </c>
      <c r="R809" s="19"/>
      <c r="S809" s="19"/>
      <c r="U809" s="19"/>
      <c r="W809" s="19"/>
      <c r="X809" s="19" t="s">
        <v>109</v>
      </c>
      <c r="Y809" s="27" t="s">
        <v>147</v>
      </c>
      <c r="Z809" s="27" t="s">
        <v>78</v>
      </c>
      <c r="AA809" s="27" t="s">
        <v>78</v>
      </c>
      <c r="AB809" s="27" t="s">
        <v>147</v>
      </c>
      <c r="AC809" s="37" t="s">
        <v>78</v>
      </c>
      <c r="AD809" s="38" t="s">
        <v>78</v>
      </c>
      <c r="AE809" s="36">
        <v>45992</v>
      </c>
      <c r="AF809" s="19" t="s">
        <v>89</v>
      </c>
      <c r="AG809" s="19" t="s">
        <v>90</v>
      </c>
      <c r="AH809" s="19" t="s">
        <v>62</v>
      </c>
      <c r="AI809" s="19" t="s">
        <v>63</v>
      </c>
      <c r="AJ809" s="19" t="s">
        <v>5994</v>
      </c>
      <c r="AK809" s="19"/>
      <c r="AL809" s="19"/>
      <c r="AM809" s="19"/>
      <c r="AN809" s="19" t="s">
        <v>103</v>
      </c>
      <c r="AO809" s="23">
        <v>45994.305555555547</v>
      </c>
      <c r="AP809" s="26">
        <f t="shared" si="27"/>
        <v>42</v>
      </c>
    </row>
    <row r="810" spans="1:42" ht="32.25" hidden="1" customHeight="1">
      <c r="A810" s="19" t="s">
        <v>42</v>
      </c>
      <c r="B810" s="19" t="s">
        <v>5995</v>
      </c>
      <c r="C810" s="19" t="s">
        <v>5996</v>
      </c>
      <c r="D810" s="19" t="s">
        <v>45</v>
      </c>
      <c r="E810" s="19" t="s">
        <v>46</v>
      </c>
      <c r="F810" s="19" t="s">
        <v>5997</v>
      </c>
      <c r="G810" s="19" t="s">
        <v>48</v>
      </c>
      <c r="H810" s="19" t="s">
        <v>49</v>
      </c>
      <c r="I810" s="20">
        <v>45994.494444444441</v>
      </c>
      <c r="K810" s="19"/>
      <c r="L810" s="20">
        <v>45994.563888888893</v>
      </c>
      <c r="M810" s="19"/>
      <c r="N810" s="22">
        <f t="shared" si="26"/>
        <v>6.9444444452528842E-2</v>
      </c>
      <c r="O810" s="19" t="s">
        <v>50</v>
      </c>
      <c r="P810" s="19" t="s">
        <v>5998</v>
      </c>
      <c r="Q810" s="19" t="s">
        <v>5999</v>
      </c>
      <c r="R810" s="19" t="s">
        <v>6000</v>
      </c>
      <c r="S810" s="19" t="s">
        <v>6001</v>
      </c>
      <c r="T810" s="20">
        <v>45994.721134259264</v>
      </c>
      <c r="U810" s="19"/>
      <c r="V810" s="19" t="s">
        <v>861</v>
      </c>
      <c r="W810" s="19"/>
      <c r="X810" s="19" t="s">
        <v>6002</v>
      </c>
      <c r="Y810" s="27" t="s">
        <v>54</v>
      </c>
      <c r="Z810" s="27" t="s">
        <v>6003</v>
      </c>
      <c r="AA810" s="27" t="s">
        <v>6004</v>
      </c>
      <c r="AB810" s="27" t="s">
        <v>6005</v>
      </c>
      <c r="AC810" s="37" t="s">
        <v>6006</v>
      </c>
      <c r="AD810" s="38" t="s">
        <v>6007</v>
      </c>
      <c r="AE810" s="36">
        <v>45992</v>
      </c>
      <c r="AF810" s="19" t="s">
        <v>89</v>
      </c>
      <c r="AG810" s="19" t="s">
        <v>90</v>
      </c>
      <c r="AH810" s="19" t="s">
        <v>62</v>
      </c>
      <c r="AI810" s="19" t="s">
        <v>63</v>
      </c>
      <c r="AJ810" s="19" t="s">
        <v>6008</v>
      </c>
      <c r="AK810" s="19"/>
      <c r="AL810" s="19"/>
      <c r="AM810" s="19"/>
      <c r="AN810" s="19" t="s">
        <v>103</v>
      </c>
      <c r="AO810" s="23">
        <v>45994.494444444441</v>
      </c>
      <c r="AP810" s="26">
        <f t="shared" si="27"/>
        <v>100</v>
      </c>
    </row>
    <row r="811" spans="1:42" ht="32.25" customHeight="1">
      <c r="A811" s="19" t="s">
        <v>42</v>
      </c>
      <c r="B811" s="19" t="s">
        <v>3388</v>
      </c>
      <c r="C811" s="19" t="s">
        <v>6009</v>
      </c>
      <c r="D811" s="19" t="s">
        <v>45</v>
      </c>
      <c r="E811" s="19" t="s">
        <v>46</v>
      </c>
      <c r="F811" s="19" t="s">
        <v>6010</v>
      </c>
      <c r="G811" s="19" t="s">
        <v>48</v>
      </c>
      <c r="H811" s="19" t="s">
        <v>152</v>
      </c>
      <c r="I811" s="20">
        <v>45994.520833333343</v>
      </c>
      <c r="J811" s="20">
        <v>45994.548611111109</v>
      </c>
      <c r="K811" s="19"/>
      <c r="L811" s="20">
        <v>45994.569444444453</v>
      </c>
      <c r="M811" s="19"/>
      <c r="N811" s="22">
        <f t="shared" si="26"/>
        <v>4.8611111109494232E-2</v>
      </c>
      <c r="O811" s="19" t="s">
        <v>50</v>
      </c>
      <c r="P811" s="19" t="s">
        <v>6011</v>
      </c>
      <c r="Q811" s="19" t="s">
        <v>6012</v>
      </c>
      <c r="R811" s="19" t="s">
        <v>6013</v>
      </c>
      <c r="S811" s="19" t="s">
        <v>6014</v>
      </c>
      <c r="T811" s="20">
        <v>45994.679513888892</v>
      </c>
      <c r="U811" s="19">
        <v>45999.57916666667</v>
      </c>
      <c r="V811" s="19" t="s">
        <v>157</v>
      </c>
      <c r="W811" s="19"/>
      <c r="X811" s="19" t="s">
        <v>53</v>
      </c>
      <c r="Y811" s="27" t="s">
        <v>133</v>
      </c>
      <c r="Z811" s="27" t="s">
        <v>3653</v>
      </c>
      <c r="AA811" s="27" t="s">
        <v>6015</v>
      </c>
      <c r="AB811" s="27" t="s">
        <v>6016</v>
      </c>
      <c r="AC811" s="37" t="s">
        <v>6017</v>
      </c>
      <c r="AD811" s="38" t="s">
        <v>6018</v>
      </c>
      <c r="AE811" s="36">
        <v>45992</v>
      </c>
      <c r="AF811" s="19" t="s">
        <v>60</v>
      </c>
      <c r="AG811" s="19" t="s">
        <v>2436</v>
      </c>
      <c r="AH811" s="19" t="s">
        <v>62</v>
      </c>
      <c r="AI811" s="19" t="s">
        <v>63</v>
      </c>
      <c r="AJ811" s="19" t="s">
        <v>6019</v>
      </c>
      <c r="AK811" s="19"/>
      <c r="AL811" s="19"/>
      <c r="AM811" s="19"/>
      <c r="AN811" s="19" t="s">
        <v>103</v>
      </c>
      <c r="AO811" s="23">
        <v>45994.520833333343</v>
      </c>
      <c r="AP811" s="26">
        <f t="shared" si="27"/>
        <v>70</v>
      </c>
    </row>
    <row r="812" spans="1:42" ht="32.25" hidden="1" customHeight="1">
      <c r="A812" s="19" t="s">
        <v>42</v>
      </c>
      <c r="C812" s="19" t="s">
        <v>4186</v>
      </c>
      <c r="D812" s="19" t="s">
        <v>45</v>
      </c>
      <c r="E812" s="19" t="s">
        <v>46</v>
      </c>
      <c r="F812" s="19" t="s">
        <v>6020</v>
      </c>
      <c r="G812" s="19" t="s">
        <v>48</v>
      </c>
      <c r="H812" s="19" t="s">
        <v>49</v>
      </c>
      <c r="I812" s="20">
        <v>45994.63958333333</v>
      </c>
      <c r="K812" s="19"/>
      <c r="L812" s="20">
        <v>45994.669444444437</v>
      </c>
      <c r="M812" s="19"/>
      <c r="N812" s="22">
        <f t="shared" si="26"/>
        <v>2.9861111106583849E-2</v>
      </c>
      <c r="O812" s="19" t="s">
        <v>63</v>
      </c>
      <c r="P812" s="19" t="s">
        <v>6021</v>
      </c>
      <c r="Q812" s="19" t="s">
        <v>6022</v>
      </c>
      <c r="R812" s="19"/>
      <c r="S812" s="19"/>
      <c r="U812" s="19"/>
      <c r="W812" s="19"/>
      <c r="X812" s="19" t="s">
        <v>6023</v>
      </c>
      <c r="Y812" s="27" t="s">
        <v>54</v>
      </c>
      <c r="Z812" s="27" t="s">
        <v>414</v>
      </c>
      <c r="AA812" s="27" t="s">
        <v>6024</v>
      </c>
      <c r="AB812" s="27" t="s">
        <v>6025</v>
      </c>
      <c r="AC812" s="37">
        <v>45994.552199074067</v>
      </c>
      <c r="AD812" s="38">
        <v>45994.66684027778</v>
      </c>
      <c r="AE812" s="36">
        <v>45992</v>
      </c>
      <c r="AF812" s="19" t="s">
        <v>89</v>
      </c>
      <c r="AG812" s="19" t="s">
        <v>90</v>
      </c>
      <c r="AH812" s="19" t="s">
        <v>62</v>
      </c>
      <c r="AI812" s="19" t="s">
        <v>63</v>
      </c>
      <c r="AJ812" s="19" t="s">
        <v>6026</v>
      </c>
      <c r="AK812" s="19"/>
      <c r="AL812" s="19"/>
      <c r="AM812" s="19"/>
      <c r="AN812" s="19" t="s">
        <v>65</v>
      </c>
      <c r="AO812" s="23">
        <v>45994.63958333333</v>
      </c>
      <c r="AP812" s="26">
        <f t="shared" si="27"/>
        <v>43</v>
      </c>
    </row>
    <row r="813" spans="1:42" ht="32.25" hidden="1" customHeight="1">
      <c r="A813" s="19" t="s">
        <v>42</v>
      </c>
      <c r="B813" s="19" t="s">
        <v>6027</v>
      </c>
      <c r="C813" s="19" t="s">
        <v>6028</v>
      </c>
      <c r="D813" s="19" t="s">
        <v>45</v>
      </c>
      <c r="E813" s="19" t="s">
        <v>46</v>
      </c>
      <c r="F813" s="19" t="s">
        <v>5997</v>
      </c>
      <c r="G813" s="19" t="s">
        <v>226</v>
      </c>
      <c r="H813" s="19" t="s">
        <v>49</v>
      </c>
      <c r="I813" s="20">
        <v>45994.652083333327</v>
      </c>
      <c r="K813" s="19"/>
      <c r="L813" s="20">
        <v>45994.700694444437</v>
      </c>
      <c r="M813" s="19"/>
      <c r="N813" s="22">
        <f t="shared" si="26"/>
        <v>4.8611111109494232E-2</v>
      </c>
      <c r="O813" s="19" t="s">
        <v>50</v>
      </c>
      <c r="P813" s="19" t="s">
        <v>6029</v>
      </c>
      <c r="Q813" s="19" t="s">
        <v>6030</v>
      </c>
      <c r="R813" s="19"/>
      <c r="S813" s="19"/>
      <c r="U813" s="19"/>
      <c r="W813" s="19"/>
      <c r="X813" s="19" t="s">
        <v>6031</v>
      </c>
      <c r="Y813" s="27" t="s">
        <v>54</v>
      </c>
      <c r="Z813" s="27" t="s">
        <v>6032</v>
      </c>
      <c r="AA813" s="27" t="s">
        <v>6033</v>
      </c>
      <c r="AB813" s="27" t="s">
        <v>6034</v>
      </c>
      <c r="AC813" s="37" t="s">
        <v>6035</v>
      </c>
      <c r="AD813" s="38" t="s">
        <v>6036</v>
      </c>
      <c r="AE813" s="36">
        <v>45992</v>
      </c>
      <c r="AF813" s="19" t="s">
        <v>89</v>
      </c>
      <c r="AG813" s="19" t="s">
        <v>90</v>
      </c>
      <c r="AH813" s="19" t="s">
        <v>62</v>
      </c>
      <c r="AI813" s="19" t="s">
        <v>50</v>
      </c>
      <c r="AJ813" s="19" t="s">
        <v>6037</v>
      </c>
      <c r="AK813" s="19"/>
      <c r="AL813" s="19"/>
      <c r="AM813" s="19"/>
      <c r="AN813" s="19" t="s">
        <v>103</v>
      </c>
      <c r="AO813" s="23">
        <v>45994.652083333327</v>
      </c>
      <c r="AP813" s="26">
        <f t="shared" si="27"/>
        <v>70</v>
      </c>
    </row>
    <row r="814" spans="1:42" ht="32.25" hidden="1" customHeight="1">
      <c r="A814" s="19" t="s">
        <v>42</v>
      </c>
      <c r="B814" s="19" t="s">
        <v>3388</v>
      </c>
      <c r="C814" s="19" t="s">
        <v>1903</v>
      </c>
      <c r="D814" s="19" t="s">
        <v>45</v>
      </c>
      <c r="E814" s="19" t="s">
        <v>46</v>
      </c>
      <c r="F814" s="19" t="s">
        <v>6038</v>
      </c>
      <c r="G814" s="19" t="s">
        <v>48</v>
      </c>
      <c r="H814" s="19" t="s">
        <v>49</v>
      </c>
      <c r="I814" s="20">
        <v>45995.447916666657</v>
      </c>
      <c r="K814" s="19"/>
      <c r="L814" s="20">
        <v>45995.461805555547</v>
      </c>
      <c r="M814" s="19"/>
      <c r="N814" s="22">
        <f t="shared" si="26"/>
        <v>1.3888888890505768E-2</v>
      </c>
      <c r="O814" s="19" t="s">
        <v>63</v>
      </c>
      <c r="P814" s="19" t="s">
        <v>6039</v>
      </c>
      <c r="Q814" s="19" t="s">
        <v>6040</v>
      </c>
      <c r="R814" s="19"/>
      <c r="S814" s="19"/>
      <c r="U814" s="19"/>
      <c r="W814" s="19"/>
      <c r="X814" s="19" t="s">
        <v>98</v>
      </c>
      <c r="Y814" s="27" t="s">
        <v>147</v>
      </c>
      <c r="Z814" s="27" t="s">
        <v>78</v>
      </c>
      <c r="AA814" s="27" t="s">
        <v>78</v>
      </c>
      <c r="AB814" s="27" t="s">
        <v>78</v>
      </c>
      <c r="AC814" s="37" t="s">
        <v>78</v>
      </c>
      <c r="AD814" s="38" t="s">
        <v>78</v>
      </c>
      <c r="AE814" s="36">
        <v>45992</v>
      </c>
      <c r="AF814" s="19" t="s">
        <v>89</v>
      </c>
      <c r="AG814" s="19" t="s">
        <v>90</v>
      </c>
      <c r="AH814" s="19" t="s">
        <v>62</v>
      </c>
      <c r="AI814" s="19" t="s">
        <v>63</v>
      </c>
      <c r="AJ814" s="19" t="s">
        <v>6041</v>
      </c>
      <c r="AK814" s="19"/>
      <c r="AL814" s="19"/>
      <c r="AM814" s="19"/>
      <c r="AN814" s="19" t="s">
        <v>65</v>
      </c>
      <c r="AO814" s="23">
        <v>45995.447916666657</v>
      </c>
      <c r="AP814" s="26">
        <f t="shared" si="27"/>
        <v>20</v>
      </c>
    </row>
    <row r="815" spans="1:42" ht="32.25" hidden="1" customHeight="1">
      <c r="A815" s="19" t="s">
        <v>42</v>
      </c>
      <c r="B815" s="19" t="s">
        <v>6042</v>
      </c>
      <c r="C815" s="19" t="s">
        <v>2162</v>
      </c>
      <c r="D815" s="19" t="s">
        <v>45</v>
      </c>
      <c r="E815" s="19" t="s">
        <v>46</v>
      </c>
      <c r="F815" s="19" t="s">
        <v>6043</v>
      </c>
      <c r="G815" s="19" t="s">
        <v>48</v>
      </c>
      <c r="H815" s="19" t="s">
        <v>49</v>
      </c>
      <c r="I815" s="20">
        <v>45995.556250000001</v>
      </c>
      <c r="K815" s="19"/>
      <c r="L815" s="20">
        <v>45995.614583333343</v>
      </c>
      <c r="M815" s="19"/>
      <c r="N815" s="22">
        <f t="shared" si="26"/>
        <v>5.8333333341579419E-2</v>
      </c>
      <c r="O815" s="19" t="s">
        <v>50</v>
      </c>
      <c r="P815" s="19" t="s">
        <v>6044</v>
      </c>
      <c r="Q815" s="19" t="s">
        <v>6045</v>
      </c>
      <c r="R815" s="19"/>
      <c r="S815" s="19"/>
      <c r="U815" s="19"/>
      <c r="W815" s="19"/>
      <c r="X815" s="19" t="s">
        <v>1589</v>
      </c>
      <c r="Y815" s="27" t="s">
        <v>54</v>
      </c>
      <c r="Z815" s="27" t="s">
        <v>414</v>
      </c>
      <c r="AA815" s="27" t="s">
        <v>6046</v>
      </c>
      <c r="AB815" s="27" t="s">
        <v>6047</v>
      </c>
      <c r="AC815" s="37">
        <v>45994.529861111107</v>
      </c>
      <c r="AD815" s="38">
        <v>45994.543749999997</v>
      </c>
      <c r="AE815" s="36">
        <v>45992</v>
      </c>
      <c r="AF815" s="19" t="s">
        <v>89</v>
      </c>
      <c r="AG815" s="19" t="s">
        <v>90</v>
      </c>
      <c r="AH815" s="19" t="s">
        <v>62</v>
      </c>
      <c r="AI815" s="19" t="s">
        <v>63</v>
      </c>
      <c r="AJ815" s="19" t="s">
        <v>6048</v>
      </c>
      <c r="AK815" s="19"/>
      <c r="AL815" s="19"/>
      <c r="AM815" s="19"/>
      <c r="AN815" s="19" t="s">
        <v>65</v>
      </c>
      <c r="AO815" s="23">
        <v>45995.556250000001</v>
      </c>
      <c r="AP815" s="26">
        <f t="shared" si="27"/>
        <v>84</v>
      </c>
    </row>
    <row r="816" spans="1:42" ht="32.25" hidden="1" customHeight="1">
      <c r="A816" s="19" t="s">
        <v>42</v>
      </c>
      <c r="B816" s="19" t="s">
        <v>6042</v>
      </c>
      <c r="C816" s="19" t="s">
        <v>2162</v>
      </c>
      <c r="D816" s="19" t="s">
        <v>45</v>
      </c>
      <c r="E816" s="19" t="s">
        <v>46</v>
      </c>
      <c r="F816" s="19" t="s">
        <v>6043</v>
      </c>
      <c r="G816" s="19" t="s">
        <v>226</v>
      </c>
      <c r="H816" s="19" t="s">
        <v>49</v>
      </c>
      <c r="I816" s="20">
        <v>45995.645138888889</v>
      </c>
      <c r="K816" s="19"/>
      <c r="L816" s="20">
        <v>45996.020833333343</v>
      </c>
      <c r="M816" s="19"/>
      <c r="N816" s="22">
        <f t="shared" si="26"/>
        <v>0.37569444445398403</v>
      </c>
      <c r="O816" s="19" t="s">
        <v>50</v>
      </c>
      <c r="P816" s="19" t="s">
        <v>6049</v>
      </c>
      <c r="Q816" s="19" t="s">
        <v>6050</v>
      </c>
      <c r="R816" s="19"/>
      <c r="S816" s="19"/>
      <c r="U816" s="19"/>
      <c r="W816" s="19"/>
      <c r="X816" s="19" t="s">
        <v>1589</v>
      </c>
      <c r="Y816" s="27" t="s">
        <v>147</v>
      </c>
      <c r="Z816" s="27" t="s">
        <v>78</v>
      </c>
      <c r="AA816" s="27" t="s">
        <v>78</v>
      </c>
      <c r="AB816" s="27" t="s">
        <v>147</v>
      </c>
      <c r="AC816" s="37" t="s">
        <v>78</v>
      </c>
      <c r="AD816" s="38" t="s">
        <v>78</v>
      </c>
      <c r="AE816" s="36">
        <v>45992</v>
      </c>
      <c r="AF816" s="19" t="s">
        <v>89</v>
      </c>
      <c r="AG816" s="19" t="s">
        <v>90</v>
      </c>
      <c r="AH816" s="19" t="s">
        <v>62</v>
      </c>
      <c r="AI816" s="19" t="s">
        <v>50</v>
      </c>
      <c r="AJ816" s="19" t="s">
        <v>6051</v>
      </c>
      <c r="AK816" s="19"/>
      <c r="AL816" s="19"/>
      <c r="AM816" s="19"/>
      <c r="AN816" s="19" t="s">
        <v>65</v>
      </c>
      <c r="AO816" s="23">
        <v>45995.645138888889</v>
      </c>
      <c r="AP816" s="26">
        <f t="shared" si="27"/>
        <v>541</v>
      </c>
    </row>
    <row r="817" spans="1:42" ht="32.25" hidden="1" customHeight="1">
      <c r="A817" s="19" t="s">
        <v>42</v>
      </c>
      <c r="B817" s="19" t="s">
        <v>3809</v>
      </c>
      <c r="C817" s="19" t="s">
        <v>471</v>
      </c>
      <c r="D817" s="19" t="s">
        <v>45</v>
      </c>
      <c r="E817" s="19" t="s">
        <v>877</v>
      </c>
      <c r="F817" s="19" t="s">
        <v>6052</v>
      </c>
      <c r="G817" s="19" t="s">
        <v>48</v>
      </c>
      <c r="H817" s="19" t="s">
        <v>49</v>
      </c>
      <c r="I817" s="20">
        <v>45995.732638888891</v>
      </c>
      <c r="K817" s="19"/>
      <c r="L817" s="20">
        <v>45995.774305555547</v>
      </c>
      <c r="M817" s="19"/>
      <c r="N817" s="22">
        <f t="shared" si="26"/>
        <v>4.166666665696539E-2</v>
      </c>
      <c r="O817" s="19" t="s">
        <v>50</v>
      </c>
      <c r="P817" s="19" t="s">
        <v>6053</v>
      </c>
      <c r="Q817" s="19" t="s">
        <v>6054</v>
      </c>
      <c r="R817" s="19" t="s">
        <v>6055</v>
      </c>
      <c r="S817" s="19" t="s">
        <v>6056</v>
      </c>
      <c r="T817" s="20">
        <v>45996.436631944453</v>
      </c>
      <c r="U817" s="19">
        <v>46000.51666666667</v>
      </c>
      <c r="V817" s="19" t="s">
        <v>157</v>
      </c>
      <c r="W817" s="19"/>
      <c r="X817" s="19" t="s">
        <v>475</v>
      </c>
      <c r="Y817" s="27" t="s">
        <v>133</v>
      </c>
      <c r="Z817" s="27" t="s">
        <v>6057</v>
      </c>
      <c r="AA817" s="27" t="s">
        <v>6058</v>
      </c>
      <c r="AB817" s="27" t="s">
        <v>6059</v>
      </c>
      <c r="AC817" s="37" t="s">
        <v>6060</v>
      </c>
      <c r="AD817" s="38" t="s">
        <v>6061</v>
      </c>
      <c r="AE817" s="36">
        <v>45992</v>
      </c>
      <c r="AF817" s="19" t="s">
        <v>78</v>
      </c>
      <c r="AG817" s="19" t="s">
        <v>78</v>
      </c>
      <c r="AH817" s="19" t="s">
        <v>78</v>
      </c>
      <c r="AI817" s="19" t="s">
        <v>63</v>
      </c>
      <c r="AJ817" s="19" t="s">
        <v>6062</v>
      </c>
      <c r="AK817" s="19"/>
      <c r="AL817" s="19"/>
      <c r="AM817" s="19"/>
      <c r="AN817" s="19" t="s">
        <v>128</v>
      </c>
      <c r="AO817" s="23">
        <v>45995.732638888891</v>
      </c>
      <c r="AP817" s="26">
        <f t="shared" si="27"/>
        <v>60</v>
      </c>
    </row>
    <row r="818" spans="1:42" ht="32.25" hidden="1" customHeight="1">
      <c r="A818" s="19" t="s">
        <v>42</v>
      </c>
      <c r="B818" s="19" t="s">
        <v>242</v>
      </c>
      <c r="C818" s="19" t="s">
        <v>5598</v>
      </c>
      <c r="D818" s="19" t="s">
        <v>45</v>
      </c>
      <c r="E818" s="19" t="s">
        <v>46</v>
      </c>
      <c r="F818" s="19" t="s">
        <v>6063</v>
      </c>
      <c r="G818" s="19" t="s">
        <v>48</v>
      </c>
      <c r="H818" s="19" t="s">
        <v>49</v>
      </c>
      <c r="I818" s="20">
        <v>45995.82916666667</v>
      </c>
      <c r="K818" s="19"/>
      <c r="L818" s="20">
        <v>45995.865277777782</v>
      </c>
      <c r="M818" s="19"/>
      <c r="N818" s="22">
        <f t="shared" si="26"/>
        <v>3.6111111112404615E-2</v>
      </c>
      <c r="O818" s="19" t="s">
        <v>50</v>
      </c>
      <c r="P818" s="19" t="s">
        <v>6064</v>
      </c>
      <c r="Q818" s="19" t="s">
        <v>6065</v>
      </c>
      <c r="R818" s="19"/>
      <c r="S818" s="19"/>
      <c r="U818" s="19"/>
      <c r="W818" s="19"/>
      <c r="X818" s="19" t="s">
        <v>662</v>
      </c>
      <c r="Y818" s="27" t="s">
        <v>54</v>
      </c>
      <c r="Z818" s="27" t="s">
        <v>414</v>
      </c>
      <c r="AA818" s="27" t="s">
        <v>6066</v>
      </c>
      <c r="AB818" s="27" t="s">
        <v>6067</v>
      </c>
      <c r="AC818" s="37">
        <v>45995.766145833331</v>
      </c>
      <c r="AD818" s="38">
        <v>45995.766145833331</v>
      </c>
      <c r="AE818" s="36">
        <v>45992</v>
      </c>
      <c r="AF818" s="19" t="s">
        <v>89</v>
      </c>
      <c r="AG818" s="19" t="s">
        <v>90</v>
      </c>
      <c r="AH818" s="19" t="s">
        <v>62</v>
      </c>
      <c r="AI818" s="19" t="s">
        <v>63</v>
      </c>
      <c r="AJ818" s="19" t="s">
        <v>6068</v>
      </c>
      <c r="AK818" s="19"/>
      <c r="AL818" s="19"/>
      <c r="AM818" s="19"/>
      <c r="AN818" s="19" t="s">
        <v>65</v>
      </c>
      <c r="AO818" s="23">
        <v>45995.82916666667</v>
      </c>
      <c r="AP818" s="26">
        <f t="shared" si="27"/>
        <v>52</v>
      </c>
    </row>
    <row r="819" spans="1:42" ht="32.25" hidden="1" customHeight="1">
      <c r="A819" s="19" t="s">
        <v>42</v>
      </c>
      <c r="B819" s="19" t="s">
        <v>5248</v>
      </c>
      <c r="C819" s="19" t="s">
        <v>2101</v>
      </c>
      <c r="D819" s="19" t="s">
        <v>45</v>
      </c>
      <c r="E819" s="19" t="s">
        <v>46</v>
      </c>
      <c r="F819" s="19" t="s">
        <v>6069</v>
      </c>
      <c r="G819" s="19" t="s">
        <v>48</v>
      </c>
      <c r="H819" s="19" t="s">
        <v>49</v>
      </c>
      <c r="I819" s="20">
        <v>45995.84375</v>
      </c>
      <c r="K819" s="19"/>
      <c r="L819" s="20">
        <v>45995.868055555547</v>
      </c>
      <c r="M819" s="19"/>
      <c r="N819" s="22">
        <f t="shared" si="26"/>
        <v>2.4305555547471158E-2</v>
      </c>
      <c r="O819" s="19" t="s">
        <v>50</v>
      </c>
      <c r="P819" s="19" t="s">
        <v>6070</v>
      </c>
      <c r="Q819" s="19" t="s">
        <v>6071</v>
      </c>
      <c r="R819" s="19"/>
      <c r="S819" s="19"/>
      <c r="U819" s="19"/>
      <c r="W819" s="19"/>
      <c r="X819" s="19" t="s">
        <v>314</v>
      </c>
      <c r="Y819" s="27" t="s">
        <v>133</v>
      </c>
      <c r="Z819" s="27" t="s">
        <v>6072</v>
      </c>
      <c r="AA819" s="27" t="s">
        <v>6073</v>
      </c>
      <c r="AB819" s="27" t="s">
        <v>6074</v>
      </c>
      <c r="AC819" s="37" t="s">
        <v>6075</v>
      </c>
      <c r="AD819" s="38" t="s">
        <v>6076</v>
      </c>
      <c r="AE819" s="36">
        <v>45992</v>
      </c>
      <c r="AF819" s="19" t="s">
        <v>89</v>
      </c>
      <c r="AG819" s="19" t="s">
        <v>90</v>
      </c>
      <c r="AH819" s="19" t="s">
        <v>62</v>
      </c>
      <c r="AI819" s="19" t="s">
        <v>63</v>
      </c>
      <c r="AJ819" s="19" t="s">
        <v>6077</v>
      </c>
      <c r="AK819" s="19"/>
      <c r="AL819" s="19"/>
      <c r="AM819" s="19"/>
      <c r="AN819" s="19" t="s">
        <v>103</v>
      </c>
      <c r="AO819" s="23">
        <v>45995.84375</v>
      </c>
      <c r="AP819" s="26">
        <f t="shared" si="27"/>
        <v>35</v>
      </c>
    </row>
    <row r="820" spans="1:42" ht="32.25" hidden="1" customHeight="1">
      <c r="A820" s="19" t="s">
        <v>42</v>
      </c>
      <c r="B820" s="19" t="s">
        <v>1407</v>
      </c>
      <c r="C820" s="19" t="s">
        <v>1408</v>
      </c>
      <c r="D820" s="19" t="s">
        <v>45</v>
      </c>
      <c r="E820" s="19" t="s">
        <v>225</v>
      </c>
      <c r="F820" s="19" t="s">
        <v>6078</v>
      </c>
      <c r="G820" s="19" t="s">
        <v>48</v>
      </c>
      <c r="H820" s="19" t="s">
        <v>49</v>
      </c>
      <c r="I820" s="20">
        <v>45995.958333333343</v>
      </c>
      <c r="K820" s="19"/>
      <c r="L820" s="20">
        <v>45995.99722222222</v>
      </c>
      <c r="M820" s="19"/>
      <c r="N820" s="22">
        <f t="shared" si="26"/>
        <v>3.8888888877409045E-2</v>
      </c>
      <c r="O820" s="19" t="s">
        <v>50</v>
      </c>
      <c r="P820" s="19" t="s">
        <v>6079</v>
      </c>
      <c r="Q820" s="19" t="s">
        <v>6080</v>
      </c>
      <c r="R820" s="19"/>
      <c r="S820" s="19"/>
      <c r="U820" s="19"/>
      <c r="W820" s="19"/>
      <c r="X820" s="19" t="s">
        <v>1412</v>
      </c>
      <c r="Y820" s="27" t="s">
        <v>63</v>
      </c>
      <c r="Z820" s="27" t="s">
        <v>78</v>
      </c>
      <c r="AA820" s="27" t="s">
        <v>78</v>
      </c>
      <c r="AB820" s="27" t="s">
        <v>78</v>
      </c>
      <c r="AC820" s="37" t="s">
        <v>78</v>
      </c>
      <c r="AD820" s="38" t="s">
        <v>78</v>
      </c>
      <c r="AE820" s="36">
        <v>45992</v>
      </c>
      <c r="AF820" s="19" t="s">
        <v>89</v>
      </c>
      <c r="AG820" s="19" t="s">
        <v>90</v>
      </c>
      <c r="AH820" s="19" t="s">
        <v>62</v>
      </c>
      <c r="AI820" s="19" t="s">
        <v>63</v>
      </c>
      <c r="AJ820" s="19" t="s">
        <v>6081</v>
      </c>
      <c r="AK820" s="19"/>
      <c r="AL820" s="19"/>
      <c r="AM820" s="19"/>
      <c r="AN820" s="19" t="s">
        <v>65</v>
      </c>
      <c r="AO820" s="23">
        <v>45995.958333333343</v>
      </c>
      <c r="AP820" s="26">
        <f t="shared" si="27"/>
        <v>56</v>
      </c>
    </row>
    <row r="821" spans="1:42" ht="32.25" customHeight="1">
      <c r="A821" s="19" t="s">
        <v>42</v>
      </c>
      <c r="C821" s="19" t="s">
        <v>6082</v>
      </c>
      <c r="D821" s="19" t="s">
        <v>45</v>
      </c>
      <c r="E821" s="19" t="s">
        <v>46</v>
      </c>
      <c r="F821" s="19" t="s">
        <v>5527</v>
      </c>
      <c r="G821" s="19" t="s">
        <v>48</v>
      </c>
      <c r="H821" s="19" t="s">
        <v>144</v>
      </c>
      <c r="I821" s="20">
        <v>45996.291666666657</v>
      </c>
      <c r="K821" s="19">
        <v>45996.337500000001</v>
      </c>
      <c r="L821" s="20">
        <v>45996.356944444437</v>
      </c>
      <c r="M821" s="19"/>
      <c r="N821" s="22">
        <f t="shared" si="26"/>
        <v>6.5277777779556345E-2</v>
      </c>
      <c r="O821" s="19" t="s">
        <v>50</v>
      </c>
      <c r="P821" s="19" t="s">
        <v>6083</v>
      </c>
      <c r="Q821" s="19" t="s">
        <v>6084</v>
      </c>
      <c r="R821" s="19"/>
      <c r="S821" s="19"/>
      <c r="U821" s="19"/>
      <c r="W821" s="19"/>
      <c r="X821" s="19" t="s">
        <v>72</v>
      </c>
      <c r="Y821" s="27" t="s">
        <v>147</v>
      </c>
      <c r="Z821" s="27" t="s">
        <v>78</v>
      </c>
      <c r="AA821" s="27" t="s">
        <v>147</v>
      </c>
      <c r="AB821" s="27" t="s">
        <v>147</v>
      </c>
      <c r="AC821" s="37" t="s">
        <v>78</v>
      </c>
      <c r="AD821" s="38" t="s">
        <v>78</v>
      </c>
      <c r="AE821" s="36">
        <v>45992</v>
      </c>
      <c r="AF821" s="19" t="s">
        <v>99</v>
      </c>
      <c r="AG821" s="19" t="s">
        <v>100</v>
      </c>
      <c r="AH821" s="19" t="s">
        <v>62</v>
      </c>
      <c r="AI821" s="19" t="s">
        <v>63</v>
      </c>
      <c r="AJ821" s="19" t="s">
        <v>6085</v>
      </c>
      <c r="AK821" s="19" t="s">
        <v>6086</v>
      </c>
      <c r="AL821" s="19"/>
      <c r="AM821" s="19"/>
      <c r="AN821" s="19" t="s">
        <v>65</v>
      </c>
      <c r="AO821" s="23">
        <v>45996.42291666667</v>
      </c>
      <c r="AP821" s="26">
        <f t="shared" si="27"/>
        <v>94</v>
      </c>
    </row>
    <row r="822" spans="1:42" ht="32.25" hidden="1" customHeight="1">
      <c r="A822" s="19" t="s">
        <v>42</v>
      </c>
      <c r="B822" s="19" t="s">
        <v>6042</v>
      </c>
      <c r="C822" s="19" t="s">
        <v>2162</v>
      </c>
      <c r="D822" s="19" t="s">
        <v>45</v>
      </c>
      <c r="E822" s="19" t="s">
        <v>46</v>
      </c>
      <c r="F822" s="19" t="s">
        <v>6043</v>
      </c>
      <c r="G822" s="19" t="s">
        <v>226</v>
      </c>
      <c r="H822" s="19" t="s">
        <v>49</v>
      </c>
      <c r="I822" s="20">
        <v>45996.371527777781</v>
      </c>
      <c r="K822" s="19"/>
      <c r="L822" s="20">
        <v>45998.125</v>
      </c>
      <c r="M822" s="19"/>
      <c r="N822" s="22">
        <f t="shared" si="26"/>
        <v>1.7534722222189885</v>
      </c>
      <c r="O822" s="19" t="s">
        <v>50</v>
      </c>
      <c r="P822" s="19" t="s">
        <v>6087</v>
      </c>
      <c r="Q822" s="19" t="s">
        <v>6088</v>
      </c>
      <c r="R822" s="19"/>
      <c r="S822" s="19"/>
      <c r="U822" s="19"/>
      <c r="W822" s="19"/>
      <c r="X822" s="19" t="s">
        <v>1589</v>
      </c>
      <c r="Y822" s="27" t="s">
        <v>147</v>
      </c>
      <c r="Z822" s="27" t="s">
        <v>78</v>
      </c>
      <c r="AA822" s="27" t="s">
        <v>78</v>
      </c>
      <c r="AB822" s="27" t="s">
        <v>78</v>
      </c>
      <c r="AC822" s="37" t="s">
        <v>78</v>
      </c>
      <c r="AD822" s="38" t="s">
        <v>78</v>
      </c>
      <c r="AE822" s="36">
        <v>45992</v>
      </c>
      <c r="AF822" s="19" t="s">
        <v>99</v>
      </c>
      <c r="AG822" s="19" t="s">
        <v>100</v>
      </c>
      <c r="AH822" s="19" t="s">
        <v>62</v>
      </c>
      <c r="AI822" s="19" t="s">
        <v>50</v>
      </c>
      <c r="AJ822" s="19" t="s">
        <v>6089</v>
      </c>
      <c r="AK822" s="19" t="s">
        <v>6090</v>
      </c>
      <c r="AL822" s="19"/>
      <c r="AM822" s="19"/>
      <c r="AN822" s="19" t="s">
        <v>65</v>
      </c>
      <c r="AO822" s="23">
        <v>45996.371527777781</v>
      </c>
      <c r="AP822" s="26">
        <f t="shared" si="27"/>
        <v>1085</v>
      </c>
    </row>
    <row r="823" spans="1:42" ht="32.25" hidden="1" customHeight="1">
      <c r="A823" s="19" t="s">
        <v>42</v>
      </c>
      <c r="B823" s="19" t="s">
        <v>5248</v>
      </c>
      <c r="C823" s="19" t="s">
        <v>336</v>
      </c>
      <c r="D823" s="19" t="s">
        <v>45</v>
      </c>
      <c r="E823" s="19" t="s">
        <v>46</v>
      </c>
      <c r="F823" s="19" t="s">
        <v>6091</v>
      </c>
      <c r="G823" s="19" t="s">
        <v>48</v>
      </c>
      <c r="H823" s="19" t="s">
        <v>49</v>
      </c>
      <c r="I823" s="20">
        <v>45996.810416666667</v>
      </c>
      <c r="K823" s="19"/>
      <c r="L823" s="20">
        <v>45996.815972222219</v>
      </c>
      <c r="M823" s="19"/>
      <c r="N823" s="22">
        <f t="shared" si="26"/>
        <v>5.5555555518367328E-3</v>
      </c>
      <c r="O823" s="19" t="s">
        <v>50</v>
      </c>
      <c r="P823" s="19" t="s">
        <v>5676</v>
      </c>
      <c r="Q823" s="19" t="s">
        <v>5677</v>
      </c>
      <c r="R823" s="19"/>
      <c r="S823" s="19"/>
      <c r="U823" s="19"/>
      <c r="W823" s="19"/>
      <c r="X823" s="19" t="s">
        <v>314</v>
      </c>
      <c r="Y823" s="27" t="s">
        <v>54</v>
      </c>
      <c r="Z823" s="27" t="s">
        <v>414</v>
      </c>
      <c r="AA823" s="27" t="s">
        <v>6092</v>
      </c>
      <c r="AB823" s="27" t="s">
        <v>6093</v>
      </c>
      <c r="AC823" s="37">
        <v>45996.813194444447</v>
      </c>
      <c r="AD823" s="38">
        <v>45996.820138888892</v>
      </c>
      <c r="AE823" s="36">
        <v>45992</v>
      </c>
      <c r="AF823" s="19" t="s">
        <v>89</v>
      </c>
      <c r="AG823" s="19" t="s">
        <v>90</v>
      </c>
      <c r="AH823" s="19" t="s">
        <v>62</v>
      </c>
      <c r="AI823" s="19" t="s">
        <v>63</v>
      </c>
      <c r="AJ823" s="19" t="s">
        <v>6094</v>
      </c>
      <c r="AK823" s="19"/>
      <c r="AL823" s="19"/>
      <c r="AM823" s="19"/>
      <c r="AN823" s="19" t="s">
        <v>103</v>
      </c>
      <c r="AO823" s="23">
        <v>45996.810416666667</v>
      </c>
      <c r="AP823" s="26">
        <f t="shared" si="27"/>
        <v>8</v>
      </c>
    </row>
    <row r="824" spans="1:42" ht="32.25" hidden="1" customHeight="1">
      <c r="A824" s="19" t="s">
        <v>42</v>
      </c>
      <c r="B824" s="19" t="s">
        <v>6095</v>
      </c>
      <c r="C824" s="19" t="s">
        <v>6096</v>
      </c>
      <c r="D824" s="19" t="s">
        <v>45</v>
      </c>
      <c r="E824" s="19" t="s">
        <v>46</v>
      </c>
      <c r="F824" s="19" t="s">
        <v>6097</v>
      </c>
      <c r="G824" s="19" t="s">
        <v>48</v>
      </c>
      <c r="H824" s="19" t="s">
        <v>49</v>
      </c>
      <c r="I824" s="20">
        <v>45997.103472222218</v>
      </c>
      <c r="K824" s="19"/>
      <c r="L824" s="20">
        <v>45997.145833333343</v>
      </c>
      <c r="M824" s="19"/>
      <c r="N824" s="22">
        <f t="shared" si="26"/>
        <v>4.2361111125501338E-2</v>
      </c>
      <c r="O824" s="19" t="s">
        <v>50</v>
      </c>
      <c r="P824" s="19" t="s">
        <v>6098</v>
      </c>
      <c r="Q824" s="19" t="s">
        <v>6099</v>
      </c>
      <c r="R824" s="19" t="s">
        <v>6100</v>
      </c>
      <c r="S824" s="19" t="s">
        <v>6101</v>
      </c>
      <c r="T824" s="20">
        <v>45999.018460648149</v>
      </c>
      <c r="U824" s="19">
        <v>45999.661805555559</v>
      </c>
      <c r="V824" s="19" t="s">
        <v>157</v>
      </c>
      <c r="W824" s="19"/>
      <c r="X824" s="19" t="s">
        <v>6102</v>
      </c>
      <c r="Y824" s="27" t="s">
        <v>133</v>
      </c>
      <c r="Z824" s="27" t="s">
        <v>361</v>
      </c>
      <c r="AA824" s="27" t="s">
        <v>6103</v>
      </c>
      <c r="AB824" s="27" t="s">
        <v>6104</v>
      </c>
      <c r="AC824" s="37" t="s">
        <v>6105</v>
      </c>
      <c r="AD824" s="38" t="s">
        <v>6106</v>
      </c>
      <c r="AE824" s="36">
        <v>45992</v>
      </c>
      <c r="AF824" s="19" t="s">
        <v>293</v>
      </c>
      <c r="AG824" s="19" t="s">
        <v>307</v>
      </c>
      <c r="AH824" s="19" t="s">
        <v>164</v>
      </c>
      <c r="AI824" s="19" t="s">
        <v>63</v>
      </c>
      <c r="AJ824" s="19" t="s">
        <v>6107</v>
      </c>
      <c r="AK824" s="19"/>
      <c r="AL824" s="19"/>
      <c r="AM824" s="19"/>
      <c r="AN824" s="19" t="s">
        <v>128</v>
      </c>
      <c r="AO824" s="23">
        <v>45997.118055555547</v>
      </c>
      <c r="AP824" s="26">
        <f t="shared" si="27"/>
        <v>61</v>
      </c>
    </row>
    <row r="825" spans="1:42" ht="32.25" hidden="1" customHeight="1">
      <c r="A825" s="19" t="s">
        <v>42</v>
      </c>
      <c r="B825" s="19" t="s">
        <v>4075</v>
      </c>
      <c r="C825" s="19" t="s">
        <v>336</v>
      </c>
      <c r="D825" s="19" t="s">
        <v>45</v>
      </c>
      <c r="E825" s="19" t="s">
        <v>46</v>
      </c>
      <c r="F825" s="19" t="s">
        <v>6108</v>
      </c>
      <c r="G825" s="19" t="s">
        <v>48</v>
      </c>
      <c r="H825" s="19" t="s">
        <v>49</v>
      </c>
      <c r="I825" s="20">
        <v>45997.405555555553</v>
      </c>
      <c r="K825" s="19"/>
      <c r="L825" s="20">
        <v>45997.435416666667</v>
      </c>
      <c r="M825" s="19"/>
      <c r="N825" s="22">
        <f t="shared" si="26"/>
        <v>2.9861111113859806E-2</v>
      </c>
      <c r="O825" s="19" t="s">
        <v>50</v>
      </c>
      <c r="P825" s="19" t="s">
        <v>6109</v>
      </c>
      <c r="Q825" s="19" t="s">
        <v>6110</v>
      </c>
      <c r="R825" s="19"/>
      <c r="S825" s="19"/>
      <c r="U825" s="19"/>
      <c r="W825" s="19"/>
      <c r="X825" s="19" t="s">
        <v>314</v>
      </c>
      <c r="Y825" s="27" t="s">
        <v>54</v>
      </c>
      <c r="Z825" s="27" t="s">
        <v>110</v>
      </c>
      <c r="AA825" s="27" t="s">
        <v>6111</v>
      </c>
      <c r="AB825" s="27" t="s">
        <v>6112</v>
      </c>
      <c r="AC825" s="37" t="s">
        <v>6113</v>
      </c>
      <c r="AD825" s="38" t="s">
        <v>6114</v>
      </c>
      <c r="AE825" s="36">
        <v>45992</v>
      </c>
      <c r="AF825" s="19" t="s">
        <v>60</v>
      </c>
      <c r="AG825" s="19" t="s">
        <v>61</v>
      </c>
      <c r="AH825" s="19" t="s">
        <v>62</v>
      </c>
      <c r="AI825" s="19" t="s">
        <v>63</v>
      </c>
      <c r="AJ825" s="19" t="s">
        <v>6115</v>
      </c>
      <c r="AK825" s="19"/>
      <c r="AL825" s="19"/>
      <c r="AM825" s="19"/>
      <c r="AN825" s="19" t="s">
        <v>166</v>
      </c>
      <c r="AO825" s="23">
        <v>45997.405555555553</v>
      </c>
      <c r="AP825" s="26">
        <f t="shared" si="27"/>
        <v>43</v>
      </c>
    </row>
    <row r="826" spans="1:42" ht="32.25" hidden="1" customHeight="1">
      <c r="A826" s="19" t="s">
        <v>42</v>
      </c>
      <c r="B826" s="19" t="s">
        <v>1917</v>
      </c>
      <c r="C826" s="19" t="s">
        <v>2480</v>
      </c>
      <c r="D826" s="19" t="s">
        <v>45</v>
      </c>
      <c r="E826" s="19" t="s">
        <v>46</v>
      </c>
      <c r="F826" s="19" t="s">
        <v>6116</v>
      </c>
      <c r="G826" s="19" t="s">
        <v>48</v>
      </c>
      <c r="H826" s="19" t="s">
        <v>49</v>
      </c>
      <c r="I826" s="20">
        <v>45997.620833333327</v>
      </c>
      <c r="K826" s="19"/>
      <c r="L826" s="20">
        <v>45997.715277777781</v>
      </c>
      <c r="M826" s="19"/>
      <c r="N826" s="22">
        <f t="shared" si="26"/>
        <v>9.4444444453984033E-2</v>
      </c>
      <c r="O826" s="19" t="s">
        <v>50</v>
      </c>
      <c r="P826" s="19" t="s">
        <v>6117</v>
      </c>
      <c r="Q826" s="19" t="s">
        <v>6118</v>
      </c>
      <c r="R826" s="19"/>
      <c r="S826" s="19"/>
      <c r="U826" s="19"/>
      <c r="W826" s="19"/>
      <c r="X826" s="19" t="s">
        <v>109</v>
      </c>
      <c r="Y826" s="27" t="s">
        <v>147</v>
      </c>
      <c r="Z826" s="27" t="s">
        <v>78</v>
      </c>
      <c r="AA826" s="27" t="s">
        <v>78</v>
      </c>
      <c r="AB826" s="27" t="s">
        <v>78</v>
      </c>
      <c r="AC826" s="37" t="s">
        <v>78</v>
      </c>
      <c r="AD826" s="38" t="s">
        <v>78</v>
      </c>
      <c r="AE826" s="36">
        <v>45992</v>
      </c>
      <c r="AF826" s="19" t="s">
        <v>60</v>
      </c>
      <c r="AG826" s="19" t="s">
        <v>78</v>
      </c>
      <c r="AH826" s="19" t="s">
        <v>78</v>
      </c>
      <c r="AI826" s="19" t="s">
        <v>63</v>
      </c>
      <c r="AJ826" s="19" t="s">
        <v>6119</v>
      </c>
      <c r="AK826" s="19"/>
      <c r="AL826" s="19"/>
      <c r="AM826" s="19"/>
      <c r="AN826" s="19" t="s">
        <v>166</v>
      </c>
      <c r="AO826" s="23">
        <v>45997.715277777781</v>
      </c>
      <c r="AP826" s="26">
        <f t="shared" si="27"/>
        <v>136</v>
      </c>
    </row>
    <row r="827" spans="1:42" ht="32.25" hidden="1" customHeight="1">
      <c r="A827" s="19" t="s">
        <v>42</v>
      </c>
      <c r="B827" s="19" t="s">
        <v>6120</v>
      </c>
      <c r="C827" s="19" t="s">
        <v>336</v>
      </c>
      <c r="D827" s="19" t="s">
        <v>45</v>
      </c>
      <c r="E827" s="19" t="s">
        <v>46</v>
      </c>
      <c r="F827" s="19" t="s">
        <v>6121</v>
      </c>
      <c r="G827" s="19" t="s">
        <v>48</v>
      </c>
      <c r="H827" s="19" t="s">
        <v>49</v>
      </c>
      <c r="I827" s="20">
        <v>45997.895833333343</v>
      </c>
      <c r="K827" s="19"/>
      <c r="L827" s="20">
        <v>45997.927083333343</v>
      </c>
      <c r="M827" s="19"/>
      <c r="N827" s="22">
        <f t="shared" si="26"/>
        <v>3.125E-2</v>
      </c>
      <c r="O827" s="19" t="s">
        <v>50</v>
      </c>
      <c r="P827" s="19" t="s">
        <v>6122</v>
      </c>
      <c r="Q827" s="19" t="s">
        <v>6123</v>
      </c>
      <c r="R827" s="19"/>
      <c r="S827" s="19"/>
      <c r="U827" s="19"/>
      <c r="W827" s="19"/>
      <c r="X827" s="19" t="s">
        <v>6023</v>
      </c>
      <c r="Y827" s="27" t="s">
        <v>54</v>
      </c>
      <c r="Z827" s="27" t="s">
        <v>1852</v>
      </c>
      <c r="AA827" s="27" t="s">
        <v>6124</v>
      </c>
      <c r="AB827" s="27" t="s">
        <v>6125</v>
      </c>
      <c r="AC827" s="37" t="s">
        <v>6126</v>
      </c>
      <c r="AD827" s="38" t="s">
        <v>6127</v>
      </c>
      <c r="AE827" s="36">
        <v>45992</v>
      </c>
      <c r="AF827" s="19" t="s">
        <v>89</v>
      </c>
      <c r="AG827" s="19" t="s">
        <v>90</v>
      </c>
      <c r="AH827" s="19" t="s">
        <v>62</v>
      </c>
      <c r="AI827" s="19" t="s">
        <v>63</v>
      </c>
      <c r="AJ827" s="19" t="s">
        <v>6128</v>
      </c>
      <c r="AK827" s="19"/>
      <c r="AL827" s="19"/>
      <c r="AM827" s="19"/>
      <c r="AN827" s="19" t="s">
        <v>166</v>
      </c>
      <c r="AO827" s="23">
        <v>45997.915972222218</v>
      </c>
      <c r="AP827" s="26">
        <f t="shared" si="27"/>
        <v>45</v>
      </c>
    </row>
    <row r="828" spans="1:42" ht="32.25" hidden="1" customHeight="1">
      <c r="A828" s="19" t="s">
        <v>42</v>
      </c>
      <c r="B828" s="19" t="s">
        <v>6129</v>
      </c>
      <c r="C828" s="19" t="s">
        <v>2162</v>
      </c>
      <c r="D828" s="19" t="s">
        <v>45</v>
      </c>
      <c r="E828" s="19" t="s">
        <v>46</v>
      </c>
      <c r="F828" s="19" t="s">
        <v>6130</v>
      </c>
      <c r="G828" s="19" t="s">
        <v>48</v>
      </c>
      <c r="H828" s="19" t="s">
        <v>49</v>
      </c>
      <c r="I828" s="20">
        <v>45997.958333333343</v>
      </c>
      <c r="K828" s="19"/>
      <c r="L828" s="20">
        <v>45997.975694444453</v>
      </c>
      <c r="M828" s="19"/>
      <c r="N828" s="22">
        <f t="shared" si="26"/>
        <v>1.7361111109494232E-2</v>
      </c>
      <c r="O828" s="19" t="s">
        <v>50</v>
      </c>
      <c r="P828" s="19" t="s">
        <v>6131</v>
      </c>
      <c r="Q828" s="19" t="s">
        <v>6132</v>
      </c>
      <c r="R828" s="19" t="s">
        <v>6100</v>
      </c>
      <c r="S828" s="19" t="s">
        <v>6101</v>
      </c>
      <c r="T828" s="20">
        <v>45999.018460648149</v>
      </c>
      <c r="U828" s="19">
        <v>45999.661805555559</v>
      </c>
      <c r="V828" s="19" t="s">
        <v>157</v>
      </c>
      <c r="W828" s="19"/>
      <c r="X828" s="19" t="s">
        <v>1589</v>
      </c>
      <c r="Y828" s="27" t="s">
        <v>133</v>
      </c>
      <c r="Z828" s="27" t="s">
        <v>55</v>
      </c>
      <c r="AA828" s="27" t="s">
        <v>6133</v>
      </c>
      <c r="AB828" s="27" t="s">
        <v>6134</v>
      </c>
      <c r="AC828" s="37" t="s">
        <v>6135</v>
      </c>
      <c r="AD828" s="38" t="s">
        <v>6136</v>
      </c>
      <c r="AE828" s="36">
        <v>45992</v>
      </c>
      <c r="AF828" s="19" t="s">
        <v>293</v>
      </c>
      <c r="AG828" s="19" t="s">
        <v>307</v>
      </c>
      <c r="AH828" s="19" t="s">
        <v>164</v>
      </c>
      <c r="AI828" s="19" t="s">
        <v>63</v>
      </c>
      <c r="AJ828" s="19" t="s">
        <v>6137</v>
      </c>
      <c r="AK828" s="19"/>
      <c r="AL828" s="19"/>
      <c r="AM828" s="19"/>
      <c r="AN828" s="19" t="s">
        <v>166</v>
      </c>
      <c r="AO828" s="23">
        <v>45997.958333333343</v>
      </c>
      <c r="AP828" s="26">
        <f t="shared" si="27"/>
        <v>25</v>
      </c>
    </row>
    <row r="829" spans="1:42" ht="32.25" hidden="1" customHeight="1">
      <c r="A829" s="19" t="s">
        <v>42</v>
      </c>
      <c r="C829" s="19" t="s">
        <v>3818</v>
      </c>
      <c r="D829" s="19" t="s">
        <v>45</v>
      </c>
      <c r="E829" s="19" t="s">
        <v>46</v>
      </c>
      <c r="F829" s="19" t="s">
        <v>6138</v>
      </c>
      <c r="G829" s="19" t="s">
        <v>48</v>
      </c>
      <c r="H829" s="19" t="s">
        <v>49</v>
      </c>
      <c r="I829" s="20">
        <v>45998.291666666657</v>
      </c>
      <c r="K829" s="19"/>
      <c r="L829" s="20">
        <v>45998.50277777778</v>
      </c>
      <c r="M829" s="19"/>
      <c r="N829" s="22">
        <f t="shared" si="26"/>
        <v>0.21111111112259096</v>
      </c>
      <c r="O829" s="19" t="s">
        <v>50</v>
      </c>
      <c r="P829" s="19" t="s">
        <v>6139</v>
      </c>
      <c r="Q829" s="19" t="s">
        <v>6140</v>
      </c>
      <c r="R829" s="19"/>
      <c r="S829" s="19"/>
      <c r="U829" s="19"/>
      <c r="W829" s="19"/>
      <c r="X829" s="19" t="s">
        <v>1589</v>
      </c>
      <c r="Y829" s="27" t="s">
        <v>147</v>
      </c>
      <c r="Z829" s="27" t="s">
        <v>78</v>
      </c>
      <c r="AA829" s="27" t="s">
        <v>78</v>
      </c>
      <c r="AB829" s="27" t="s">
        <v>78</v>
      </c>
      <c r="AC829" s="37" t="s">
        <v>78</v>
      </c>
      <c r="AD829" s="38" t="s">
        <v>78</v>
      </c>
      <c r="AE829" s="36">
        <v>45992</v>
      </c>
      <c r="AF829" s="19" t="s">
        <v>60</v>
      </c>
      <c r="AG829" s="19" t="s">
        <v>78</v>
      </c>
      <c r="AH829" s="19" t="s">
        <v>78</v>
      </c>
      <c r="AI829" s="19" t="s">
        <v>63</v>
      </c>
      <c r="AJ829" s="19" t="s">
        <v>6141</v>
      </c>
      <c r="AK829" s="19"/>
      <c r="AL829" s="19"/>
      <c r="AM829" s="19"/>
      <c r="AN829" s="19" t="s">
        <v>166</v>
      </c>
      <c r="AO829" s="23">
        <v>45998.291666666657</v>
      </c>
      <c r="AP829" s="26">
        <f t="shared" si="27"/>
        <v>304</v>
      </c>
    </row>
    <row r="830" spans="1:42" ht="32.25" hidden="1" customHeight="1">
      <c r="A830" s="19" t="s">
        <v>42</v>
      </c>
      <c r="B830" s="19" t="s">
        <v>6142</v>
      </c>
      <c r="C830" s="19" t="s">
        <v>2567</v>
      </c>
      <c r="D830" s="19" t="s">
        <v>45</v>
      </c>
      <c r="E830" s="19" t="s">
        <v>46</v>
      </c>
      <c r="F830" s="19" t="s">
        <v>6143</v>
      </c>
      <c r="G830" s="19" t="s">
        <v>48</v>
      </c>
      <c r="H830" s="19" t="s">
        <v>49</v>
      </c>
      <c r="I830" s="20">
        <v>45998.362500000003</v>
      </c>
      <c r="K830" s="19"/>
      <c r="L830" s="20">
        <v>45998.643055555563</v>
      </c>
      <c r="M830" s="19"/>
      <c r="N830" s="22">
        <f t="shared" si="26"/>
        <v>0.28055555556056788</v>
      </c>
      <c r="O830" s="19" t="s">
        <v>50</v>
      </c>
      <c r="P830" s="19" t="s">
        <v>6144</v>
      </c>
      <c r="Q830" s="19" t="s">
        <v>6145</v>
      </c>
      <c r="R830" s="19"/>
      <c r="S830" s="19"/>
      <c r="U830" s="19"/>
      <c r="W830" s="19"/>
      <c r="X830" s="19" t="s">
        <v>662</v>
      </c>
      <c r="Y830" s="27" t="s">
        <v>54</v>
      </c>
      <c r="Z830" s="27" t="s">
        <v>414</v>
      </c>
      <c r="AA830" s="27" t="s">
        <v>6146</v>
      </c>
      <c r="AB830" s="27" t="s">
        <v>6147</v>
      </c>
      <c r="AC830" s="37">
        <v>45998.324999999997</v>
      </c>
      <c r="AD830" s="38">
        <v>45998.439583333333</v>
      </c>
      <c r="AE830" s="36">
        <v>45992</v>
      </c>
      <c r="AF830" s="19" t="s">
        <v>89</v>
      </c>
      <c r="AG830" s="19" t="s">
        <v>90</v>
      </c>
      <c r="AH830" s="19" t="s">
        <v>62</v>
      </c>
      <c r="AI830" s="19" t="s">
        <v>63</v>
      </c>
      <c r="AJ830" s="19" t="s">
        <v>6148</v>
      </c>
      <c r="AK830" s="19"/>
      <c r="AL830" s="19"/>
      <c r="AM830" s="19"/>
      <c r="AN830" s="19" t="s">
        <v>166</v>
      </c>
      <c r="AO830" s="23">
        <v>45998.362500000003</v>
      </c>
      <c r="AP830" s="26">
        <f t="shared" si="27"/>
        <v>404</v>
      </c>
    </row>
    <row r="831" spans="1:42" ht="32.25" hidden="1" customHeight="1">
      <c r="A831" s="19" t="s">
        <v>285</v>
      </c>
      <c r="C831" s="19" t="s">
        <v>6149</v>
      </c>
      <c r="D831" s="19" t="s">
        <v>45</v>
      </c>
      <c r="E831" s="19" t="s">
        <v>46</v>
      </c>
      <c r="F831" s="19" t="s">
        <v>6150</v>
      </c>
      <c r="G831" s="19" t="s">
        <v>48</v>
      </c>
      <c r="H831" s="19" t="s">
        <v>49</v>
      </c>
      <c r="I831" s="20">
        <v>45998.613888888889</v>
      </c>
      <c r="K831" s="19"/>
      <c r="L831" s="20">
        <v>45998.736805555563</v>
      </c>
      <c r="M831" s="19"/>
      <c r="N831" s="22">
        <f t="shared" si="26"/>
        <v>0.12291666667442769</v>
      </c>
      <c r="O831" s="19" t="s">
        <v>63</v>
      </c>
      <c r="P831" s="19" t="s">
        <v>6151</v>
      </c>
      <c r="Q831" s="19" t="s">
        <v>6152</v>
      </c>
      <c r="R831" s="19" t="s">
        <v>6153</v>
      </c>
      <c r="S831" s="19" t="s">
        <v>6154</v>
      </c>
      <c r="T831" s="20">
        <v>45999.463923611111</v>
      </c>
      <c r="U831" s="19">
        <v>45999.727777777778</v>
      </c>
      <c r="V831" s="19" t="s">
        <v>157</v>
      </c>
      <c r="W831" s="19"/>
      <c r="X831" s="19" t="s">
        <v>2659</v>
      </c>
      <c r="Y831" s="27" t="s">
        <v>147</v>
      </c>
      <c r="Z831" s="27" t="s">
        <v>78</v>
      </c>
      <c r="AA831" s="27" t="s">
        <v>78</v>
      </c>
      <c r="AB831" s="27" t="s">
        <v>78</v>
      </c>
      <c r="AC831" s="37" t="s">
        <v>78</v>
      </c>
      <c r="AD831" s="38" t="s">
        <v>78</v>
      </c>
      <c r="AE831" s="36">
        <v>45992</v>
      </c>
      <c r="AF831" s="19" t="s">
        <v>89</v>
      </c>
      <c r="AG831" s="19" t="s">
        <v>90</v>
      </c>
      <c r="AH831" s="19" t="s">
        <v>62</v>
      </c>
      <c r="AI831" s="19" t="s">
        <v>63</v>
      </c>
      <c r="AJ831" s="19" t="s">
        <v>6155</v>
      </c>
      <c r="AK831" s="19"/>
      <c r="AL831" s="19"/>
      <c r="AM831" s="19"/>
      <c r="AN831" s="19" t="s">
        <v>65</v>
      </c>
      <c r="AO831" s="23">
        <v>45998.683333333327</v>
      </c>
      <c r="AP831" s="26">
        <f t="shared" si="27"/>
        <v>177</v>
      </c>
    </row>
    <row r="832" spans="1:42" ht="32.25" hidden="1" customHeight="1">
      <c r="A832" s="19" t="s">
        <v>42</v>
      </c>
      <c r="B832" s="19" t="s">
        <v>6156</v>
      </c>
      <c r="C832" s="19" t="s">
        <v>6157</v>
      </c>
      <c r="D832" s="19" t="s">
        <v>45</v>
      </c>
      <c r="E832" s="19" t="s">
        <v>46</v>
      </c>
      <c r="F832" s="19" t="s">
        <v>6158</v>
      </c>
      <c r="G832" s="19" t="s">
        <v>48</v>
      </c>
      <c r="H832" s="19" t="s">
        <v>49</v>
      </c>
      <c r="I832" s="20">
        <v>45998.930555555547</v>
      </c>
      <c r="K832" s="19"/>
      <c r="L832" s="20">
        <v>45998.940972222219</v>
      </c>
      <c r="M832" s="19"/>
      <c r="N832" s="22">
        <f t="shared" si="26"/>
        <v>1.0416666671517305E-2</v>
      </c>
      <c r="O832" s="19" t="s">
        <v>50</v>
      </c>
      <c r="P832" s="19" t="s">
        <v>6159</v>
      </c>
      <c r="Q832" s="19" t="s">
        <v>6160</v>
      </c>
      <c r="R832" s="19" t="s">
        <v>6100</v>
      </c>
      <c r="S832" s="19" t="s">
        <v>6101</v>
      </c>
      <c r="T832" s="20">
        <v>45999.018460648149</v>
      </c>
      <c r="U832" s="19">
        <v>45999.661805555559</v>
      </c>
      <c r="V832" s="19" t="s">
        <v>157</v>
      </c>
      <c r="W832" s="19"/>
      <c r="X832" s="19" t="s">
        <v>6161</v>
      </c>
      <c r="Y832" s="27" t="s">
        <v>133</v>
      </c>
      <c r="Z832" s="27" t="s">
        <v>2386</v>
      </c>
      <c r="AA832" s="27" t="s">
        <v>6162</v>
      </c>
      <c r="AB832" s="27" t="s">
        <v>6163</v>
      </c>
      <c r="AC832" s="37" t="s">
        <v>6164</v>
      </c>
      <c r="AD832" s="38" t="s">
        <v>6165</v>
      </c>
      <c r="AE832" s="36">
        <v>45992</v>
      </c>
      <c r="AF832" s="19" t="s">
        <v>293</v>
      </c>
      <c r="AG832" s="19" t="s">
        <v>307</v>
      </c>
      <c r="AH832" s="19" t="s">
        <v>164</v>
      </c>
      <c r="AI832" s="19" t="s">
        <v>63</v>
      </c>
      <c r="AJ832" s="19" t="s">
        <v>6166</v>
      </c>
      <c r="AK832" s="19"/>
      <c r="AL832" s="19"/>
      <c r="AM832" s="19"/>
      <c r="AN832" s="19" t="s">
        <v>65</v>
      </c>
      <c r="AO832" s="23">
        <v>45998.936111111107</v>
      </c>
      <c r="AP832" s="26">
        <f t="shared" si="27"/>
        <v>15</v>
      </c>
    </row>
    <row r="833" spans="1:42" ht="32.25" hidden="1" customHeight="1">
      <c r="A833" s="19" t="s">
        <v>42</v>
      </c>
      <c r="B833" s="19" t="s">
        <v>6167</v>
      </c>
      <c r="C833" s="19" t="s">
        <v>6168</v>
      </c>
      <c r="D833" s="19" t="s">
        <v>45</v>
      </c>
      <c r="E833" s="19" t="s">
        <v>46</v>
      </c>
      <c r="F833" s="19" t="s">
        <v>6169</v>
      </c>
      <c r="G833" s="19" t="s">
        <v>48</v>
      </c>
      <c r="H833" s="19" t="s">
        <v>49</v>
      </c>
      <c r="I833" s="20">
        <v>45999.055555555547</v>
      </c>
      <c r="K833" s="19"/>
      <c r="L833" s="20">
        <v>45999.152777777781</v>
      </c>
      <c r="M833" s="19"/>
      <c r="N833" s="22">
        <f t="shared" si="26"/>
        <v>9.7222222233540379E-2</v>
      </c>
      <c r="O833" s="19" t="s">
        <v>50</v>
      </c>
      <c r="P833" s="19" t="s">
        <v>6170</v>
      </c>
      <c r="Q833" s="19" t="s">
        <v>6171</v>
      </c>
      <c r="R833" s="19" t="s">
        <v>6172</v>
      </c>
      <c r="S833" s="19" t="s">
        <v>6173</v>
      </c>
      <c r="T833" s="20">
        <v>46000.537905092591</v>
      </c>
      <c r="U833" s="19">
        <v>46006.727083333331</v>
      </c>
      <c r="V833" s="19" t="s">
        <v>157</v>
      </c>
      <c r="W833" s="19"/>
      <c r="X833" s="19" t="s">
        <v>5588</v>
      </c>
      <c r="Y833" s="27" t="s">
        <v>54</v>
      </c>
      <c r="Z833" s="27" t="s">
        <v>259</v>
      </c>
      <c r="AA833" s="27" t="s">
        <v>6174</v>
      </c>
      <c r="AB833" s="27" t="s">
        <v>6175</v>
      </c>
      <c r="AC833" s="37" t="s">
        <v>6176</v>
      </c>
      <c r="AD833" s="38" t="s">
        <v>6177</v>
      </c>
      <c r="AE833" s="36">
        <v>45992</v>
      </c>
      <c r="AF833" s="19" t="s">
        <v>89</v>
      </c>
      <c r="AG833" s="19" t="s">
        <v>126</v>
      </c>
      <c r="AH833" s="19" t="s">
        <v>62</v>
      </c>
      <c r="AI833" s="19" t="s">
        <v>63</v>
      </c>
      <c r="AJ833" s="19" t="s">
        <v>6178</v>
      </c>
      <c r="AK833" s="19"/>
      <c r="AL833" s="19"/>
      <c r="AM833" s="19"/>
      <c r="AN833" s="19" t="s">
        <v>103</v>
      </c>
      <c r="AO833" s="23">
        <v>45999.055555555547</v>
      </c>
      <c r="AP833" s="26">
        <f t="shared" si="27"/>
        <v>140</v>
      </c>
    </row>
    <row r="834" spans="1:42" ht="32.25" hidden="1" customHeight="1">
      <c r="A834" s="19" t="s">
        <v>285</v>
      </c>
      <c r="B834" s="19" t="s">
        <v>5248</v>
      </c>
      <c r="C834" s="19" t="s">
        <v>336</v>
      </c>
      <c r="D834" s="19" t="s">
        <v>45</v>
      </c>
      <c r="E834" s="19" t="s">
        <v>46</v>
      </c>
      <c r="F834" s="19" t="s">
        <v>6179</v>
      </c>
      <c r="G834" s="19" t="s">
        <v>48</v>
      </c>
      <c r="H834" s="19" t="s">
        <v>49</v>
      </c>
      <c r="I834" s="20">
        <v>45999.339583333327</v>
      </c>
      <c r="K834" s="19"/>
      <c r="L834" s="20">
        <v>45999.414583333331</v>
      </c>
      <c r="M834" s="19"/>
      <c r="N834" s="22">
        <f t="shared" si="26"/>
        <v>7.5000000004365575E-2</v>
      </c>
      <c r="O834" s="19" t="s">
        <v>50</v>
      </c>
      <c r="P834" s="19" t="s">
        <v>6180</v>
      </c>
      <c r="Q834" s="19" t="s">
        <v>6181</v>
      </c>
      <c r="R834" s="19"/>
      <c r="S834" s="19"/>
      <c r="U834" s="19"/>
      <c r="W834" s="19"/>
      <c r="X834" s="19" t="s">
        <v>314</v>
      </c>
      <c r="Y834" s="27" t="s">
        <v>54</v>
      </c>
      <c r="Z834" s="27" t="s">
        <v>1852</v>
      </c>
      <c r="AA834" s="27" t="s">
        <v>6182</v>
      </c>
      <c r="AB834" s="27" t="s">
        <v>6183</v>
      </c>
      <c r="AC834" s="37" t="s">
        <v>6184</v>
      </c>
      <c r="AD834" s="38" t="s">
        <v>6185</v>
      </c>
      <c r="AE834" s="36">
        <v>45992</v>
      </c>
      <c r="AF834" s="19" t="s">
        <v>89</v>
      </c>
      <c r="AG834" s="19" t="s">
        <v>90</v>
      </c>
      <c r="AH834" s="19" t="s">
        <v>62</v>
      </c>
      <c r="AI834" s="19" t="s">
        <v>63</v>
      </c>
      <c r="AJ834" s="19" t="s">
        <v>6186</v>
      </c>
      <c r="AK834" s="19"/>
      <c r="AL834" s="19"/>
      <c r="AM834" s="19"/>
      <c r="AN834" s="19" t="s">
        <v>103</v>
      </c>
      <c r="AO834" s="23">
        <v>45999.339583333327</v>
      </c>
      <c r="AP834" s="26">
        <f t="shared" si="27"/>
        <v>108</v>
      </c>
    </row>
    <row r="835" spans="1:42" ht="32.25" hidden="1" customHeight="1">
      <c r="A835" s="19" t="s">
        <v>42</v>
      </c>
      <c r="B835" s="19" t="s">
        <v>4763</v>
      </c>
      <c r="C835" s="19" t="s">
        <v>1456</v>
      </c>
      <c r="D835" s="19" t="s">
        <v>45</v>
      </c>
      <c r="E835" s="19" t="s">
        <v>46</v>
      </c>
      <c r="F835" s="19" t="s">
        <v>6187</v>
      </c>
      <c r="G835" s="19" t="s">
        <v>48</v>
      </c>
      <c r="H835" s="19" t="s">
        <v>49</v>
      </c>
      <c r="I835" s="20">
        <v>45999.546527777777</v>
      </c>
      <c r="K835" s="19"/>
      <c r="L835" s="20">
        <v>45999.560416666667</v>
      </c>
      <c r="M835" s="19"/>
      <c r="N835" s="22">
        <f t="shared" si="26"/>
        <v>1.3888888890505768E-2</v>
      </c>
      <c r="O835" s="19" t="s">
        <v>50</v>
      </c>
      <c r="P835" s="19" t="s">
        <v>4765</v>
      </c>
      <c r="Q835" s="19" t="s">
        <v>6188</v>
      </c>
      <c r="R835" s="19"/>
      <c r="S835" s="19"/>
      <c r="U835" s="19"/>
      <c r="W835" s="19"/>
      <c r="X835" s="19" t="s">
        <v>620</v>
      </c>
      <c r="Y835" s="27" t="s">
        <v>54</v>
      </c>
      <c r="Z835" s="27" t="s">
        <v>414</v>
      </c>
      <c r="AA835" s="27" t="s">
        <v>6189</v>
      </c>
      <c r="AB835" s="27" t="s">
        <v>6190</v>
      </c>
      <c r="AC835" s="37">
        <v>45881.549421296288</v>
      </c>
      <c r="AD835" s="38">
        <v>45881.570254629631</v>
      </c>
      <c r="AE835" s="36">
        <v>45992</v>
      </c>
      <c r="AF835" s="19" t="s">
        <v>60</v>
      </c>
      <c r="AG835" s="19" t="s">
        <v>78</v>
      </c>
      <c r="AH835" s="19" t="s">
        <v>62</v>
      </c>
      <c r="AI835" s="19" t="s">
        <v>63</v>
      </c>
      <c r="AJ835" s="19" t="s">
        <v>6191</v>
      </c>
      <c r="AK835" s="19"/>
      <c r="AL835" s="19"/>
      <c r="AM835" s="19"/>
      <c r="AN835" s="19" t="s">
        <v>65</v>
      </c>
      <c r="AO835" s="23">
        <v>45999.546527777777</v>
      </c>
      <c r="AP835" s="26">
        <f t="shared" si="27"/>
        <v>20</v>
      </c>
    </row>
    <row r="836" spans="1:42" ht="32.25" hidden="1" customHeight="1">
      <c r="A836" s="19" t="s">
        <v>42</v>
      </c>
      <c r="B836" s="19" t="s">
        <v>309</v>
      </c>
      <c r="C836" s="19" t="s">
        <v>1637</v>
      </c>
      <c r="D836" s="19" t="s">
        <v>45</v>
      </c>
      <c r="E836" s="19" t="s">
        <v>46</v>
      </c>
      <c r="F836" s="19" t="s">
        <v>6192</v>
      </c>
      <c r="G836" s="19" t="s">
        <v>48</v>
      </c>
      <c r="H836" s="19" t="s">
        <v>49</v>
      </c>
      <c r="I836" s="20">
        <v>45999.713888888888</v>
      </c>
      <c r="K836" s="19"/>
      <c r="L836" s="20">
        <v>45999.791666666657</v>
      </c>
      <c r="M836" s="19"/>
      <c r="N836" s="22">
        <f t="shared" si="26"/>
        <v>7.7777777769370005E-2</v>
      </c>
      <c r="O836" s="19" t="s">
        <v>63</v>
      </c>
      <c r="P836" s="19" t="s">
        <v>6193</v>
      </c>
      <c r="Q836" s="19" t="s">
        <v>6194</v>
      </c>
      <c r="R836" s="19"/>
      <c r="S836" s="19"/>
      <c r="U836" s="19"/>
      <c r="W836" s="19"/>
      <c r="X836" s="19" t="s">
        <v>314</v>
      </c>
      <c r="Y836" s="27" t="s">
        <v>147</v>
      </c>
      <c r="Z836" s="27" t="s">
        <v>78</v>
      </c>
      <c r="AA836" s="27" t="s">
        <v>78</v>
      </c>
      <c r="AB836" s="27" t="s">
        <v>147</v>
      </c>
      <c r="AC836" s="37" t="s">
        <v>78</v>
      </c>
      <c r="AD836" s="38" t="s">
        <v>78</v>
      </c>
      <c r="AE836" s="36">
        <v>45992</v>
      </c>
      <c r="AF836" s="19" t="s">
        <v>89</v>
      </c>
      <c r="AG836" s="19" t="s">
        <v>90</v>
      </c>
      <c r="AH836" s="19" t="s">
        <v>62</v>
      </c>
      <c r="AI836" s="19" t="s">
        <v>63</v>
      </c>
      <c r="AJ836" s="19" t="s">
        <v>6195</v>
      </c>
      <c r="AK836" s="19"/>
      <c r="AL836" s="19"/>
      <c r="AM836" s="19"/>
      <c r="AN836" s="19" t="s">
        <v>65</v>
      </c>
      <c r="AO836" s="23">
        <v>45999.713888888888</v>
      </c>
      <c r="AP836" s="26">
        <f t="shared" si="27"/>
        <v>112</v>
      </c>
    </row>
    <row r="837" spans="1:42" ht="32.25" hidden="1" customHeight="1">
      <c r="A837" s="19" t="s">
        <v>116</v>
      </c>
      <c r="B837" s="19" t="s">
        <v>186</v>
      </c>
      <c r="C837" s="19" t="s">
        <v>577</v>
      </c>
      <c r="D837" s="19" t="s">
        <v>45</v>
      </c>
      <c r="E837" s="19" t="s">
        <v>46</v>
      </c>
      <c r="F837" s="19" t="s">
        <v>6196</v>
      </c>
      <c r="G837" s="19" t="s">
        <v>48</v>
      </c>
      <c r="H837" s="19" t="s">
        <v>49</v>
      </c>
      <c r="I837" s="20">
        <v>45999.718055555553</v>
      </c>
      <c r="K837" s="19"/>
      <c r="L837" s="20">
        <v>45999.739583333343</v>
      </c>
      <c r="M837" s="19"/>
      <c r="N837" s="22">
        <f t="shared" si="26"/>
        <v>2.1527777789742686E-2</v>
      </c>
      <c r="O837" s="19" t="s">
        <v>63</v>
      </c>
      <c r="P837" s="19" t="s">
        <v>6197</v>
      </c>
      <c r="Q837" s="19" t="s">
        <v>6198</v>
      </c>
      <c r="R837" s="19"/>
      <c r="S837" s="19"/>
      <c r="U837" s="19"/>
      <c r="W837" s="19"/>
      <c r="X837" s="19" t="s">
        <v>191</v>
      </c>
      <c r="Y837" s="27" t="s">
        <v>147</v>
      </c>
      <c r="Z837" s="27" t="s">
        <v>78</v>
      </c>
      <c r="AA837" s="27" t="s">
        <v>78</v>
      </c>
      <c r="AB837" s="27" t="s">
        <v>147</v>
      </c>
      <c r="AC837" s="37" t="s">
        <v>78</v>
      </c>
      <c r="AD837" s="38" t="s">
        <v>78</v>
      </c>
      <c r="AE837" s="36">
        <v>45992</v>
      </c>
      <c r="AF837" s="19" t="s">
        <v>89</v>
      </c>
      <c r="AG837" s="19" t="s">
        <v>90</v>
      </c>
      <c r="AH837" s="19" t="s">
        <v>62</v>
      </c>
      <c r="AI837" s="19" t="s">
        <v>63</v>
      </c>
      <c r="AJ837" s="19" t="s">
        <v>6199</v>
      </c>
      <c r="AK837" s="19"/>
      <c r="AL837" s="19"/>
      <c r="AM837" s="19"/>
      <c r="AN837" s="19" t="s">
        <v>65</v>
      </c>
      <c r="AO837" s="23">
        <v>45999.718055555553</v>
      </c>
      <c r="AP837" s="26">
        <f t="shared" si="27"/>
        <v>31</v>
      </c>
    </row>
    <row r="838" spans="1:42" ht="32.25" hidden="1" customHeight="1">
      <c r="A838" s="19" t="s">
        <v>285</v>
      </c>
      <c r="B838" s="19" t="s">
        <v>186</v>
      </c>
      <c r="C838" s="19" t="s">
        <v>577</v>
      </c>
      <c r="D838" s="19" t="s">
        <v>45</v>
      </c>
      <c r="E838" s="19" t="s">
        <v>46</v>
      </c>
      <c r="F838" s="19" t="s">
        <v>6200</v>
      </c>
      <c r="G838" s="19" t="s">
        <v>48</v>
      </c>
      <c r="H838" s="19" t="s">
        <v>49</v>
      </c>
      <c r="I838" s="20">
        <v>46000.164583333331</v>
      </c>
      <c r="K838" s="19"/>
      <c r="L838" s="20">
        <v>46000.504861111112</v>
      </c>
      <c r="M838" s="19"/>
      <c r="N838" s="22">
        <f t="shared" si="26"/>
        <v>0.34027777778101154</v>
      </c>
      <c r="O838" s="19" t="s">
        <v>63</v>
      </c>
      <c r="P838" s="19" t="s">
        <v>3245</v>
      </c>
      <c r="Q838" s="19" t="s">
        <v>6201</v>
      </c>
      <c r="R838" s="19"/>
      <c r="S838" s="19"/>
      <c r="U838" s="19"/>
      <c r="W838" s="19"/>
      <c r="X838" s="19" t="s">
        <v>191</v>
      </c>
      <c r="Y838" s="27" t="s">
        <v>147</v>
      </c>
      <c r="Z838" s="27" t="s">
        <v>78</v>
      </c>
      <c r="AA838" s="27" t="s">
        <v>78</v>
      </c>
      <c r="AB838" s="27" t="s">
        <v>147</v>
      </c>
      <c r="AC838" s="37" t="s">
        <v>78</v>
      </c>
      <c r="AD838" s="38" t="s">
        <v>78</v>
      </c>
      <c r="AE838" s="36">
        <v>45992</v>
      </c>
      <c r="AF838" s="19" t="s">
        <v>89</v>
      </c>
      <c r="AG838" s="19" t="s">
        <v>90</v>
      </c>
      <c r="AH838" s="19" t="s">
        <v>62</v>
      </c>
      <c r="AI838" s="19" t="s">
        <v>63</v>
      </c>
      <c r="AJ838" s="19" t="s">
        <v>3247</v>
      </c>
      <c r="AK838" s="19"/>
      <c r="AL838" s="19"/>
      <c r="AM838" s="19"/>
      <c r="AN838" s="19" t="s">
        <v>65</v>
      </c>
      <c r="AO838" s="23">
        <v>46000.164583333331</v>
      </c>
      <c r="AP838" s="26">
        <f t="shared" si="27"/>
        <v>490</v>
      </c>
    </row>
    <row r="839" spans="1:42" ht="32.25" hidden="1" customHeight="1">
      <c r="A839" s="19" t="s">
        <v>42</v>
      </c>
      <c r="B839" s="19" t="s">
        <v>309</v>
      </c>
      <c r="C839" s="19" t="s">
        <v>1678</v>
      </c>
      <c r="D839" s="19" t="s">
        <v>45</v>
      </c>
      <c r="E839" s="19" t="s">
        <v>46</v>
      </c>
      <c r="F839" s="19" t="s">
        <v>6202</v>
      </c>
      <c r="G839" s="19" t="s">
        <v>48</v>
      </c>
      <c r="H839" s="19" t="s">
        <v>49</v>
      </c>
      <c r="I839" s="20">
        <v>46000.34652777778</v>
      </c>
      <c r="K839" s="19"/>
      <c r="L839" s="20">
        <v>46000.57708333333</v>
      </c>
      <c r="M839" s="19"/>
      <c r="N839" s="22">
        <f t="shared" si="26"/>
        <v>0.23055555555038154</v>
      </c>
      <c r="O839" s="19" t="s">
        <v>63</v>
      </c>
      <c r="P839" s="19" t="s">
        <v>6203</v>
      </c>
      <c r="Q839" s="19" t="s">
        <v>6204</v>
      </c>
      <c r="R839" s="19"/>
      <c r="S839" s="19"/>
      <c r="U839" s="19"/>
      <c r="W839" s="19"/>
      <c r="X839" s="19" t="s">
        <v>314</v>
      </c>
      <c r="Y839" s="27" t="s">
        <v>54</v>
      </c>
      <c r="Z839" s="27" t="s">
        <v>414</v>
      </c>
      <c r="AA839" s="27" t="s">
        <v>6205</v>
      </c>
      <c r="AB839" s="27" t="s">
        <v>6206</v>
      </c>
      <c r="AC839" s="37">
        <v>45912.030902777777</v>
      </c>
      <c r="AD839" s="38">
        <v>45912.06759259259</v>
      </c>
      <c r="AE839" s="36">
        <v>45992</v>
      </c>
      <c r="AF839" s="19" t="s">
        <v>99</v>
      </c>
      <c r="AG839" s="19" t="s">
        <v>100</v>
      </c>
      <c r="AH839" s="19" t="s">
        <v>62</v>
      </c>
      <c r="AI839" s="19" t="s">
        <v>63</v>
      </c>
      <c r="AJ839" s="19" t="s">
        <v>6207</v>
      </c>
      <c r="AK839" s="19"/>
      <c r="AL839" s="19"/>
      <c r="AM839" s="19"/>
      <c r="AN839" s="19" t="s">
        <v>65</v>
      </c>
      <c r="AO839" s="23">
        <v>46000.34652777778</v>
      </c>
      <c r="AP839" s="26">
        <f t="shared" si="27"/>
        <v>332</v>
      </c>
    </row>
    <row r="840" spans="1:42" ht="32.25" customHeight="1">
      <c r="A840" s="19" t="s">
        <v>42</v>
      </c>
      <c r="C840" s="19" t="s">
        <v>6208</v>
      </c>
      <c r="D840" s="19" t="s">
        <v>45</v>
      </c>
      <c r="E840" s="19" t="s">
        <v>46</v>
      </c>
      <c r="F840" s="19" t="s">
        <v>6209</v>
      </c>
      <c r="G840" s="19" t="s">
        <v>48</v>
      </c>
      <c r="H840" s="19" t="s">
        <v>69</v>
      </c>
      <c r="I840" s="20">
        <v>46000.422222222223</v>
      </c>
      <c r="J840" s="20">
        <v>46000.5</v>
      </c>
      <c r="K840" s="19"/>
      <c r="L840" s="20">
        <v>46000.611111111109</v>
      </c>
      <c r="M840" s="19"/>
      <c r="N840" s="22">
        <f t="shared" si="26"/>
        <v>0.18888888888614019</v>
      </c>
      <c r="O840" s="19" t="s">
        <v>50</v>
      </c>
      <c r="P840" s="19" t="s">
        <v>6210</v>
      </c>
      <c r="Q840" s="19" t="s">
        <v>6211</v>
      </c>
      <c r="R840" s="19"/>
      <c r="S840" s="19"/>
      <c r="U840" s="19"/>
      <c r="W840" s="19"/>
      <c r="X840" s="19" t="s">
        <v>72</v>
      </c>
      <c r="Y840" s="27" t="s">
        <v>147</v>
      </c>
      <c r="Z840" s="27" t="s">
        <v>78</v>
      </c>
      <c r="AA840" s="27" t="s">
        <v>78</v>
      </c>
      <c r="AB840" s="27" t="s">
        <v>147</v>
      </c>
      <c r="AC840" s="37" t="s">
        <v>78</v>
      </c>
      <c r="AD840" s="38" t="s">
        <v>78</v>
      </c>
      <c r="AE840" s="36">
        <v>45992</v>
      </c>
      <c r="AF840" s="19" t="s">
        <v>89</v>
      </c>
      <c r="AG840" s="19" t="s">
        <v>90</v>
      </c>
      <c r="AH840" s="19" t="s">
        <v>62</v>
      </c>
      <c r="AI840" s="19" t="s">
        <v>63</v>
      </c>
      <c r="AJ840" s="19" t="s">
        <v>6212</v>
      </c>
      <c r="AK840" s="19"/>
      <c r="AL840" s="19"/>
      <c r="AM840" s="19"/>
      <c r="AN840" s="19" t="s">
        <v>65</v>
      </c>
      <c r="AO840" s="23">
        <v>46003.520833333343</v>
      </c>
      <c r="AP840" s="26">
        <f t="shared" si="27"/>
        <v>272</v>
      </c>
    </row>
    <row r="841" spans="1:42" ht="32.25" hidden="1" customHeight="1">
      <c r="A841" s="19" t="s">
        <v>116</v>
      </c>
      <c r="B841" s="19" t="s">
        <v>5823</v>
      </c>
      <c r="C841" s="19" t="s">
        <v>1575</v>
      </c>
      <c r="D841" s="19" t="s">
        <v>45</v>
      </c>
      <c r="E841" s="19" t="s">
        <v>46</v>
      </c>
      <c r="F841" s="19" t="s">
        <v>6213</v>
      </c>
      <c r="G841" s="19" t="s">
        <v>48</v>
      </c>
      <c r="H841" s="19" t="s">
        <v>49</v>
      </c>
      <c r="I841" s="20">
        <v>46000.474999999999</v>
      </c>
      <c r="K841" s="19"/>
      <c r="L841" s="20">
        <v>46000.494444444441</v>
      </c>
      <c r="M841" s="19"/>
      <c r="N841" s="22">
        <f t="shared" si="26"/>
        <v>1.9444444442342501E-2</v>
      </c>
      <c r="O841" s="19" t="s">
        <v>63</v>
      </c>
      <c r="P841" s="19" t="s">
        <v>6214</v>
      </c>
      <c r="Q841" s="19" t="s">
        <v>6215</v>
      </c>
      <c r="R841" s="19"/>
      <c r="S841" s="19"/>
      <c r="U841" s="19"/>
      <c r="W841" s="19"/>
      <c r="X841" s="19" t="s">
        <v>122</v>
      </c>
      <c r="Y841" s="27" t="s">
        <v>147</v>
      </c>
      <c r="Z841" s="27" t="s">
        <v>78</v>
      </c>
      <c r="AA841" s="27" t="s">
        <v>78</v>
      </c>
      <c r="AB841" s="27" t="s">
        <v>147</v>
      </c>
      <c r="AC841" s="37" t="s">
        <v>78</v>
      </c>
      <c r="AD841" s="38" t="s">
        <v>78</v>
      </c>
      <c r="AE841" s="36">
        <v>45992</v>
      </c>
      <c r="AF841" s="19" t="s">
        <v>99</v>
      </c>
      <c r="AG841" s="19" t="s">
        <v>768</v>
      </c>
      <c r="AH841" s="19" t="s">
        <v>62</v>
      </c>
      <c r="AI841" s="19" t="s">
        <v>63</v>
      </c>
      <c r="AJ841" s="19" t="s">
        <v>6216</v>
      </c>
      <c r="AK841" s="19" t="s">
        <v>6217</v>
      </c>
      <c r="AL841" s="19"/>
      <c r="AM841" s="19"/>
      <c r="AN841" s="19" t="s">
        <v>622</v>
      </c>
      <c r="AO841" s="23">
        <v>46000.474999999999</v>
      </c>
      <c r="AP841" s="26">
        <f t="shared" si="27"/>
        <v>28</v>
      </c>
    </row>
    <row r="842" spans="1:42" ht="32.25" hidden="1" customHeight="1">
      <c r="A842" s="19" t="s">
        <v>42</v>
      </c>
      <c r="B842" s="19" t="s">
        <v>5248</v>
      </c>
      <c r="C842" s="19" t="s">
        <v>2101</v>
      </c>
      <c r="D842" s="19" t="s">
        <v>45</v>
      </c>
      <c r="E842" s="19" t="s">
        <v>46</v>
      </c>
      <c r="F842" s="19" t="s">
        <v>6218</v>
      </c>
      <c r="G842" s="19" t="s">
        <v>48</v>
      </c>
      <c r="H842" s="19" t="s">
        <v>49</v>
      </c>
      <c r="I842" s="20">
        <v>46000.666666666657</v>
      </c>
      <c r="K842" s="19"/>
      <c r="L842" s="20">
        <v>46000.743055555547</v>
      </c>
      <c r="M842" s="19"/>
      <c r="N842" s="22">
        <f t="shared" si="26"/>
        <v>7.6388888890505768E-2</v>
      </c>
      <c r="O842" s="19" t="s">
        <v>50</v>
      </c>
      <c r="P842" s="19" t="s">
        <v>6219</v>
      </c>
      <c r="Q842" s="19" t="s">
        <v>6220</v>
      </c>
      <c r="R842" s="19"/>
      <c r="S842" s="19"/>
      <c r="U842" s="19"/>
      <c r="W842" s="19"/>
      <c r="X842" s="19" t="s">
        <v>314</v>
      </c>
      <c r="Y842" s="27" t="s">
        <v>147</v>
      </c>
      <c r="Z842" s="27" t="s">
        <v>78</v>
      </c>
      <c r="AA842" s="27" t="s">
        <v>78</v>
      </c>
      <c r="AB842" s="27" t="s">
        <v>147</v>
      </c>
      <c r="AC842" s="37" t="s">
        <v>78</v>
      </c>
      <c r="AD842" s="38" t="s">
        <v>78</v>
      </c>
      <c r="AE842" s="36">
        <v>45992</v>
      </c>
      <c r="AF842" s="19" t="s">
        <v>89</v>
      </c>
      <c r="AG842" s="19" t="s">
        <v>90</v>
      </c>
      <c r="AH842" s="19" t="s">
        <v>62</v>
      </c>
      <c r="AI842" s="19" t="s">
        <v>63</v>
      </c>
      <c r="AJ842" s="19" t="s">
        <v>6221</v>
      </c>
      <c r="AK842" s="19"/>
      <c r="AL842" s="19"/>
      <c r="AM842" s="19"/>
      <c r="AN842" s="19" t="s">
        <v>103</v>
      </c>
      <c r="AO842" s="23">
        <v>46000.666666666657</v>
      </c>
      <c r="AP842" s="26">
        <f t="shared" si="27"/>
        <v>110</v>
      </c>
    </row>
    <row r="843" spans="1:42" ht="32.25" hidden="1" customHeight="1">
      <c r="A843" s="19" t="s">
        <v>42</v>
      </c>
      <c r="C843" s="19" t="s">
        <v>6222</v>
      </c>
      <c r="D843" s="19" t="s">
        <v>45</v>
      </c>
      <c r="E843" s="19" t="s">
        <v>46</v>
      </c>
      <c r="F843" s="19" t="s">
        <v>6223</v>
      </c>
      <c r="G843" s="19" t="s">
        <v>48</v>
      </c>
      <c r="H843" s="19" t="s">
        <v>49</v>
      </c>
      <c r="I843" s="20">
        <v>46000.706944444442</v>
      </c>
      <c r="K843" s="19"/>
      <c r="L843" s="20">
        <v>46001.222222222219</v>
      </c>
      <c r="M843" s="19"/>
      <c r="N843" s="22">
        <f t="shared" si="26"/>
        <v>0.51527777777664596</v>
      </c>
      <c r="O843" s="19" t="s">
        <v>63</v>
      </c>
      <c r="P843" s="19" t="s">
        <v>6224</v>
      </c>
      <c r="Q843" s="19" t="s">
        <v>6225</v>
      </c>
      <c r="R843" s="19"/>
      <c r="S843" s="19"/>
      <c r="U843" s="19"/>
      <c r="W843" s="19"/>
      <c r="X843" s="19" t="s">
        <v>491</v>
      </c>
      <c r="Y843" s="27" t="s">
        <v>147</v>
      </c>
      <c r="Z843" s="27" t="s">
        <v>78</v>
      </c>
      <c r="AA843" s="27" t="s">
        <v>78</v>
      </c>
      <c r="AB843" s="27" t="s">
        <v>147</v>
      </c>
      <c r="AC843" s="37" t="s">
        <v>78</v>
      </c>
      <c r="AD843" s="38" t="s">
        <v>78</v>
      </c>
      <c r="AE843" s="36">
        <v>45992</v>
      </c>
      <c r="AF843" s="19" t="s">
        <v>89</v>
      </c>
      <c r="AG843" s="19" t="s">
        <v>90</v>
      </c>
      <c r="AH843" s="19" t="s">
        <v>62</v>
      </c>
      <c r="AI843" s="19" t="s">
        <v>63</v>
      </c>
      <c r="AJ843" s="19" t="s">
        <v>6226</v>
      </c>
      <c r="AK843" s="19"/>
      <c r="AL843" s="19"/>
      <c r="AM843" s="19"/>
      <c r="AN843" s="19" t="s">
        <v>622</v>
      </c>
      <c r="AO843" s="23">
        <v>46000.706944444442</v>
      </c>
      <c r="AP843" s="26">
        <f t="shared" si="27"/>
        <v>742</v>
      </c>
    </row>
    <row r="844" spans="1:42" ht="32.25" hidden="1" customHeight="1">
      <c r="A844" s="19" t="s">
        <v>285</v>
      </c>
      <c r="B844" s="19" t="s">
        <v>186</v>
      </c>
      <c r="C844" s="19" t="s">
        <v>577</v>
      </c>
      <c r="D844" s="19" t="s">
        <v>45</v>
      </c>
      <c r="E844" s="19" t="s">
        <v>46</v>
      </c>
      <c r="F844" s="19" t="s">
        <v>6200</v>
      </c>
      <c r="G844" s="19" t="s">
        <v>226</v>
      </c>
      <c r="H844" s="19" t="s">
        <v>49</v>
      </c>
      <c r="I844" s="20">
        <v>46000.71597222222</v>
      </c>
      <c r="K844" s="19"/>
      <c r="L844" s="20">
        <v>46000.754861111112</v>
      </c>
      <c r="M844" s="19"/>
      <c r="N844" s="22">
        <f t="shared" si="26"/>
        <v>3.888888889196096E-2</v>
      </c>
      <c r="O844" s="19" t="s">
        <v>63</v>
      </c>
      <c r="P844" s="19" t="s">
        <v>3245</v>
      </c>
      <c r="Q844" s="19" t="s">
        <v>6227</v>
      </c>
      <c r="R844" s="19"/>
      <c r="S844" s="19"/>
      <c r="U844" s="19"/>
      <c r="W844" s="19"/>
      <c r="X844" s="19" t="s">
        <v>191</v>
      </c>
      <c r="Y844" s="27" t="s">
        <v>54</v>
      </c>
      <c r="Z844" s="27" t="s">
        <v>6228</v>
      </c>
      <c r="AA844" s="27" t="s">
        <v>6229</v>
      </c>
      <c r="AB844" s="27" t="s">
        <v>6230</v>
      </c>
      <c r="AC844" s="37">
        <v>46000.700694444437</v>
      </c>
      <c r="AD844" s="38">
        <v>46000.727083333331</v>
      </c>
      <c r="AE844" s="36">
        <v>45992</v>
      </c>
      <c r="AF844" s="19" t="s">
        <v>89</v>
      </c>
      <c r="AG844" s="19" t="s">
        <v>90</v>
      </c>
      <c r="AH844" s="19" t="s">
        <v>62</v>
      </c>
      <c r="AI844" s="19" t="s">
        <v>63</v>
      </c>
      <c r="AJ844" s="19" t="s">
        <v>3247</v>
      </c>
      <c r="AK844" s="19"/>
      <c r="AL844" s="19"/>
      <c r="AM844" s="19"/>
      <c r="AN844" s="19" t="s">
        <v>65</v>
      </c>
      <c r="AO844" s="23">
        <v>46000.71597222222</v>
      </c>
      <c r="AP844" s="26">
        <f t="shared" si="27"/>
        <v>56</v>
      </c>
    </row>
    <row r="845" spans="1:42" ht="32.25" hidden="1" customHeight="1">
      <c r="A845" s="19" t="s">
        <v>285</v>
      </c>
      <c r="B845" s="19" t="s">
        <v>487</v>
      </c>
      <c r="C845" s="19" t="s">
        <v>6231</v>
      </c>
      <c r="D845" s="19" t="s">
        <v>45</v>
      </c>
      <c r="E845" s="19" t="s">
        <v>46</v>
      </c>
      <c r="F845" s="19" t="s">
        <v>6232</v>
      </c>
      <c r="G845" s="19" t="s">
        <v>48</v>
      </c>
      <c r="H845" s="19" t="s">
        <v>49</v>
      </c>
      <c r="I845" s="20">
        <v>46000.75</v>
      </c>
      <c r="K845" s="19"/>
      <c r="L845" s="20">
        <v>46001.583333333343</v>
      </c>
      <c r="M845" s="19"/>
      <c r="N845" s="22">
        <f t="shared" si="26"/>
        <v>0.83333333334303461</v>
      </c>
      <c r="O845" s="19" t="s">
        <v>63</v>
      </c>
      <c r="P845" s="19" t="s">
        <v>6233</v>
      </c>
      <c r="Q845" s="19" t="s">
        <v>6234</v>
      </c>
      <c r="R845" s="19"/>
      <c r="S845" s="19"/>
      <c r="U845" s="19"/>
      <c r="W845" s="19"/>
      <c r="X845" s="19" t="s">
        <v>6235</v>
      </c>
      <c r="Y845" s="27" t="s">
        <v>54</v>
      </c>
      <c r="Z845" s="27" t="s">
        <v>6236</v>
      </c>
      <c r="AA845" s="27" t="s">
        <v>6237</v>
      </c>
      <c r="AB845" s="27" t="s">
        <v>6238</v>
      </c>
      <c r="AC845" s="37">
        <v>46000.730555555558</v>
      </c>
      <c r="AD845" s="38" t="s">
        <v>861</v>
      </c>
      <c r="AE845" s="36">
        <v>45992</v>
      </c>
      <c r="AF845" s="19" t="s">
        <v>78</v>
      </c>
      <c r="AG845" s="19" t="s">
        <v>78</v>
      </c>
      <c r="AH845" s="19" t="s">
        <v>78</v>
      </c>
      <c r="AI845" s="19" t="s">
        <v>63</v>
      </c>
      <c r="AJ845" s="19" t="s">
        <v>6239</v>
      </c>
      <c r="AK845" s="19"/>
      <c r="AL845" s="19"/>
      <c r="AM845" s="19"/>
      <c r="AN845" s="19" t="s">
        <v>65</v>
      </c>
      <c r="AO845" s="23">
        <v>46000.75</v>
      </c>
      <c r="AP845" s="26">
        <f t="shared" si="27"/>
        <v>1200</v>
      </c>
    </row>
    <row r="846" spans="1:42" ht="32.25" customHeight="1">
      <c r="A846" s="19" t="s">
        <v>42</v>
      </c>
      <c r="B846" s="19" t="s">
        <v>6240</v>
      </c>
      <c r="C846" s="19" t="s">
        <v>6241</v>
      </c>
      <c r="D846" s="19" t="s">
        <v>45</v>
      </c>
      <c r="E846" s="19" t="s">
        <v>46</v>
      </c>
      <c r="F846" s="19" t="s">
        <v>6242</v>
      </c>
      <c r="G846" s="19" t="s">
        <v>48</v>
      </c>
      <c r="H846" s="19" t="s">
        <v>69</v>
      </c>
      <c r="I846" s="20">
        <v>46001.364583333343</v>
      </c>
      <c r="J846" s="20">
        <v>46001.465277777781</v>
      </c>
      <c r="K846" s="19">
        <v>46001.489583333343</v>
      </c>
      <c r="L846" s="20">
        <v>46001.508333333331</v>
      </c>
      <c r="M846" s="19"/>
      <c r="N846" s="22">
        <f t="shared" si="26"/>
        <v>0.14374999998835847</v>
      </c>
      <c r="O846" s="19" t="s">
        <v>50</v>
      </c>
      <c r="P846" s="19" t="s">
        <v>6243</v>
      </c>
      <c r="Q846" s="19" t="s">
        <v>6244</v>
      </c>
      <c r="R846" s="19" t="s">
        <v>6245</v>
      </c>
      <c r="S846" s="19" t="s">
        <v>6246</v>
      </c>
      <c r="T846" s="20">
        <v>46001.598043981481</v>
      </c>
      <c r="U846" s="19">
        <v>46008.727210648147</v>
      </c>
      <c r="V846" s="19" t="s">
        <v>157</v>
      </c>
      <c r="W846" s="19"/>
      <c r="X846" s="19" t="s">
        <v>6247</v>
      </c>
      <c r="Y846" s="27" t="s">
        <v>54</v>
      </c>
      <c r="Z846" s="27" t="s">
        <v>6248</v>
      </c>
      <c r="AA846" s="27" t="s">
        <v>6249</v>
      </c>
      <c r="AB846" s="27" t="s">
        <v>6250</v>
      </c>
      <c r="AC846" s="37" t="s">
        <v>6251</v>
      </c>
      <c r="AD846" s="38" t="s">
        <v>6252</v>
      </c>
      <c r="AE846" s="36">
        <v>45992</v>
      </c>
      <c r="AF846" s="19" t="s">
        <v>89</v>
      </c>
      <c r="AG846" s="19" t="s">
        <v>90</v>
      </c>
      <c r="AH846" s="19" t="s">
        <v>62</v>
      </c>
      <c r="AI846" s="19" t="s">
        <v>63</v>
      </c>
      <c r="AJ846" s="19" t="s">
        <v>6253</v>
      </c>
      <c r="AK846" s="19"/>
      <c r="AL846" s="19"/>
      <c r="AM846" s="19"/>
      <c r="AN846" s="19" t="s">
        <v>103</v>
      </c>
      <c r="AO846" s="23">
        <v>46001.375</v>
      </c>
      <c r="AP846" s="26">
        <f t="shared" si="27"/>
        <v>207</v>
      </c>
    </row>
    <row r="847" spans="1:42" ht="32.25" hidden="1" customHeight="1">
      <c r="A847" s="19" t="s">
        <v>116</v>
      </c>
      <c r="B847" s="19" t="s">
        <v>6254</v>
      </c>
      <c r="C847" s="19" t="s">
        <v>577</v>
      </c>
      <c r="D847" s="19" t="s">
        <v>45</v>
      </c>
      <c r="E847" s="19" t="s">
        <v>46</v>
      </c>
      <c r="F847" s="19" t="s">
        <v>6255</v>
      </c>
      <c r="G847" s="19" t="s">
        <v>48</v>
      </c>
      <c r="H847" s="19" t="s">
        <v>49</v>
      </c>
      <c r="I847" s="20">
        <v>46001.394444444442</v>
      </c>
      <c r="K847" s="19"/>
      <c r="L847" s="20">
        <v>46001.9375</v>
      </c>
      <c r="M847" s="19"/>
      <c r="N847" s="22">
        <f t="shared" si="26"/>
        <v>0.5430555555576575</v>
      </c>
      <c r="O847" s="19" t="s">
        <v>63</v>
      </c>
      <c r="P847" s="19" t="s">
        <v>6256</v>
      </c>
      <c r="Q847" s="19" t="s">
        <v>6257</v>
      </c>
      <c r="R847" s="19"/>
      <c r="S847" s="19"/>
      <c r="U847" s="19"/>
      <c r="W847" s="19"/>
      <c r="X847" s="19" t="s">
        <v>191</v>
      </c>
      <c r="Y847" s="27" t="s">
        <v>147</v>
      </c>
      <c r="Z847" s="27" t="s">
        <v>78</v>
      </c>
      <c r="AA847" s="27" t="s">
        <v>78</v>
      </c>
      <c r="AB847" s="27" t="s">
        <v>147</v>
      </c>
      <c r="AC847" s="37" t="s">
        <v>78</v>
      </c>
      <c r="AD847" s="38" t="s">
        <v>78</v>
      </c>
      <c r="AE847" s="36">
        <v>45992</v>
      </c>
      <c r="AF847" s="19" t="s">
        <v>89</v>
      </c>
      <c r="AG847" s="19" t="s">
        <v>656</v>
      </c>
      <c r="AH847" s="19" t="s">
        <v>164</v>
      </c>
      <c r="AI847" s="19" t="s">
        <v>63</v>
      </c>
      <c r="AJ847" s="19" t="s">
        <v>6258</v>
      </c>
      <c r="AK847" s="19"/>
      <c r="AL847" s="19"/>
      <c r="AM847" s="19"/>
      <c r="AN847" s="19" t="s">
        <v>65</v>
      </c>
      <c r="AO847" s="23">
        <v>46001.394444444442</v>
      </c>
      <c r="AP847" s="26">
        <f t="shared" si="27"/>
        <v>782</v>
      </c>
    </row>
    <row r="848" spans="1:42" ht="32.25" hidden="1" customHeight="1">
      <c r="A848" s="19" t="s">
        <v>42</v>
      </c>
      <c r="B848" s="19" t="s">
        <v>1407</v>
      </c>
      <c r="C848" s="19" t="s">
        <v>1408</v>
      </c>
      <c r="D848" s="19" t="s">
        <v>45</v>
      </c>
      <c r="E848" s="19" t="s">
        <v>46</v>
      </c>
      <c r="F848" s="19" t="s">
        <v>6259</v>
      </c>
      <c r="G848" s="19" t="s">
        <v>48</v>
      </c>
      <c r="H848" s="19" t="s">
        <v>49</v>
      </c>
      <c r="I848" s="20">
        <v>46001.503472222219</v>
      </c>
      <c r="K848" s="19"/>
      <c r="L848" s="20">
        <v>46001.513888888891</v>
      </c>
      <c r="M848" s="19"/>
      <c r="N848" s="22">
        <f t="shared" ref="N848:N853" si="28">L848-I848</f>
        <v>1.0416666671517305E-2</v>
      </c>
      <c r="O848" s="19" t="s">
        <v>50</v>
      </c>
      <c r="P848" s="19" t="s">
        <v>6260</v>
      </c>
      <c r="Q848" s="19" t="s">
        <v>6261</v>
      </c>
      <c r="R848" s="19"/>
      <c r="S848" s="19"/>
      <c r="U848" s="19"/>
      <c r="W848" s="19"/>
      <c r="X848" s="19" t="s">
        <v>1412</v>
      </c>
      <c r="Y848" s="27" t="s">
        <v>54</v>
      </c>
      <c r="Z848" s="27" t="s">
        <v>1598</v>
      </c>
      <c r="AA848" s="27" t="s">
        <v>6262</v>
      </c>
      <c r="AB848" s="27" t="s">
        <v>6263</v>
      </c>
      <c r="AC848" s="37" t="s">
        <v>6264</v>
      </c>
      <c r="AD848" s="38" t="s">
        <v>6265</v>
      </c>
      <c r="AE848" s="36">
        <v>45992</v>
      </c>
      <c r="AF848" s="19" t="s">
        <v>89</v>
      </c>
      <c r="AG848" s="19" t="s">
        <v>90</v>
      </c>
      <c r="AH848" s="19" t="s">
        <v>62</v>
      </c>
      <c r="AI848" s="19" t="s">
        <v>63</v>
      </c>
      <c r="AJ848" s="19" t="s">
        <v>6266</v>
      </c>
      <c r="AK848" s="19"/>
      <c r="AL848" s="19"/>
      <c r="AM848" s="19"/>
      <c r="AN848" s="19" t="s">
        <v>65</v>
      </c>
      <c r="AO848" s="23">
        <v>46001.503472222219</v>
      </c>
      <c r="AP848" s="26">
        <f t="shared" ref="AP848:AP911" si="29">((HOUR(N848)*60)+MINUTE(N848)+(SECOND(N848)/60))</f>
        <v>15</v>
      </c>
    </row>
    <row r="849" spans="1:42" ht="32.25" hidden="1" customHeight="1">
      <c r="A849" s="19" t="s">
        <v>42</v>
      </c>
      <c r="B849" s="19" t="s">
        <v>5871</v>
      </c>
      <c r="C849" s="19" t="s">
        <v>2677</v>
      </c>
      <c r="D849" s="19" t="s">
        <v>45</v>
      </c>
      <c r="E849" s="19" t="s">
        <v>46</v>
      </c>
      <c r="F849" s="19" t="s">
        <v>6267</v>
      </c>
      <c r="G849" s="19" t="s">
        <v>48</v>
      </c>
      <c r="H849" s="19" t="s">
        <v>49</v>
      </c>
      <c r="I849" s="20">
        <v>46001.623611111107</v>
      </c>
      <c r="K849" s="19"/>
      <c r="L849" s="20">
        <v>46001.628472222219</v>
      </c>
      <c r="M849" s="19"/>
      <c r="N849" s="22">
        <f t="shared" si="28"/>
        <v>4.8611111124046147E-3</v>
      </c>
      <c r="O849" s="19" t="s">
        <v>63</v>
      </c>
      <c r="P849" s="19" t="s">
        <v>6268</v>
      </c>
      <c r="Q849" s="19" t="s">
        <v>6269</v>
      </c>
      <c r="R849" s="19"/>
      <c r="S849" s="19"/>
      <c r="U849" s="19"/>
      <c r="W849" s="19"/>
      <c r="X849" s="19" t="s">
        <v>314</v>
      </c>
      <c r="Y849" s="27" t="s">
        <v>147</v>
      </c>
      <c r="Z849" s="27" t="s">
        <v>78</v>
      </c>
      <c r="AA849" s="27" t="s">
        <v>78</v>
      </c>
      <c r="AB849" s="27" t="s">
        <v>147</v>
      </c>
      <c r="AC849" s="37" t="s">
        <v>78</v>
      </c>
      <c r="AD849" s="38" t="s">
        <v>78</v>
      </c>
      <c r="AE849" s="36">
        <v>45992</v>
      </c>
      <c r="AF849" s="19" t="s">
        <v>89</v>
      </c>
      <c r="AG849" s="19" t="s">
        <v>90</v>
      </c>
      <c r="AH849" s="19" t="s">
        <v>62</v>
      </c>
      <c r="AI849" s="19" t="s">
        <v>63</v>
      </c>
      <c r="AJ849" s="19" t="s">
        <v>6270</v>
      </c>
      <c r="AK849" s="19"/>
      <c r="AL849" s="19"/>
      <c r="AM849" s="19"/>
      <c r="AN849" s="19" t="s">
        <v>103</v>
      </c>
      <c r="AO849" s="23">
        <v>46001.623611111107</v>
      </c>
      <c r="AP849" s="26">
        <f t="shared" si="29"/>
        <v>7</v>
      </c>
    </row>
    <row r="850" spans="1:42" ht="32.25" hidden="1" customHeight="1">
      <c r="A850" s="19" t="s">
        <v>42</v>
      </c>
      <c r="B850" s="19" t="s">
        <v>5832</v>
      </c>
      <c r="C850" s="19" t="s">
        <v>6271</v>
      </c>
      <c r="D850" s="19" t="s">
        <v>45</v>
      </c>
      <c r="E850" s="19" t="s">
        <v>46</v>
      </c>
      <c r="F850" s="19" t="s">
        <v>6272</v>
      </c>
      <c r="G850" s="19" t="s">
        <v>48</v>
      </c>
      <c r="H850" s="19" t="s">
        <v>49</v>
      </c>
      <c r="I850" s="20">
        <v>46001.822222222218</v>
      </c>
      <c r="K850" s="19"/>
      <c r="L850" s="20">
        <v>46001.835416666669</v>
      </c>
      <c r="M850" s="19"/>
      <c r="N850" s="22">
        <f t="shared" si="28"/>
        <v>1.319444445107365E-2</v>
      </c>
      <c r="O850" s="19" t="s">
        <v>50</v>
      </c>
      <c r="P850" s="19" t="s">
        <v>6273</v>
      </c>
      <c r="Q850" s="19" t="s">
        <v>6274</v>
      </c>
      <c r="R850" s="19"/>
      <c r="S850" s="19"/>
      <c r="U850" s="19"/>
      <c r="W850" s="19"/>
      <c r="X850" s="19" t="s">
        <v>109</v>
      </c>
      <c r="Y850" s="27" t="s">
        <v>54</v>
      </c>
      <c r="Z850" s="27" t="s">
        <v>6275</v>
      </c>
      <c r="AA850" s="27" t="s">
        <v>6276</v>
      </c>
      <c r="AB850" s="27" t="s">
        <v>6277</v>
      </c>
      <c r="AC850" s="37" t="s">
        <v>6278</v>
      </c>
      <c r="AD850" s="38" t="s">
        <v>6279</v>
      </c>
      <c r="AE850" s="36">
        <v>45992</v>
      </c>
      <c r="AF850" s="19" t="s">
        <v>89</v>
      </c>
      <c r="AG850" s="19" t="s">
        <v>90</v>
      </c>
      <c r="AH850" s="19" t="s">
        <v>62</v>
      </c>
      <c r="AI850" s="19" t="s">
        <v>63</v>
      </c>
      <c r="AJ850" s="19" t="s">
        <v>6280</v>
      </c>
      <c r="AK850" s="19"/>
      <c r="AL850" s="19"/>
      <c r="AM850" s="19"/>
      <c r="AN850" s="19" t="s">
        <v>103</v>
      </c>
      <c r="AO850" s="23">
        <v>46001.822222222218</v>
      </c>
      <c r="AP850" s="26">
        <f t="shared" si="29"/>
        <v>19</v>
      </c>
    </row>
    <row r="851" spans="1:42" ht="32.25" hidden="1" customHeight="1">
      <c r="A851" s="19" t="s">
        <v>42</v>
      </c>
      <c r="B851" s="19" t="s">
        <v>6281</v>
      </c>
      <c r="C851" s="19" t="s">
        <v>6282</v>
      </c>
      <c r="D851" s="19" t="s">
        <v>45</v>
      </c>
      <c r="E851" s="19" t="s">
        <v>46</v>
      </c>
      <c r="F851" s="19" t="s">
        <v>6283</v>
      </c>
      <c r="G851" s="19" t="s">
        <v>48</v>
      </c>
      <c r="H851" s="19" t="s">
        <v>49</v>
      </c>
      <c r="I851" s="20">
        <v>46001.828472222223</v>
      </c>
      <c r="K851" s="19"/>
      <c r="L851" s="20">
        <v>46002</v>
      </c>
      <c r="M851" s="19"/>
      <c r="N851" s="22">
        <f t="shared" si="28"/>
        <v>0.17152777777664596</v>
      </c>
      <c r="O851" s="19" t="s">
        <v>63</v>
      </c>
      <c r="P851" s="19" t="s">
        <v>6284</v>
      </c>
      <c r="Q851" s="19" t="s">
        <v>6285</v>
      </c>
      <c r="R851" s="19"/>
      <c r="S851" s="19"/>
      <c r="U851" s="19"/>
      <c r="W851" s="19"/>
      <c r="X851" s="19" t="s">
        <v>3049</v>
      </c>
      <c r="Y851" s="27" t="s">
        <v>54</v>
      </c>
      <c r="Z851" s="27" t="s">
        <v>414</v>
      </c>
      <c r="AA851" s="27" t="s">
        <v>6286</v>
      </c>
      <c r="AB851" s="27" t="s">
        <v>6287</v>
      </c>
      <c r="AC851" s="37">
        <v>46001.72351851852</v>
      </c>
      <c r="AD851" s="38">
        <v>46001.922129629631</v>
      </c>
      <c r="AE851" s="36">
        <v>45992</v>
      </c>
      <c r="AF851" s="19" t="s">
        <v>89</v>
      </c>
      <c r="AG851" s="19" t="s">
        <v>90</v>
      </c>
      <c r="AH851" s="19" t="s">
        <v>62</v>
      </c>
      <c r="AI851" s="19" t="s">
        <v>63</v>
      </c>
      <c r="AJ851" s="19" t="s">
        <v>6288</v>
      </c>
      <c r="AK851" s="19"/>
      <c r="AL851" s="19"/>
      <c r="AM851" s="19"/>
      <c r="AN851" s="19" t="s">
        <v>103</v>
      </c>
      <c r="AO851" s="23">
        <v>46001.828472222223</v>
      </c>
      <c r="AP851" s="26">
        <f t="shared" si="29"/>
        <v>247</v>
      </c>
    </row>
    <row r="852" spans="1:42" ht="32.25" hidden="1" customHeight="1">
      <c r="A852" s="19" t="s">
        <v>42</v>
      </c>
      <c r="B852" s="19" t="s">
        <v>6281</v>
      </c>
      <c r="C852" s="19" t="s">
        <v>6282</v>
      </c>
      <c r="D852" s="19" t="s">
        <v>45</v>
      </c>
      <c r="E852" s="19" t="s">
        <v>46</v>
      </c>
      <c r="F852" s="19" t="s">
        <v>6283</v>
      </c>
      <c r="G852" s="19" t="s">
        <v>226</v>
      </c>
      <c r="H852" s="19" t="s">
        <v>49</v>
      </c>
      <c r="I852" s="20">
        <v>46002.555555555547</v>
      </c>
      <c r="K852" s="19"/>
      <c r="L852" s="20">
        <v>46002.8125</v>
      </c>
      <c r="M852" s="19"/>
      <c r="N852" s="22">
        <f t="shared" si="28"/>
        <v>0.25694444445252884</v>
      </c>
      <c r="O852" s="19" t="s">
        <v>63</v>
      </c>
      <c r="P852" s="19" t="s">
        <v>6284</v>
      </c>
      <c r="Q852" s="19" t="s">
        <v>6289</v>
      </c>
      <c r="R852" s="19"/>
      <c r="S852" s="19"/>
      <c r="U852" s="19"/>
      <c r="W852" s="19"/>
      <c r="X852" s="19" t="s">
        <v>3049</v>
      </c>
      <c r="Y852" s="27" t="s">
        <v>147</v>
      </c>
      <c r="Z852" s="27" t="s">
        <v>78</v>
      </c>
      <c r="AA852" s="27" t="s">
        <v>78</v>
      </c>
      <c r="AB852" s="27" t="s">
        <v>147</v>
      </c>
      <c r="AC852" s="37" t="s">
        <v>78</v>
      </c>
      <c r="AD852" s="38" t="s">
        <v>78</v>
      </c>
      <c r="AE852" s="36">
        <v>45992</v>
      </c>
      <c r="AF852" s="19" t="s">
        <v>89</v>
      </c>
      <c r="AG852" s="19" t="s">
        <v>90</v>
      </c>
      <c r="AH852" s="19" t="s">
        <v>62</v>
      </c>
      <c r="AI852" s="19" t="s">
        <v>63</v>
      </c>
      <c r="AJ852" s="19" t="s">
        <v>6290</v>
      </c>
      <c r="AK852" s="19"/>
      <c r="AL852" s="19"/>
      <c r="AM852" s="19"/>
      <c r="AN852" s="19" t="s">
        <v>103</v>
      </c>
      <c r="AO852" s="23">
        <v>46002.555555555547</v>
      </c>
      <c r="AP852" s="26">
        <f t="shared" si="29"/>
        <v>370</v>
      </c>
    </row>
    <row r="853" spans="1:42" ht="32.25" hidden="1" customHeight="1">
      <c r="A853" s="19" t="s">
        <v>42</v>
      </c>
      <c r="C853" s="19" t="s">
        <v>232</v>
      </c>
      <c r="D853" s="19" t="s">
        <v>45</v>
      </c>
      <c r="E853" s="19" t="s">
        <v>356</v>
      </c>
      <c r="F853" s="19" t="s">
        <v>6291</v>
      </c>
      <c r="G853" s="19" t="s">
        <v>48</v>
      </c>
      <c r="H853" s="19" t="s">
        <v>49</v>
      </c>
      <c r="I853" s="20">
        <v>46002.906944444447</v>
      </c>
      <c r="K853" s="19"/>
      <c r="L853" s="20">
        <v>46002.979166666657</v>
      </c>
      <c r="M853" s="19"/>
      <c r="N853" s="22">
        <f t="shared" si="28"/>
        <v>7.2222222210257314E-2</v>
      </c>
      <c r="O853" s="19" t="s">
        <v>50</v>
      </c>
      <c r="P853" s="19" t="s">
        <v>6292</v>
      </c>
      <c r="Q853" s="19" t="s">
        <v>6293</v>
      </c>
      <c r="R853" s="19"/>
      <c r="S853" s="19"/>
      <c r="U853" s="19"/>
      <c r="W853" s="19"/>
      <c r="X853" s="19" t="s">
        <v>2044</v>
      </c>
      <c r="Y853" s="27" t="s">
        <v>147</v>
      </c>
      <c r="Z853" s="27" t="s">
        <v>78</v>
      </c>
      <c r="AA853" s="27" t="s">
        <v>78</v>
      </c>
      <c r="AB853" s="27" t="s">
        <v>147</v>
      </c>
      <c r="AC853" s="37" t="s">
        <v>78</v>
      </c>
      <c r="AD853" s="38" t="s">
        <v>78</v>
      </c>
      <c r="AE853" s="36">
        <v>45992</v>
      </c>
      <c r="AF853" s="19" t="s">
        <v>89</v>
      </c>
      <c r="AG853" s="19" t="s">
        <v>90</v>
      </c>
      <c r="AH853" s="19" t="s">
        <v>62</v>
      </c>
      <c r="AI853" s="19" t="s">
        <v>63</v>
      </c>
      <c r="AJ853" s="19" t="s">
        <v>6294</v>
      </c>
      <c r="AK853" s="19"/>
      <c r="AL853" s="19"/>
      <c r="AM853" s="19"/>
      <c r="AN853" s="19" t="s">
        <v>65</v>
      </c>
      <c r="AO853" s="23">
        <v>46002.906944444447</v>
      </c>
      <c r="AP853" s="26">
        <f t="shared" si="29"/>
        <v>104</v>
      </c>
    </row>
    <row r="854" spans="1:42" ht="32.25" hidden="1" customHeight="1">
      <c r="A854" s="19" t="s">
        <v>42</v>
      </c>
      <c r="C854" s="19" t="s">
        <v>3818</v>
      </c>
      <c r="D854" s="19" t="s">
        <v>45</v>
      </c>
      <c r="E854" s="19" t="s">
        <v>225</v>
      </c>
      <c r="F854" s="19" t="s">
        <v>6295</v>
      </c>
      <c r="G854" s="19" t="s">
        <v>48</v>
      </c>
      <c r="H854" s="19" t="s">
        <v>49</v>
      </c>
      <c r="I854" s="20">
        <v>46003.368055555547</v>
      </c>
      <c r="K854" s="19"/>
      <c r="L854" s="20">
        <v>46003.488194444442</v>
      </c>
      <c r="M854" s="19"/>
      <c r="N854" s="22">
        <v>0.12013888888888891</v>
      </c>
      <c r="O854" s="19" t="s">
        <v>63</v>
      </c>
      <c r="P854" s="19" t="s">
        <v>6296</v>
      </c>
      <c r="Q854" s="19" t="s">
        <v>6297</v>
      </c>
      <c r="R854" s="19"/>
      <c r="S854" s="19"/>
      <c r="U854" s="19"/>
      <c r="W854" s="19"/>
      <c r="X854" s="19" t="s">
        <v>1589</v>
      </c>
      <c r="Y854" s="27" t="s">
        <v>147</v>
      </c>
      <c r="Z854" s="27" t="s">
        <v>78</v>
      </c>
      <c r="AA854" s="27" t="s">
        <v>78</v>
      </c>
      <c r="AB854" s="27" t="s">
        <v>147</v>
      </c>
      <c r="AC854" s="37" t="s">
        <v>78</v>
      </c>
      <c r="AD854" s="38" t="s">
        <v>78</v>
      </c>
      <c r="AE854" s="36">
        <v>45992</v>
      </c>
      <c r="AF854" s="19" t="s">
        <v>60</v>
      </c>
      <c r="AG854" s="19" t="s">
        <v>78</v>
      </c>
      <c r="AH854" s="19" t="s">
        <v>78</v>
      </c>
      <c r="AI854" s="19" t="s">
        <v>63</v>
      </c>
      <c r="AJ854" s="19" t="s">
        <v>6298</v>
      </c>
      <c r="AK854" s="19"/>
      <c r="AL854" s="19"/>
      <c r="AM854" s="19"/>
      <c r="AN854" s="19" t="s">
        <v>103</v>
      </c>
      <c r="AO854" s="23">
        <v>46003.368055555547</v>
      </c>
      <c r="AP854" s="26">
        <f t="shared" si="29"/>
        <v>173</v>
      </c>
    </row>
    <row r="855" spans="1:42" ht="32.25" hidden="1" customHeight="1">
      <c r="A855" s="19" t="s">
        <v>285</v>
      </c>
      <c r="B855" s="19" t="s">
        <v>6299</v>
      </c>
      <c r="C855" s="19" t="s">
        <v>105</v>
      </c>
      <c r="D855" s="19" t="s">
        <v>45</v>
      </c>
      <c r="E855" s="19" t="s">
        <v>46</v>
      </c>
      <c r="F855" s="19" t="s">
        <v>6300</v>
      </c>
      <c r="G855" s="19" t="s">
        <v>48</v>
      </c>
      <c r="H855" s="19" t="s">
        <v>49</v>
      </c>
      <c r="I855" s="20">
        <v>46003.870138888888</v>
      </c>
      <c r="K855" s="19"/>
      <c r="L855" s="20">
        <v>46003.885416666657</v>
      </c>
      <c r="M855" s="19"/>
      <c r="N855" s="22">
        <f t="shared" ref="N855:N886" si="30">L855-I855</f>
        <v>1.5277777769370005E-2</v>
      </c>
      <c r="O855" s="19" t="s">
        <v>50</v>
      </c>
      <c r="P855" s="19" t="s">
        <v>6301</v>
      </c>
      <c r="Q855" s="19" t="s">
        <v>6302</v>
      </c>
      <c r="R855" s="19"/>
      <c r="S855" s="19"/>
      <c r="U855" s="19"/>
      <c r="W855" s="19"/>
      <c r="X855" s="19" t="s">
        <v>109</v>
      </c>
      <c r="Y855" s="27" t="s">
        <v>54</v>
      </c>
      <c r="Z855" s="27" t="s">
        <v>110</v>
      </c>
      <c r="AA855" s="27" t="s">
        <v>6303</v>
      </c>
      <c r="AB855" s="27" t="s">
        <v>6304</v>
      </c>
      <c r="AC855" s="37" t="s">
        <v>6305</v>
      </c>
      <c r="AD855" s="38" t="s">
        <v>6306</v>
      </c>
      <c r="AE855" s="36">
        <v>45992</v>
      </c>
      <c r="AF855" s="19" t="s">
        <v>89</v>
      </c>
      <c r="AG855" s="19" t="s">
        <v>90</v>
      </c>
      <c r="AH855" s="19" t="s">
        <v>62</v>
      </c>
      <c r="AI855" s="19" t="s">
        <v>63</v>
      </c>
      <c r="AJ855" s="19" t="s">
        <v>6307</v>
      </c>
      <c r="AK855" s="19"/>
      <c r="AL855" s="19"/>
      <c r="AM855" s="19"/>
      <c r="AN855" s="19" t="s">
        <v>103</v>
      </c>
      <c r="AO855" s="23">
        <v>46003.870138888888</v>
      </c>
      <c r="AP855" s="26">
        <f t="shared" si="29"/>
        <v>22</v>
      </c>
    </row>
    <row r="856" spans="1:42" ht="32.25" customHeight="1">
      <c r="A856" s="19" t="s">
        <v>116</v>
      </c>
      <c r="B856" s="19" t="s">
        <v>6308</v>
      </c>
      <c r="C856" s="19" t="s">
        <v>6309</v>
      </c>
      <c r="D856" s="19" t="s">
        <v>45</v>
      </c>
      <c r="E856" s="19" t="s">
        <v>46</v>
      </c>
      <c r="F856" s="19" t="s">
        <v>6310</v>
      </c>
      <c r="G856" s="19" t="s">
        <v>48</v>
      </c>
      <c r="H856" s="19" t="s">
        <v>152</v>
      </c>
      <c r="I856" s="20">
        <v>46004.552083333343</v>
      </c>
      <c r="J856" s="20">
        <v>46004.592361111107</v>
      </c>
      <c r="K856" s="19"/>
      <c r="L856" s="20">
        <v>46004.604166666657</v>
      </c>
      <c r="M856" s="19"/>
      <c r="N856" s="22">
        <f t="shared" si="30"/>
        <v>5.208333331393078E-2</v>
      </c>
      <c r="O856" s="19" t="s">
        <v>50</v>
      </c>
      <c r="P856" s="19" t="s">
        <v>6311</v>
      </c>
      <c r="Q856" s="19" t="s">
        <v>6312</v>
      </c>
      <c r="R856" s="19" t="s">
        <v>6313</v>
      </c>
      <c r="S856" s="19" t="s">
        <v>6314</v>
      </c>
      <c r="T856" s="20">
        <v>46004.64167824074</v>
      </c>
      <c r="U856" s="19">
        <v>46010.625</v>
      </c>
      <c r="V856" s="19" t="s">
        <v>157</v>
      </c>
      <c r="W856" s="19"/>
      <c r="X856" s="19" t="s">
        <v>762</v>
      </c>
      <c r="Y856" s="27" t="s">
        <v>133</v>
      </c>
      <c r="Z856" s="27" t="s">
        <v>6315</v>
      </c>
      <c r="AA856" s="27" t="s">
        <v>6316</v>
      </c>
      <c r="AB856" s="27" t="s">
        <v>6317</v>
      </c>
      <c r="AC856" s="37" t="s">
        <v>6318</v>
      </c>
      <c r="AD856" s="38" t="s">
        <v>6319</v>
      </c>
      <c r="AE856" s="36">
        <v>45992</v>
      </c>
      <c r="AF856" s="19" t="s">
        <v>89</v>
      </c>
      <c r="AG856" s="19" t="s">
        <v>90</v>
      </c>
      <c r="AH856" s="19" t="s">
        <v>62</v>
      </c>
      <c r="AI856" s="19" t="s">
        <v>63</v>
      </c>
      <c r="AJ856" s="19" t="s">
        <v>6320</v>
      </c>
      <c r="AK856" s="19"/>
      <c r="AL856" s="19"/>
      <c r="AM856" s="19"/>
      <c r="AN856" s="19" t="s">
        <v>103</v>
      </c>
      <c r="AO856" s="23">
        <v>46004.552083333343</v>
      </c>
      <c r="AP856" s="26">
        <f t="shared" si="29"/>
        <v>75</v>
      </c>
    </row>
    <row r="857" spans="1:42" ht="32.25" hidden="1" customHeight="1">
      <c r="A857" s="19" t="s">
        <v>116</v>
      </c>
      <c r="B857" s="19" t="s">
        <v>309</v>
      </c>
      <c r="C857" s="19" t="s">
        <v>1637</v>
      </c>
      <c r="D857" s="19" t="s">
        <v>45</v>
      </c>
      <c r="E857" s="19" t="s">
        <v>46</v>
      </c>
      <c r="F857" s="19" t="s">
        <v>6321</v>
      </c>
      <c r="G857" s="19" t="s">
        <v>48</v>
      </c>
      <c r="H857" s="19" t="s">
        <v>49</v>
      </c>
      <c r="I857" s="20">
        <v>46005.229166666657</v>
      </c>
      <c r="K857" s="19"/>
      <c r="L857" s="20">
        <v>46005.277777777781</v>
      </c>
      <c r="M857" s="19"/>
      <c r="N857" s="22">
        <f t="shared" si="30"/>
        <v>4.8611111124046147E-2</v>
      </c>
      <c r="O857" s="19" t="s">
        <v>50</v>
      </c>
      <c r="P857" s="19" t="s">
        <v>6322</v>
      </c>
      <c r="Q857" s="19" t="s">
        <v>6323</v>
      </c>
      <c r="R857" s="19"/>
      <c r="S857" s="19"/>
      <c r="U857" s="19"/>
      <c r="W857" s="19"/>
      <c r="X857" s="19" t="s">
        <v>314</v>
      </c>
      <c r="Y857" s="27" t="s">
        <v>54</v>
      </c>
      <c r="Z857" s="27" t="s">
        <v>3130</v>
      </c>
      <c r="AA857" s="27" t="s">
        <v>6324</v>
      </c>
      <c r="AB857" s="27" t="s">
        <v>6325</v>
      </c>
      <c r="AC857" s="37" t="s">
        <v>6326</v>
      </c>
      <c r="AD857" s="38" t="s">
        <v>6327</v>
      </c>
      <c r="AE857" s="36">
        <v>45992</v>
      </c>
      <c r="AF857" s="19" t="s">
        <v>89</v>
      </c>
      <c r="AG857" s="19" t="s">
        <v>90</v>
      </c>
      <c r="AH857" s="19" t="s">
        <v>62</v>
      </c>
      <c r="AI857" s="19" t="s">
        <v>63</v>
      </c>
      <c r="AJ857" s="19" t="s">
        <v>6328</v>
      </c>
      <c r="AK857" s="19"/>
      <c r="AL857" s="19"/>
      <c r="AM857" s="19"/>
      <c r="AN857" s="19" t="s">
        <v>65</v>
      </c>
      <c r="AO857" s="23">
        <v>46005.274305555547</v>
      </c>
      <c r="AP857" s="26">
        <f t="shared" si="29"/>
        <v>70</v>
      </c>
    </row>
    <row r="858" spans="1:42" ht="32.25" hidden="1" customHeight="1">
      <c r="A858" s="19" t="s">
        <v>42</v>
      </c>
      <c r="B858" s="19" t="s">
        <v>470</v>
      </c>
      <c r="C858" s="19" t="s">
        <v>471</v>
      </c>
      <c r="D858" s="19" t="s">
        <v>45</v>
      </c>
      <c r="E858" s="19" t="s">
        <v>46</v>
      </c>
      <c r="F858" s="19" t="s">
        <v>6329</v>
      </c>
      <c r="G858" s="19" t="s">
        <v>48</v>
      </c>
      <c r="H858" s="19" t="s">
        <v>49</v>
      </c>
      <c r="I858" s="20">
        <v>46007.549305555563</v>
      </c>
      <c r="K858" s="19"/>
      <c r="L858" s="20">
        <v>46007.552083333343</v>
      </c>
      <c r="M858" s="19"/>
      <c r="N858" s="22">
        <f t="shared" si="30"/>
        <v>2.7777777795563452E-3</v>
      </c>
      <c r="O858" s="19" t="s">
        <v>50</v>
      </c>
      <c r="P858" s="19" t="s">
        <v>6330</v>
      </c>
      <c r="Q858" s="19" t="s">
        <v>6331</v>
      </c>
      <c r="R858" s="19"/>
      <c r="S858" s="19"/>
      <c r="U858" s="19"/>
      <c r="W858" s="19"/>
      <c r="X858" s="19" t="s">
        <v>475</v>
      </c>
      <c r="Y858" s="27" t="s">
        <v>54</v>
      </c>
      <c r="Z858" s="27" t="s">
        <v>110</v>
      </c>
      <c r="AA858" s="27" t="s">
        <v>6332</v>
      </c>
      <c r="AB858" s="27" t="s">
        <v>6333</v>
      </c>
      <c r="AC858" s="37" t="s">
        <v>6334</v>
      </c>
      <c r="AD858" s="38" t="s">
        <v>6335</v>
      </c>
      <c r="AE858" s="36">
        <v>45992</v>
      </c>
      <c r="AF858" s="19" t="s">
        <v>89</v>
      </c>
      <c r="AG858" s="19" t="s">
        <v>90</v>
      </c>
      <c r="AH858" s="19" t="s">
        <v>62</v>
      </c>
      <c r="AI858" s="19" t="s">
        <v>63</v>
      </c>
      <c r="AJ858" s="19" t="s">
        <v>6336</v>
      </c>
      <c r="AK858" s="19"/>
      <c r="AL858" s="19"/>
      <c r="AM858" s="19"/>
      <c r="AN858" s="19" t="s">
        <v>128</v>
      </c>
      <c r="AO858" s="23">
        <v>46007.549305555563</v>
      </c>
      <c r="AP858" s="26">
        <f t="shared" si="29"/>
        <v>4</v>
      </c>
    </row>
    <row r="859" spans="1:42" ht="32.25" hidden="1" customHeight="1">
      <c r="A859" s="19" t="s">
        <v>42</v>
      </c>
      <c r="B859" s="19" t="s">
        <v>186</v>
      </c>
      <c r="C859" s="19" t="s">
        <v>577</v>
      </c>
      <c r="D859" s="19" t="s">
        <v>45</v>
      </c>
      <c r="E859" s="19" t="s">
        <v>46</v>
      </c>
      <c r="F859" s="19" t="s">
        <v>6337</v>
      </c>
      <c r="G859" s="19" t="s">
        <v>48</v>
      </c>
      <c r="H859" s="19" t="s">
        <v>49</v>
      </c>
      <c r="I859" s="20">
        <v>46007.365972222222</v>
      </c>
      <c r="K859" s="19"/>
      <c r="L859" s="20">
        <v>46007.425694444442</v>
      </c>
      <c r="M859" s="19"/>
      <c r="N859" s="22">
        <f t="shared" si="30"/>
        <v>5.9722222220443655E-2</v>
      </c>
      <c r="O859" s="19" t="s">
        <v>63</v>
      </c>
      <c r="P859" s="19" t="s">
        <v>6338</v>
      </c>
      <c r="Q859" s="19" t="s">
        <v>6339</v>
      </c>
      <c r="R859" s="19"/>
      <c r="S859" s="19"/>
      <c r="U859" s="19"/>
      <c r="W859" s="19"/>
      <c r="X859" s="19" t="s">
        <v>191</v>
      </c>
      <c r="Y859" s="27" t="s">
        <v>147</v>
      </c>
      <c r="Z859" s="27" t="s">
        <v>78</v>
      </c>
      <c r="AA859" s="27" t="s">
        <v>78</v>
      </c>
      <c r="AB859" s="27" t="s">
        <v>147</v>
      </c>
      <c r="AC859" s="37" t="s">
        <v>78</v>
      </c>
      <c r="AD859" s="38" t="s">
        <v>78</v>
      </c>
      <c r="AE859" s="36">
        <v>45992</v>
      </c>
      <c r="AF859" s="19" t="s">
        <v>89</v>
      </c>
      <c r="AG859" s="19" t="s">
        <v>90</v>
      </c>
      <c r="AH859" s="19" t="s">
        <v>62</v>
      </c>
      <c r="AI859" s="19" t="s">
        <v>63</v>
      </c>
      <c r="AJ859" s="19" t="s">
        <v>6340</v>
      </c>
      <c r="AK859" s="19"/>
      <c r="AL859" s="19"/>
      <c r="AM859" s="19"/>
      <c r="AN859" s="19" t="s">
        <v>65</v>
      </c>
      <c r="AO859" s="23">
        <v>46007.365972222222</v>
      </c>
      <c r="AP859" s="26">
        <f t="shared" si="29"/>
        <v>86</v>
      </c>
    </row>
    <row r="860" spans="1:42" ht="32.25" hidden="1" customHeight="1">
      <c r="A860" s="19" t="s">
        <v>42</v>
      </c>
      <c r="B860" s="19" t="s">
        <v>1917</v>
      </c>
      <c r="C860" s="19" t="s">
        <v>2480</v>
      </c>
      <c r="D860" s="19" t="s">
        <v>45</v>
      </c>
      <c r="E860" s="19" t="s">
        <v>46</v>
      </c>
      <c r="F860" s="19" t="s">
        <v>6341</v>
      </c>
      <c r="G860" s="19" t="s">
        <v>48</v>
      </c>
      <c r="H860" s="19" t="s">
        <v>49</v>
      </c>
      <c r="I860" s="20">
        <v>46007.365277777782</v>
      </c>
      <c r="K860" s="19"/>
      <c r="L860" s="20">
        <v>46007.476388888892</v>
      </c>
      <c r="M860" s="19"/>
      <c r="N860" s="22">
        <f t="shared" si="30"/>
        <v>0.11111111110949423</v>
      </c>
      <c r="O860" s="19" t="s">
        <v>50</v>
      </c>
      <c r="P860" s="19" t="s">
        <v>5169</v>
      </c>
      <c r="Q860" s="19" t="s">
        <v>5945</v>
      </c>
      <c r="R860" s="19"/>
      <c r="S860" s="19"/>
      <c r="U860" s="19"/>
      <c r="W860" s="19"/>
      <c r="X860" s="19" t="s">
        <v>109</v>
      </c>
      <c r="Y860" s="27" t="s">
        <v>147</v>
      </c>
      <c r="Z860" s="27" t="s">
        <v>78</v>
      </c>
      <c r="AA860" s="27" t="s">
        <v>78</v>
      </c>
      <c r="AB860" s="27" t="s">
        <v>147</v>
      </c>
      <c r="AC860" s="37" t="s">
        <v>78</v>
      </c>
      <c r="AD860" s="38" t="s">
        <v>78</v>
      </c>
      <c r="AE860" s="36">
        <v>45992</v>
      </c>
      <c r="AF860" s="19" t="s">
        <v>89</v>
      </c>
      <c r="AG860" s="19" t="s">
        <v>90</v>
      </c>
      <c r="AH860" s="19" t="s">
        <v>62</v>
      </c>
      <c r="AI860" s="19" t="s">
        <v>63</v>
      </c>
      <c r="AJ860" s="19" t="s">
        <v>6342</v>
      </c>
      <c r="AK860" s="19"/>
      <c r="AL860" s="19"/>
      <c r="AM860" s="19"/>
      <c r="AN860" s="19" t="s">
        <v>103</v>
      </c>
      <c r="AO860" s="23">
        <v>46007.365277777782</v>
      </c>
      <c r="AP860" s="26">
        <f t="shared" si="29"/>
        <v>160</v>
      </c>
    </row>
    <row r="861" spans="1:42" ht="32.25" hidden="1" customHeight="1">
      <c r="A861" s="19" t="s">
        <v>116</v>
      </c>
      <c r="C861" s="19" t="s">
        <v>2677</v>
      </c>
      <c r="D861" s="19" t="s">
        <v>45</v>
      </c>
      <c r="E861" s="19" t="s">
        <v>46</v>
      </c>
      <c r="F861" s="19" t="s">
        <v>6343</v>
      </c>
      <c r="G861" s="19" t="s">
        <v>48</v>
      </c>
      <c r="H861" s="19" t="s">
        <v>49</v>
      </c>
      <c r="I861" s="20">
        <v>46007.567361111112</v>
      </c>
      <c r="K861" s="19"/>
      <c r="L861" s="20">
        <v>46007.590277777781</v>
      </c>
      <c r="M861" s="19"/>
      <c r="N861" s="22">
        <f t="shared" si="30"/>
        <v>2.2916666668606922E-2</v>
      </c>
      <c r="O861" s="19" t="s">
        <v>63</v>
      </c>
      <c r="P861" s="19" t="s">
        <v>6344</v>
      </c>
      <c r="Q861" s="19" t="s">
        <v>6345</v>
      </c>
      <c r="R861" s="19"/>
      <c r="S861" s="19"/>
      <c r="U861" s="19"/>
      <c r="W861" s="19"/>
      <c r="X861" s="19" t="s">
        <v>314</v>
      </c>
      <c r="Y861" s="27" t="s">
        <v>147</v>
      </c>
      <c r="Z861" s="27" t="s">
        <v>78</v>
      </c>
      <c r="AA861" s="27" t="s">
        <v>78</v>
      </c>
      <c r="AB861" s="27" t="s">
        <v>147</v>
      </c>
      <c r="AC861" s="37" t="s">
        <v>78</v>
      </c>
      <c r="AD861" s="38" t="s">
        <v>78</v>
      </c>
      <c r="AE861" s="36">
        <v>45992</v>
      </c>
      <c r="AF861" s="19" t="s">
        <v>89</v>
      </c>
      <c r="AG861" s="19" t="s">
        <v>90</v>
      </c>
      <c r="AH861" s="19" t="s">
        <v>62</v>
      </c>
      <c r="AI861" s="19" t="s">
        <v>63</v>
      </c>
      <c r="AJ861" s="19" t="s">
        <v>6344</v>
      </c>
      <c r="AK861" s="19"/>
      <c r="AL861" s="19"/>
      <c r="AM861" s="19"/>
      <c r="AN861" s="19" t="s">
        <v>622</v>
      </c>
      <c r="AO861" s="23">
        <v>46007.567361111112</v>
      </c>
      <c r="AP861" s="26">
        <f t="shared" si="29"/>
        <v>33</v>
      </c>
    </row>
    <row r="862" spans="1:42" ht="32.25" hidden="1" customHeight="1">
      <c r="A862" s="19" t="s">
        <v>42</v>
      </c>
      <c r="B862" s="19" t="s">
        <v>66</v>
      </c>
      <c r="C862" s="19" t="s">
        <v>142</v>
      </c>
      <c r="D862" s="19" t="s">
        <v>45</v>
      </c>
      <c r="E862" s="19" t="s">
        <v>46</v>
      </c>
      <c r="F862" s="19" t="s">
        <v>6346</v>
      </c>
      <c r="G862" s="19" t="s">
        <v>48</v>
      </c>
      <c r="H862" s="19" t="s">
        <v>49</v>
      </c>
      <c r="I862" s="20">
        <v>46008.095138888893</v>
      </c>
      <c r="K862" s="19"/>
      <c r="L862" s="20">
        <v>46008.127083333333</v>
      </c>
      <c r="M862" s="19"/>
      <c r="N862" s="22">
        <f t="shared" si="30"/>
        <v>3.1944444439432118E-2</v>
      </c>
      <c r="O862" s="19" t="s">
        <v>50</v>
      </c>
      <c r="P862" s="19" t="s">
        <v>6347</v>
      </c>
      <c r="Q862" s="19" t="s">
        <v>6348</v>
      </c>
      <c r="R862" s="19"/>
      <c r="S862" s="19"/>
      <c r="U862" s="19"/>
      <c r="W862" s="19"/>
      <c r="X862" s="19" t="s">
        <v>72</v>
      </c>
      <c r="Y862" s="27" t="s">
        <v>147</v>
      </c>
      <c r="Z862" s="27" t="s">
        <v>78</v>
      </c>
      <c r="AA862" s="27" t="s">
        <v>78</v>
      </c>
      <c r="AB862" s="27" t="s">
        <v>147</v>
      </c>
      <c r="AC862" s="37" t="s">
        <v>78</v>
      </c>
      <c r="AD862" s="38" t="s">
        <v>78</v>
      </c>
      <c r="AE862" s="36">
        <v>45992</v>
      </c>
      <c r="AF862" s="19" t="s">
        <v>89</v>
      </c>
      <c r="AG862" s="19" t="s">
        <v>90</v>
      </c>
      <c r="AH862" s="19" t="s">
        <v>62</v>
      </c>
      <c r="AI862" s="19" t="s">
        <v>63</v>
      </c>
      <c r="AJ862" s="19" t="s">
        <v>6349</v>
      </c>
      <c r="AK862" s="19"/>
      <c r="AL862" s="19"/>
      <c r="AM862" s="19"/>
      <c r="AN862" s="19" t="s">
        <v>65</v>
      </c>
      <c r="AO862" s="23">
        <v>46008.095138888893</v>
      </c>
      <c r="AP862" s="26">
        <f t="shared" si="29"/>
        <v>46</v>
      </c>
    </row>
    <row r="863" spans="1:42" ht="32.25" hidden="1" customHeight="1">
      <c r="A863" s="19" t="s">
        <v>42</v>
      </c>
      <c r="C863" s="19" t="s">
        <v>3715</v>
      </c>
      <c r="D863" s="19" t="s">
        <v>45</v>
      </c>
      <c r="E863" s="19" t="s">
        <v>46</v>
      </c>
      <c r="F863" s="19" t="s">
        <v>6350</v>
      </c>
      <c r="G863" s="19" t="s">
        <v>48</v>
      </c>
      <c r="H863" s="19" t="s">
        <v>49</v>
      </c>
      <c r="I863" s="20">
        <v>46008.321527777778</v>
      </c>
      <c r="K863" s="19"/>
      <c r="L863" s="20">
        <v>46008.363194444442</v>
      </c>
      <c r="M863" s="19"/>
      <c r="N863" s="22">
        <f t="shared" si="30"/>
        <v>4.1666666664241347E-2</v>
      </c>
      <c r="O863" s="19" t="s">
        <v>63</v>
      </c>
      <c r="P863" s="19" t="s">
        <v>6351</v>
      </c>
      <c r="Q863" s="19" t="s">
        <v>6352</v>
      </c>
      <c r="R863" s="19"/>
      <c r="S863" s="19"/>
      <c r="U863" s="19"/>
      <c r="W863" s="19"/>
      <c r="X863" s="19" t="s">
        <v>109</v>
      </c>
      <c r="Y863" s="27" t="s">
        <v>147</v>
      </c>
      <c r="Z863" s="27" t="s">
        <v>78</v>
      </c>
      <c r="AA863" s="27" t="s">
        <v>78</v>
      </c>
      <c r="AB863" s="27" t="s">
        <v>147</v>
      </c>
      <c r="AC863" s="37" t="s">
        <v>78</v>
      </c>
      <c r="AD863" s="38" t="s">
        <v>78</v>
      </c>
      <c r="AE863" s="36">
        <v>45992</v>
      </c>
      <c r="AF863" s="19" t="s">
        <v>89</v>
      </c>
      <c r="AG863" s="19" t="s">
        <v>90</v>
      </c>
      <c r="AH863" s="19" t="s">
        <v>62</v>
      </c>
      <c r="AI863" s="19" t="s">
        <v>63</v>
      </c>
      <c r="AJ863" s="19" t="s">
        <v>6353</v>
      </c>
      <c r="AK863" s="19"/>
      <c r="AL863" s="19"/>
      <c r="AM863" s="19"/>
      <c r="AN863" s="19" t="s">
        <v>103</v>
      </c>
      <c r="AO863" s="23">
        <v>46008.321527777778</v>
      </c>
      <c r="AP863" s="26">
        <f t="shared" si="29"/>
        <v>60</v>
      </c>
    </row>
    <row r="864" spans="1:42" ht="32.25" hidden="1" customHeight="1">
      <c r="A864" s="19" t="s">
        <v>285</v>
      </c>
      <c r="C864" s="19" t="s">
        <v>5029</v>
      </c>
      <c r="D864" s="19" t="s">
        <v>45</v>
      </c>
      <c r="E864" s="19" t="s">
        <v>46</v>
      </c>
      <c r="F864" s="19" t="s">
        <v>6354</v>
      </c>
      <c r="G864" s="19" t="s">
        <v>48</v>
      </c>
      <c r="H864" s="19" t="s">
        <v>49</v>
      </c>
      <c r="I864" s="20">
        <v>46008.430555555547</v>
      </c>
      <c r="K864" s="19"/>
      <c r="L864" s="20">
        <v>46008.444444444453</v>
      </c>
      <c r="M864" s="19"/>
      <c r="N864" s="22">
        <f t="shared" si="30"/>
        <v>1.3888888905057684E-2</v>
      </c>
      <c r="O864" s="19" t="s">
        <v>63</v>
      </c>
      <c r="P864" s="19" t="s">
        <v>6355</v>
      </c>
      <c r="Q864" s="19" t="s">
        <v>6356</v>
      </c>
      <c r="R864" s="19"/>
      <c r="S864" s="19"/>
      <c r="U864" s="19"/>
      <c r="W864" s="19"/>
      <c r="X864" s="19" t="s">
        <v>109</v>
      </c>
      <c r="Y864" s="27" t="s">
        <v>54</v>
      </c>
      <c r="Z864" s="27" t="s">
        <v>414</v>
      </c>
      <c r="AA864" s="27" t="s">
        <v>6357</v>
      </c>
      <c r="AB864" s="27" t="s">
        <v>6358</v>
      </c>
      <c r="AC864" s="37">
        <v>46008.386805555558</v>
      </c>
      <c r="AD864" s="38">
        <v>46008.650694444441</v>
      </c>
      <c r="AE864" s="36">
        <v>45992</v>
      </c>
      <c r="AF864" s="19" t="s">
        <v>89</v>
      </c>
      <c r="AG864" s="19" t="s">
        <v>90</v>
      </c>
      <c r="AH864" s="19" t="s">
        <v>62</v>
      </c>
      <c r="AI864" s="19" t="s">
        <v>63</v>
      </c>
      <c r="AJ864" s="19" t="s">
        <v>6359</v>
      </c>
      <c r="AK864" s="19"/>
      <c r="AL864" s="19"/>
      <c r="AM864" s="19"/>
      <c r="AN864" s="19" t="s">
        <v>65</v>
      </c>
      <c r="AO864" s="23">
        <v>46008.430555555547</v>
      </c>
      <c r="AP864" s="26">
        <f t="shared" si="29"/>
        <v>20</v>
      </c>
    </row>
    <row r="865" spans="1:42" ht="32.25" hidden="1" customHeight="1">
      <c r="A865" s="19" t="s">
        <v>116</v>
      </c>
      <c r="B865" s="19" t="s">
        <v>4875</v>
      </c>
      <c r="C865" s="19" t="s">
        <v>5917</v>
      </c>
      <c r="D865" s="19" t="s">
        <v>45</v>
      </c>
      <c r="E865" s="19" t="s">
        <v>46</v>
      </c>
      <c r="F865" s="19" t="s">
        <v>6360</v>
      </c>
      <c r="G865" s="19" t="s">
        <v>48</v>
      </c>
      <c r="H865" s="19" t="s">
        <v>49</v>
      </c>
      <c r="I865" s="20">
        <v>46008.493055555547</v>
      </c>
      <c r="K865" s="19"/>
      <c r="L865" s="20">
        <v>46008.548611111109</v>
      </c>
      <c r="M865" s="19"/>
      <c r="N865" s="22">
        <f t="shared" si="30"/>
        <v>5.5555555562023073E-2</v>
      </c>
      <c r="O865" s="19" t="s">
        <v>63</v>
      </c>
      <c r="P865" s="19" t="s">
        <v>6361</v>
      </c>
      <c r="Q865" s="19" t="s">
        <v>6362</v>
      </c>
      <c r="R865" s="19"/>
      <c r="S865" s="19"/>
      <c r="U865" s="19"/>
      <c r="W865" s="19"/>
      <c r="X865" s="19" t="s">
        <v>314</v>
      </c>
      <c r="Y865" s="27" t="s">
        <v>54</v>
      </c>
      <c r="Z865" s="27" t="s">
        <v>5480</v>
      </c>
      <c r="AA865" s="27" t="s">
        <v>6363</v>
      </c>
      <c r="AB865" s="27" t="s">
        <v>6364</v>
      </c>
      <c r="AC865" s="37" t="s">
        <v>6365</v>
      </c>
      <c r="AD865" s="38" t="s">
        <v>6366</v>
      </c>
      <c r="AE865" s="36">
        <v>45992</v>
      </c>
      <c r="AF865" s="19" t="s">
        <v>99</v>
      </c>
      <c r="AG865" s="19" t="s">
        <v>100</v>
      </c>
      <c r="AH865" s="19" t="s">
        <v>62</v>
      </c>
      <c r="AI865" s="19" t="s">
        <v>63</v>
      </c>
      <c r="AJ865" s="19" t="s">
        <v>6367</v>
      </c>
      <c r="AK865" s="19" t="s">
        <v>6368</v>
      </c>
      <c r="AL865" s="19"/>
      <c r="AM865" s="19"/>
      <c r="AN865" s="19" t="s">
        <v>103</v>
      </c>
      <c r="AO865" s="23">
        <v>46008.493055555547</v>
      </c>
      <c r="AP865" s="26">
        <f t="shared" si="29"/>
        <v>80</v>
      </c>
    </row>
    <row r="866" spans="1:42" ht="32.25" hidden="1" customHeight="1">
      <c r="A866" s="19" t="s">
        <v>42</v>
      </c>
      <c r="B866" s="19" t="s">
        <v>66</v>
      </c>
      <c r="C866" s="19" t="s">
        <v>142</v>
      </c>
      <c r="D866" s="19" t="s">
        <v>45</v>
      </c>
      <c r="E866" s="19" t="s">
        <v>46</v>
      </c>
      <c r="F866" s="19" t="s">
        <v>6346</v>
      </c>
      <c r="G866" s="19" t="s">
        <v>226</v>
      </c>
      <c r="H866" s="19" t="s">
        <v>49</v>
      </c>
      <c r="I866" s="20">
        <v>46008.229861111111</v>
      </c>
      <c r="K866" s="19"/>
      <c r="L866" s="20">
        <v>46008.271527777782</v>
      </c>
      <c r="M866" s="19"/>
      <c r="N866" s="22">
        <f t="shared" si="30"/>
        <v>4.1666666671517305E-2</v>
      </c>
      <c r="O866" s="19" t="s">
        <v>50</v>
      </c>
      <c r="P866" s="19" t="s">
        <v>6369</v>
      </c>
      <c r="Q866" s="19" t="s">
        <v>6370</v>
      </c>
      <c r="R866" s="19"/>
      <c r="S866" s="19"/>
      <c r="U866" s="19"/>
      <c r="W866" s="19"/>
      <c r="X866" s="19" t="s">
        <v>72</v>
      </c>
      <c r="Y866" s="27" t="s">
        <v>147</v>
      </c>
      <c r="Z866" s="27" t="s">
        <v>78</v>
      </c>
      <c r="AA866" s="27" t="s">
        <v>78</v>
      </c>
      <c r="AB866" s="27" t="s">
        <v>147</v>
      </c>
      <c r="AC866" s="37" t="s">
        <v>78</v>
      </c>
      <c r="AD866" s="38" t="s">
        <v>78</v>
      </c>
      <c r="AE866" s="36">
        <v>45992</v>
      </c>
      <c r="AF866" s="19" t="s">
        <v>99</v>
      </c>
      <c r="AG866" s="19" t="s">
        <v>971</v>
      </c>
      <c r="AH866" s="19" t="s">
        <v>62</v>
      </c>
      <c r="AI866" s="19" t="s">
        <v>50</v>
      </c>
      <c r="AJ866" s="19" t="s">
        <v>6371</v>
      </c>
      <c r="AK866" s="19"/>
      <c r="AL866" s="19"/>
      <c r="AM866" s="19"/>
      <c r="AN866" s="19" t="s">
        <v>65</v>
      </c>
      <c r="AO866" s="23">
        <v>46008.229861111111</v>
      </c>
      <c r="AP866" s="26">
        <f t="shared" si="29"/>
        <v>60</v>
      </c>
    </row>
    <row r="867" spans="1:42" ht="32.25" hidden="1" customHeight="1">
      <c r="A867" s="19" t="s">
        <v>42</v>
      </c>
      <c r="B867" s="19" t="s">
        <v>1558</v>
      </c>
      <c r="C867" s="19" t="s">
        <v>2093</v>
      </c>
      <c r="D867" s="19" t="s">
        <v>45</v>
      </c>
      <c r="E867" s="19" t="s">
        <v>46</v>
      </c>
      <c r="F867" s="19" t="s">
        <v>6372</v>
      </c>
      <c r="G867" s="19" t="s">
        <v>48</v>
      </c>
      <c r="H867" s="19" t="s">
        <v>49</v>
      </c>
      <c r="I867" s="20">
        <v>46008.37222222222</v>
      </c>
      <c r="K867" s="19"/>
      <c r="L867" s="20">
        <v>46008.413194444453</v>
      </c>
      <c r="M867" s="19"/>
      <c r="N867" s="22">
        <f t="shared" si="30"/>
        <v>4.0972222232085187E-2</v>
      </c>
      <c r="O867" s="19" t="s">
        <v>50</v>
      </c>
      <c r="P867" s="19" t="s">
        <v>6373</v>
      </c>
      <c r="Q867" s="19" t="s">
        <v>6374</v>
      </c>
      <c r="R867" s="19"/>
      <c r="S867" s="19"/>
      <c r="U867" s="19"/>
      <c r="W867" s="19"/>
      <c r="X867" s="19" t="s">
        <v>109</v>
      </c>
      <c r="Y867" s="27" t="s">
        <v>54</v>
      </c>
      <c r="Z867" s="27" t="s">
        <v>1988</v>
      </c>
      <c r="AA867" s="27" t="s">
        <v>6375</v>
      </c>
      <c r="AB867" s="27" t="s">
        <v>6376</v>
      </c>
      <c r="AC867" s="37" t="s">
        <v>6377</v>
      </c>
      <c r="AD867" s="38" t="s">
        <v>6378</v>
      </c>
      <c r="AE867" s="36">
        <v>45992</v>
      </c>
      <c r="AF867" s="19" t="s">
        <v>89</v>
      </c>
      <c r="AG867" s="19" t="s">
        <v>90</v>
      </c>
      <c r="AH867" s="19" t="s">
        <v>62</v>
      </c>
      <c r="AI867" s="19" t="s">
        <v>50</v>
      </c>
      <c r="AJ867" s="19" t="s">
        <v>6379</v>
      </c>
      <c r="AK867" s="19"/>
      <c r="AL867" s="19"/>
      <c r="AM867" s="19"/>
      <c r="AN867" s="19" t="s">
        <v>103</v>
      </c>
      <c r="AO867" s="23">
        <v>46008.37222222222</v>
      </c>
      <c r="AP867" s="26">
        <f t="shared" si="29"/>
        <v>59</v>
      </c>
    </row>
    <row r="868" spans="1:42" ht="32.25" hidden="1" customHeight="1">
      <c r="A868" s="19" t="s">
        <v>42</v>
      </c>
      <c r="B868" s="19" t="s">
        <v>5349</v>
      </c>
      <c r="C868" s="19" t="s">
        <v>1767</v>
      </c>
      <c r="D868" s="19" t="s">
        <v>45</v>
      </c>
      <c r="E868" s="19" t="s">
        <v>46</v>
      </c>
      <c r="F868" s="19" t="s">
        <v>6380</v>
      </c>
      <c r="G868" s="19" t="s">
        <v>48</v>
      </c>
      <c r="H868" s="19" t="s">
        <v>49</v>
      </c>
      <c r="I868" s="20">
        <v>46008.695138888892</v>
      </c>
      <c r="K868" s="19"/>
      <c r="L868" s="20">
        <v>46008.701388888891</v>
      </c>
      <c r="M868" s="19"/>
      <c r="N868" s="22">
        <f t="shared" si="30"/>
        <v>6.2499999985448085E-3</v>
      </c>
      <c r="O868" s="19" t="s">
        <v>50</v>
      </c>
      <c r="P868" s="19" t="s">
        <v>4765</v>
      </c>
      <c r="Q868" s="19" t="s">
        <v>6381</v>
      </c>
      <c r="R868" s="19"/>
      <c r="S868" s="19"/>
      <c r="U868" s="19"/>
      <c r="W868" s="19"/>
      <c r="X868" s="19" t="s">
        <v>53</v>
      </c>
      <c r="Y868" s="27" t="s">
        <v>54</v>
      </c>
      <c r="Z868" s="27" t="s">
        <v>209</v>
      </c>
      <c r="AA868" s="27" t="s">
        <v>6382</v>
      </c>
      <c r="AB868" s="27" t="s">
        <v>6383</v>
      </c>
      <c r="AC868" s="37">
        <v>46008.695289351846</v>
      </c>
      <c r="AD868" s="38">
        <v>46008.705648148149</v>
      </c>
      <c r="AE868" s="36">
        <v>45992</v>
      </c>
      <c r="AF868" s="19" t="s">
        <v>89</v>
      </c>
      <c r="AG868" s="19" t="s">
        <v>90</v>
      </c>
      <c r="AH868" s="19" t="s">
        <v>62</v>
      </c>
      <c r="AI868" s="19" t="s">
        <v>63</v>
      </c>
      <c r="AJ868" s="19" t="s">
        <v>6384</v>
      </c>
      <c r="AK868" s="19"/>
      <c r="AL868" s="19"/>
      <c r="AM868" s="19"/>
      <c r="AN868" s="19" t="s">
        <v>65</v>
      </c>
      <c r="AO868" s="23">
        <v>46008.695138888892</v>
      </c>
      <c r="AP868" s="26">
        <f t="shared" si="29"/>
        <v>9</v>
      </c>
    </row>
    <row r="869" spans="1:42" ht="32.25" hidden="1" customHeight="1">
      <c r="A869" s="19" t="s">
        <v>42</v>
      </c>
      <c r="B869" s="19" t="s">
        <v>5248</v>
      </c>
      <c r="C869" s="19" t="s">
        <v>336</v>
      </c>
      <c r="D869" s="19" t="s">
        <v>45</v>
      </c>
      <c r="E869" s="19" t="s">
        <v>46</v>
      </c>
      <c r="F869" s="19" t="s">
        <v>6385</v>
      </c>
      <c r="G869" s="19" t="s">
        <v>48</v>
      </c>
      <c r="H869" s="19" t="s">
        <v>49</v>
      </c>
      <c r="I869" s="20">
        <v>46008.786111111112</v>
      </c>
      <c r="K869" s="19"/>
      <c r="L869" s="20">
        <v>46008.793055555558</v>
      </c>
      <c r="M869" s="19"/>
      <c r="N869" s="22">
        <f t="shared" si="30"/>
        <v>6.9444444452528842E-3</v>
      </c>
      <c r="O869" s="19" t="s">
        <v>50</v>
      </c>
      <c r="P869" s="19" t="s">
        <v>6386</v>
      </c>
      <c r="Q869" s="19" t="s">
        <v>5677</v>
      </c>
      <c r="R869" s="19"/>
      <c r="S869" s="19"/>
      <c r="U869" s="19"/>
      <c r="W869" s="19"/>
      <c r="X869" s="19" t="s">
        <v>314</v>
      </c>
      <c r="Y869" s="27" t="s">
        <v>54</v>
      </c>
      <c r="Z869" s="27" t="s">
        <v>414</v>
      </c>
      <c r="AA869" s="27" t="s">
        <v>6387</v>
      </c>
      <c r="AB869" s="27" t="s">
        <v>6388</v>
      </c>
      <c r="AC869" s="37">
        <v>46008.785949074067</v>
      </c>
      <c r="AD869" s="38">
        <v>46008.813668981478</v>
      </c>
      <c r="AE869" s="36">
        <v>45992</v>
      </c>
      <c r="AF869" s="19" t="s">
        <v>89</v>
      </c>
      <c r="AG869" s="19" t="s">
        <v>90</v>
      </c>
      <c r="AH869" s="19" t="s">
        <v>62</v>
      </c>
      <c r="AI869" s="19" t="s">
        <v>63</v>
      </c>
      <c r="AJ869" s="19" t="s">
        <v>6389</v>
      </c>
      <c r="AK869" s="19"/>
      <c r="AL869" s="19"/>
      <c r="AM869" s="19"/>
      <c r="AN869" s="19" t="s">
        <v>103</v>
      </c>
      <c r="AO869" s="23">
        <v>46008.786111111112</v>
      </c>
      <c r="AP869" s="26">
        <f t="shared" si="29"/>
        <v>10</v>
      </c>
    </row>
    <row r="870" spans="1:42" ht="32.25" hidden="1" customHeight="1">
      <c r="A870" s="19" t="s">
        <v>116</v>
      </c>
      <c r="B870" s="19" t="s">
        <v>6390</v>
      </c>
      <c r="C870" s="19" t="s">
        <v>118</v>
      </c>
      <c r="D870" s="19" t="s">
        <v>45</v>
      </c>
      <c r="E870" s="19" t="s">
        <v>46</v>
      </c>
      <c r="F870" s="19" t="s">
        <v>6391</v>
      </c>
      <c r="G870" s="19" t="s">
        <v>48</v>
      </c>
      <c r="H870" s="19" t="s">
        <v>49</v>
      </c>
      <c r="I870" s="20">
        <v>46009.123611111107</v>
      </c>
      <c r="K870" s="19"/>
      <c r="L870" s="20">
        <v>46009.145833333343</v>
      </c>
      <c r="M870" s="19"/>
      <c r="N870" s="22">
        <f t="shared" si="30"/>
        <v>2.2222222236450762E-2</v>
      </c>
      <c r="O870" s="19" t="s">
        <v>50</v>
      </c>
      <c r="P870" s="19" t="s">
        <v>6392</v>
      </c>
      <c r="Q870" s="19" t="s">
        <v>6393</v>
      </c>
      <c r="R870" s="19"/>
      <c r="S870" s="19"/>
      <c r="U870" s="19"/>
      <c r="W870" s="19"/>
      <c r="X870" s="19" t="s">
        <v>122</v>
      </c>
      <c r="Y870" s="27" t="s">
        <v>54</v>
      </c>
      <c r="Z870" s="27" t="s">
        <v>838</v>
      </c>
      <c r="AA870" s="27" t="s">
        <v>6394</v>
      </c>
      <c r="AB870" s="27" t="s">
        <v>6395</v>
      </c>
      <c r="AC870" s="37" t="s">
        <v>6396</v>
      </c>
      <c r="AD870" s="38" t="s">
        <v>6397</v>
      </c>
      <c r="AE870" s="36">
        <v>45992</v>
      </c>
      <c r="AF870" s="19" t="s">
        <v>89</v>
      </c>
      <c r="AG870" s="19" t="s">
        <v>90</v>
      </c>
      <c r="AH870" s="19" t="s">
        <v>62</v>
      </c>
      <c r="AI870" s="19" t="s">
        <v>63</v>
      </c>
      <c r="AJ870" s="19" t="s">
        <v>6398</v>
      </c>
      <c r="AK870" s="19"/>
      <c r="AL870" s="19"/>
      <c r="AM870" s="19"/>
      <c r="AN870" s="19" t="s">
        <v>65</v>
      </c>
      <c r="AO870" s="23">
        <v>46009.123611111107</v>
      </c>
      <c r="AP870" s="26">
        <f t="shared" si="29"/>
        <v>32</v>
      </c>
    </row>
    <row r="871" spans="1:42" ht="32.25" hidden="1" customHeight="1">
      <c r="A871" s="19" t="s">
        <v>285</v>
      </c>
      <c r="B871" s="19" t="s">
        <v>186</v>
      </c>
      <c r="C871" s="19" t="s">
        <v>577</v>
      </c>
      <c r="D871" s="19" t="s">
        <v>45</v>
      </c>
      <c r="E871" s="19" t="s">
        <v>46</v>
      </c>
      <c r="F871" s="19" t="s">
        <v>6399</v>
      </c>
      <c r="G871" s="19" t="s">
        <v>48</v>
      </c>
      <c r="H871" s="19" t="s">
        <v>49</v>
      </c>
      <c r="I871" s="20">
        <v>46009.328472222223</v>
      </c>
      <c r="K871" s="19"/>
      <c r="L871" s="20">
        <v>46010</v>
      </c>
      <c r="M871" s="19"/>
      <c r="N871" s="22">
        <f t="shared" si="30"/>
        <v>0.67152777777664596</v>
      </c>
      <c r="O871" s="19" t="s">
        <v>63</v>
      </c>
      <c r="P871" s="19" t="s">
        <v>2486</v>
      </c>
      <c r="Q871" s="19" t="s">
        <v>6400</v>
      </c>
      <c r="R871" s="19"/>
      <c r="S871" s="19"/>
      <c r="U871" s="19"/>
      <c r="W871" s="19"/>
      <c r="X871" s="19" t="s">
        <v>191</v>
      </c>
      <c r="Y871" s="27" t="s">
        <v>147</v>
      </c>
      <c r="Z871" s="27" t="s">
        <v>414</v>
      </c>
      <c r="AA871" s="27" t="s">
        <v>6399</v>
      </c>
      <c r="AB871" s="27" t="s">
        <v>147</v>
      </c>
      <c r="AC871" s="37">
        <v>46009.328472222223</v>
      </c>
      <c r="AD871" s="38">
        <v>46010</v>
      </c>
      <c r="AE871" s="36">
        <v>45992</v>
      </c>
      <c r="AF871" s="19" t="s">
        <v>99</v>
      </c>
      <c r="AG871" s="19" t="s">
        <v>100</v>
      </c>
      <c r="AH871" s="19" t="s">
        <v>62</v>
      </c>
      <c r="AI871" s="19" t="s">
        <v>63</v>
      </c>
      <c r="AJ871" s="19" t="s">
        <v>6401</v>
      </c>
      <c r="AK871" s="19" t="s">
        <v>6402</v>
      </c>
      <c r="AL871" s="19"/>
      <c r="AM871" s="19"/>
      <c r="AN871" s="19" t="s">
        <v>65</v>
      </c>
      <c r="AO871" s="23">
        <v>46009.328472222223</v>
      </c>
      <c r="AP871" s="26">
        <f t="shared" si="29"/>
        <v>967</v>
      </c>
    </row>
    <row r="872" spans="1:42" ht="32.25" hidden="1" customHeight="1">
      <c r="A872" s="19" t="s">
        <v>42</v>
      </c>
      <c r="B872" s="19" t="s">
        <v>6403</v>
      </c>
      <c r="C872" s="19" t="s">
        <v>129</v>
      </c>
      <c r="D872" s="19" t="s">
        <v>45</v>
      </c>
      <c r="E872" s="19" t="s">
        <v>46</v>
      </c>
      <c r="F872" s="19" t="s">
        <v>6404</v>
      </c>
      <c r="G872" s="19" t="s">
        <v>48</v>
      </c>
      <c r="H872" s="19" t="s">
        <v>49</v>
      </c>
      <c r="I872" s="20">
        <v>46009.395833333343</v>
      </c>
      <c r="K872" s="19"/>
      <c r="L872" s="20">
        <v>46009.418055555558</v>
      </c>
      <c r="M872" s="19"/>
      <c r="N872" s="22">
        <f t="shared" si="30"/>
        <v>2.2222222214622889E-2</v>
      </c>
      <c r="O872" s="19" t="s">
        <v>50</v>
      </c>
      <c r="P872" s="19" t="s">
        <v>6405</v>
      </c>
      <c r="Q872" s="19" t="s">
        <v>6406</v>
      </c>
      <c r="R872" s="19"/>
      <c r="S872" s="19"/>
      <c r="U872" s="19"/>
      <c r="W872" s="19"/>
      <c r="X872" s="19" t="s">
        <v>109</v>
      </c>
      <c r="Y872" s="27" t="s">
        <v>147</v>
      </c>
      <c r="Z872" s="27" t="s">
        <v>78</v>
      </c>
      <c r="AA872" s="27" t="s">
        <v>78</v>
      </c>
      <c r="AB872" s="27" t="s">
        <v>147</v>
      </c>
      <c r="AC872" s="37" t="s">
        <v>78</v>
      </c>
      <c r="AD872" s="38" t="s">
        <v>78</v>
      </c>
      <c r="AE872" s="36">
        <v>45992</v>
      </c>
      <c r="AF872" s="19" t="s">
        <v>99</v>
      </c>
      <c r="AG872" s="19" t="s">
        <v>139</v>
      </c>
      <c r="AH872" s="19" t="s">
        <v>78</v>
      </c>
      <c r="AI872" s="19" t="s">
        <v>63</v>
      </c>
      <c r="AJ872" s="19" t="s">
        <v>6407</v>
      </c>
      <c r="AK872" s="19" t="s">
        <v>6408</v>
      </c>
      <c r="AL872" s="19"/>
      <c r="AM872" s="19"/>
      <c r="AN872" s="19" t="s">
        <v>622</v>
      </c>
      <c r="AO872" s="23">
        <v>46009.410416666673</v>
      </c>
      <c r="AP872" s="26">
        <f t="shared" si="29"/>
        <v>32</v>
      </c>
    </row>
    <row r="873" spans="1:42" ht="32.25" hidden="1" customHeight="1">
      <c r="A873" s="19" t="s">
        <v>42</v>
      </c>
      <c r="B873" s="19" t="s">
        <v>504</v>
      </c>
      <c r="C873" s="19" t="s">
        <v>6409</v>
      </c>
      <c r="D873" s="19" t="s">
        <v>45</v>
      </c>
      <c r="E873" s="19" t="s">
        <v>46</v>
      </c>
      <c r="F873" s="19" t="s">
        <v>6410</v>
      </c>
      <c r="G873" s="19" t="s">
        <v>48</v>
      </c>
      <c r="H873" s="19" t="s">
        <v>49</v>
      </c>
      <c r="I873" s="20">
        <v>46009.549305555563</v>
      </c>
      <c r="K873" s="19"/>
      <c r="L873" s="20">
        <v>46009.57916666667</v>
      </c>
      <c r="M873" s="19"/>
      <c r="N873" s="22">
        <f t="shared" si="30"/>
        <v>2.9861111106583849E-2</v>
      </c>
      <c r="O873" s="19" t="s">
        <v>63</v>
      </c>
      <c r="P873" s="19" t="s">
        <v>6411</v>
      </c>
      <c r="Q873" s="19" t="s">
        <v>6412</v>
      </c>
      <c r="R873" s="19"/>
      <c r="S873" s="19"/>
      <c r="U873" s="19"/>
      <c r="W873" s="19"/>
      <c r="X873" s="19" t="s">
        <v>509</v>
      </c>
      <c r="Y873" s="27" t="s">
        <v>147</v>
      </c>
      <c r="Z873" s="27" t="s">
        <v>78</v>
      </c>
      <c r="AA873" s="27" t="s">
        <v>78</v>
      </c>
      <c r="AB873" s="27" t="s">
        <v>147</v>
      </c>
      <c r="AC873" s="37" t="s">
        <v>78</v>
      </c>
      <c r="AD873" s="38" t="s">
        <v>78</v>
      </c>
      <c r="AE873" s="36">
        <v>45992</v>
      </c>
      <c r="AF873" s="19" t="s">
        <v>89</v>
      </c>
      <c r="AG873" s="19" t="s">
        <v>126</v>
      </c>
      <c r="AH873" s="19" t="s">
        <v>62</v>
      </c>
      <c r="AI873" s="19" t="s">
        <v>63</v>
      </c>
      <c r="AJ873" s="19" t="s">
        <v>6413</v>
      </c>
      <c r="AK873" s="19"/>
      <c r="AL873" s="19"/>
      <c r="AM873" s="19"/>
      <c r="AN873" s="19" t="s">
        <v>65</v>
      </c>
      <c r="AO873" s="23">
        <v>46009.549305555563</v>
      </c>
      <c r="AP873" s="26">
        <f t="shared" si="29"/>
        <v>43</v>
      </c>
    </row>
    <row r="874" spans="1:42" ht="32.25" hidden="1" customHeight="1">
      <c r="A874" s="19" t="s">
        <v>116</v>
      </c>
      <c r="C874" s="19" t="s">
        <v>2677</v>
      </c>
      <c r="D874" s="19" t="s">
        <v>45</v>
      </c>
      <c r="E874" s="19" t="s">
        <v>46</v>
      </c>
      <c r="F874" s="19" t="s">
        <v>6343</v>
      </c>
      <c r="G874" s="19" t="s">
        <v>226</v>
      </c>
      <c r="H874" s="19" t="s">
        <v>49</v>
      </c>
      <c r="I874" s="20">
        <v>46009.673611111109</v>
      </c>
      <c r="K874" s="19"/>
      <c r="L874" s="20">
        <v>46009.701388888891</v>
      </c>
      <c r="M874" s="19"/>
      <c r="N874" s="22">
        <f t="shared" si="30"/>
        <v>2.7777777781011537E-2</v>
      </c>
      <c r="O874" s="19" t="s">
        <v>63</v>
      </c>
      <c r="P874" s="19" t="s">
        <v>6344</v>
      </c>
      <c r="Q874" s="19" t="s">
        <v>6414</v>
      </c>
      <c r="R874" s="19"/>
      <c r="S874" s="19"/>
      <c r="U874" s="19"/>
      <c r="W874" s="19"/>
      <c r="X874" s="19" t="s">
        <v>314</v>
      </c>
      <c r="Y874" s="27" t="s">
        <v>147</v>
      </c>
      <c r="Z874" s="27" t="s">
        <v>78</v>
      </c>
      <c r="AA874" s="27" t="s">
        <v>78</v>
      </c>
      <c r="AB874" s="27" t="s">
        <v>147</v>
      </c>
      <c r="AC874" s="37" t="s">
        <v>78</v>
      </c>
      <c r="AD874" s="38" t="s">
        <v>78</v>
      </c>
      <c r="AE874" s="36">
        <v>45992</v>
      </c>
      <c r="AF874" s="19" t="s">
        <v>89</v>
      </c>
      <c r="AG874" s="19" t="s">
        <v>90</v>
      </c>
      <c r="AH874" s="19" t="s">
        <v>62</v>
      </c>
      <c r="AI874" s="19" t="s">
        <v>63</v>
      </c>
      <c r="AJ874" s="19" t="s">
        <v>6344</v>
      </c>
      <c r="AK874" s="19"/>
      <c r="AL874" s="19"/>
      <c r="AM874" s="19"/>
      <c r="AN874" s="19" t="s">
        <v>622</v>
      </c>
      <c r="AO874" s="23">
        <v>46009.673611111109</v>
      </c>
      <c r="AP874" s="26">
        <f t="shared" si="29"/>
        <v>40</v>
      </c>
    </row>
    <row r="875" spans="1:42" ht="32.25" hidden="1" customHeight="1">
      <c r="A875" s="19" t="s">
        <v>285</v>
      </c>
      <c r="B875" s="19" t="s">
        <v>186</v>
      </c>
      <c r="C875" s="19" t="s">
        <v>577</v>
      </c>
      <c r="D875" s="19" t="s">
        <v>45</v>
      </c>
      <c r="E875" s="19" t="s">
        <v>356</v>
      </c>
      <c r="F875" s="19" t="s">
        <v>6415</v>
      </c>
      <c r="G875" s="19" t="s">
        <v>48</v>
      </c>
      <c r="H875" s="19" t="s">
        <v>49</v>
      </c>
      <c r="I875" s="20">
        <v>46010.337500000001</v>
      </c>
      <c r="K875" s="19"/>
      <c r="L875" s="20">
        <v>46010.357638888891</v>
      </c>
      <c r="M875" s="19"/>
      <c r="N875" s="22">
        <f t="shared" si="30"/>
        <v>2.0138888889050577E-2</v>
      </c>
      <c r="O875" s="19" t="s">
        <v>50</v>
      </c>
      <c r="P875" s="19" t="s">
        <v>6416</v>
      </c>
      <c r="Q875" s="19" t="s">
        <v>6417</v>
      </c>
      <c r="R875" s="19"/>
      <c r="S875" s="19"/>
      <c r="U875" s="19"/>
      <c r="W875" s="19"/>
      <c r="X875" s="19" t="s">
        <v>191</v>
      </c>
      <c r="Y875" s="27" t="s">
        <v>133</v>
      </c>
      <c r="Z875" s="27" t="s">
        <v>123</v>
      </c>
      <c r="AA875" s="27" t="s">
        <v>6418</v>
      </c>
      <c r="AB875" s="27" t="s">
        <v>6419</v>
      </c>
      <c r="AC875" s="37">
        <v>46010.334027777782</v>
      </c>
      <c r="AD875" s="38">
        <v>46010.352777777778</v>
      </c>
      <c r="AE875" s="36">
        <v>45992</v>
      </c>
      <c r="AF875" s="19" t="s">
        <v>293</v>
      </c>
      <c r="AG875" s="19" t="s">
        <v>294</v>
      </c>
      <c r="AH875" s="19" t="s">
        <v>62</v>
      </c>
      <c r="AI875" s="19" t="s">
        <v>63</v>
      </c>
      <c r="AJ875" s="19" t="s">
        <v>6420</v>
      </c>
      <c r="AK875" s="19"/>
      <c r="AL875" s="19"/>
      <c r="AM875" s="19"/>
      <c r="AN875" s="19" t="s">
        <v>65</v>
      </c>
      <c r="AO875" s="23">
        <v>46010.337500000001</v>
      </c>
      <c r="AP875" s="26">
        <f t="shared" si="29"/>
        <v>29</v>
      </c>
    </row>
    <row r="876" spans="1:42" ht="32.25" hidden="1" customHeight="1">
      <c r="A876" s="19" t="s">
        <v>42</v>
      </c>
      <c r="B876" s="19" t="s">
        <v>403</v>
      </c>
      <c r="C876" s="19" t="s">
        <v>2093</v>
      </c>
      <c r="D876" s="19" t="s">
        <v>45</v>
      </c>
      <c r="E876" s="19" t="s">
        <v>967</v>
      </c>
      <c r="F876" s="19" t="s">
        <v>6421</v>
      </c>
      <c r="G876" s="19" t="s">
        <v>48</v>
      </c>
      <c r="H876" s="19" t="s">
        <v>49</v>
      </c>
      <c r="I876" s="20">
        <v>46010.316666666673</v>
      </c>
      <c r="K876" s="19"/>
      <c r="L876" s="20">
        <v>46010.375</v>
      </c>
      <c r="M876" s="19"/>
      <c r="N876" s="22">
        <f t="shared" si="30"/>
        <v>5.8333333327027503E-2</v>
      </c>
      <c r="O876" s="19" t="s">
        <v>50</v>
      </c>
      <c r="P876" s="19" t="s">
        <v>6422</v>
      </c>
      <c r="Q876" s="19" t="s">
        <v>6423</v>
      </c>
      <c r="R876" s="19"/>
      <c r="S876" s="19"/>
      <c r="U876" s="19"/>
      <c r="W876" s="19"/>
      <c r="X876" s="19" t="s">
        <v>109</v>
      </c>
      <c r="Y876" s="27" t="s">
        <v>54</v>
      </c>
      <c r="Z876" s="27" t="s">
        <v>55</v>
      </c>
      <c r="AA876" s="27" t="s">
        <v>6424</v>
      </c>
      <c r="AB876" s="27" t="s">
        <v>6425</v>
      </c>
      <c r="AC876" s="37" t="s">
        <v>6426</v>
      </c>
      <c r="AD876" s="38" t="s">
        <v>6427</v>
      </c>
      <c r="AE876" s="36">
        <v>45992</v>
      </c>
      <c r="AF876" s="19" t="s">
        <v>99</v>
      </c>
      <c r="AG876" s="19" t="s">
        <v>768</v>
      </c>
      <c r="AH876" s="19" t="s">
        <v>78</v>
      </c>
      <c r="AI876" s="19" t="s">
        <v>63</v>
      </c>
      <c r="AJ876" s="19" t="s">
        <v>6428</v>
      </c>
      <c r="AK876" s="19" t="s">
        <v>6429</v>
      </c>
      <c r="AL876" s="19"/>
      <c r="AM876" s="19"/>
      <c r="AN876" s="19" t="s">
        <v>103</v>
      </c>
      <c r="AO876" s="23">
        <v>46010.365277777782</v>
      </c>
      <c r="AP876" s="26">
        <f t="shared" si="29"/>
        <v>84</v>
      </c>
    </row>
    <row r="877" spans="1:42" ht="32.25" hidden="1" customHeight="1">
      <c r="A877" s="19" t="s">
        <v>42</v>
      </c>
      <c r="B877" s="19" t="s">
        <v>3327</v>
      </c>
      <c r="C877" s="19" t="s">
        <v>701</v>
      </c>
      <c r="D877" s="19" t="s">
        <v>45</v>
      </c>
      <c r="E877" s="19" t="s">
        <v>46</v>
      </c>
      <c r="F877" s="19" t="s">
        <v>6430</v>
      </c>
      <c r="G877" s="19" t="s">
        <v>48</v>
      </c>
      <c r="H877" s="19" t="s">
        <v>49</v>
      </c>
      <c r="I877" s="20">
        <v>46010.506944444453</v>
      </c>
      <c r="K877" s="19"/>
      <c r="L877" s="20">
        <v>46010.515277777777</v>
      </c>
      <c r="M877" s="19"/>
      <c r="N877" s="22">
        <f t="shared" si="30"/>
        <v>8.3333333241171204E-3</v>
      </c>
      <c r="O877" s="19" t="s">
        <v>63</v>
      </c>
      <c r="P877" s="19" t="s">
        <v>5551</v>
      </c>
      <c r="Q877" s="19" t="s">
        <v>6431</v>
      </c>
      <c r="R877" s="19"/>
      <c r="S877" s="19"/>
      <c r="U877" s="19"/>
      <c r="W877" s="19"/>
      <c r="X877" s="19" t="s">
        <v>746</v>
      </c>
      <c r="Y877" s="27" t="s">
        <v>133</v>
      </c>
      <c r="Z877" s="27" t="s">
        <v>6432</v>
      </c>
      <c r="AA877" s="27" t="s">
        <v>6433</v>
      </c>
      <c r="AB877" s="27" t="s">
        <v>6434</v>
      </c>
      <c r="AC877" s="37" t="s">
        <v>6435</v>
      </c>
      <c r="AD877" s="38" t="s">
        <v>6436</v>
      </c>
      <c r="AE877" s="36">
        <v>45992</v>
      </c>
      <c r="AF877" s="19" t="s">
        <v>89</v>
      </c>
      <c r="AG877" s="19" t="s">
        <v>90</v>
      </c>
      <c r="AH877" s="19" t="s">
        <v>62</v>
      </c>
      <c r="AI877" s="19" t="s">
        <v>63</v>
      </c>
      <c r="AJ877" s="19" t="s">
        <v>6437</v>
      </c>
      <c r="AK877" s="19"/>
      <c r="AL877" s="19"/>
      <c r="AM877" s="19"/>
      <c r="AN877" s="19" t="s">
        <v>103</v>
      </c>
      <c r="AO877" s="23">
        <v>46010.508333333331</v>
      </c>
      <c r="AP877" s="26">
        <f t="shared" si="29"/>
        <v>12</v>
      </c>
    </row>
    <row r="878" spans="1:42" ht="32.25" hidden="1" customHeight="1">
      <c r="A878" s="19" t="s">
        <v>42</v>
      </c>
      <c r="C878" s="19" t="s">
        <v>590</v>
      </c>
      <c r="D878" s="19" t="s">
        <v>45</v>
      </c>
      <c r="E878" s="19" t="s">
        <v>46</v>
      </c>
      <c r="F878" s="19" t="s">
        <v>6438</v>
      </c>
      <c r="G878" s="19" t="s">
        <v>48</v>
      </c>
      <c r="H878" s="19" t="s">
        <v>49</v>
      </c>
      <c r="I878" s="20">
        <v>46010.581250000003</v>
      </c>
      <c r="K878" s="19"/>
      <c r="L878" s="20">
        <v>46010.588888888888</v>
      </c>
      <c r="M878" s="19"/>
      <c r="N878" s="22">
        <f t="shared" si="30"/>
        <v>7.6388888846850023E-3</v>
      </c>
      <c r="O878" s="19" t="s">
        <v>50</v>
      </c>
      <c r="P878" s="19" t="s">
        <v>6439</v>
      </c>
      <c r="Q878" s="19" t="s">
        <v>6440</v>
      </c>
      <c r="R878" s="19"/>
      <c r="S878" s="19"/>
      <c r="U878" s="19"/>
      <c r="W878" s="19"/>
      <c r="X878" s="19" t="s">
        <v>122</v>
      </c>
      <c r="Y878" s="27" t="s">
        <v>133</v>
      </c>
      <c r="Z878" s="27" t="s">
        <v>3998</v>
      </c>
      <c r="AA878" s="27" t="s">
        <v>6441</v>
      </c>
      <c r="AB878" s="27" t="s">
        <v>6442</v>
      </c>
      <c r="AC878" s="37" t="s">
        <v>6443</v>
      </c>
      <c r="AD878" s="38" t="s">
        <v>6444</v>
      </c>
      <c r="AE878" s="36">
        <v>45992</v>
      </c>
      <c r="AF878" s="19" t="s">
        <v>89</v>
      </c>
      <c r="AG878" s="19" t="s">
        <v>90</v>
      </c>
      <c r="AH878" s="19" t="s">
        <v>62</v>
      </c>
      <c r="AI878" s="19" t="s">
        <v>63</v>
      </c>
      <c r="AJ878" s="19" t="s">
        <v>5855</v>
      </c>
      <c r="AK878" s="19"/>
      <c r="AL878" s="19"/>
      <c r="AM878" s="19"/>
      <c r="AN878" s="19" t="s">
        <v>65</v>
      </c>
      <c r="AO878" s="23">
        <v>46010.581250000003</v>
      </c>
      <c r="AP878" s="26">
        <f t="shared" si="29"/>
        <v>11</v>
      </c>
    </row>
    <row r="879" spans="1:42" ht="32.25" hidden="1" customHeight="1">
      <c r="A879" s="19" t="s">
        <v>42</v>
      </c>
      <c r="B879" s="19" t="s">
        <v>5349</v>
      </c>
      <c r="C879" s="19" t="s">
        <v>1767</v>
      </c>
      <c r="D879" s="19" t="s">
        <v>45</v>
      </c>
      <c r="E879" s="19" t="s">
        <v>46</v>
      </c>
      <c r="F879" s="19" t="s">
        <v>6380</v>
      </c>
      <c r="G879" s="19" t="s">
        <v>226</v>
      </c>
      <c r="H879" s="19" t="s">
        <v>49</v>
      </c>
      <c r="I879" s="20">
        <v>46010.657638888893</v>
      </c>
      <c r="K879" s="19"/>
      <c r="L879" s="20">
        <v>46010.667361111111</v>
      </c>
      <c r="M879" s="19"/>
      <c r="N879" s="22">
        <f t="shared" si="30"/>
        <v>9.7222222175332718E-3</v>
      </c>
      <c r="O879" s="19" t="s">
        <v>50</v>
      </c>
      <c r="P879" s="19" t="s">
        <v>4765</v>
      </c>
      <c r="Q879" s="19" t="s">
        <v>6445</v>
      </c>
      <c r="R879" s="19"/>
      <c r="S879" s="19"/>
      <c r="U879" s="19"/>
      <c r="W879" s="19"/>
      <c r="X879" s="19" t="s">
        <v>53</v>
      </c>
      <c r="Y879" s="27" t="s">
        <v>54</v>
      </c>
      <c r="Z879" s="27" t="s">
        <v>838</v>
      </c>
      <c r="AA879" s="27" t="s">
        <v>6446</v>
      </c>
      <c r="AB879" s="27" t="s">
        <v>6447</v>
      </c>
      <c r="AC879" s="37" t="s">
        <v>6448</v>
      </c>
      <c r="AD879" s="38" t="s">
        <v>6449</v>
      </c>
      <c r="AE879" s="36">
        <v>45992</v>
      </c>
      <c r="AF879" s="19" t="s">
        <v>89</v>
      </c>
      <c r="AG879" s="19" t="s">
        <v>90</v>
      </c>
      <c r="AH879" s="19" t="s">
        <v>62</v>
      </c>
      <c r="AI879" s="19" t="s">
        <v>63</v>
      </c>
      <c r="AJ879" s="19" t="s">
        <v>6450</v>
      </c>
      <c r="AK879" s="19"/>
      <c r="AL879" s="19"/>
      <c r="AM879" s="19"/>
      <c r="AN879" s="19" t="s">
        <v>128</v>
      </c>
      <c r="AO879" s="23">
        <v>46010.657638888893</v>
      </c>
      <c r="AP879" s="26">
        <f t="shared" si="29"/>
        <v>14</v>
      </c>
    </row>
    <row r="880" spans="1:42" ht="32.25" hidden="1" customHeight="1">
      <c r="A880" s="19" t="s">
        <v>42</v>
      </c>
      <c r="C880" s="19" t="s">
        <v>2672</v>
      </c>
      <c r="D880" s="19" t="s">
        <v>45</v>
      </c>
      <c r="E880" s="19" t="s">
        <v>46</v>
      </c>
      <c r="F880" s="19" t="s">
        <v>6451</v>
      </c>
      <c r="G880" s="19" t="s">
        <v>48</v>
      </c>
      <c r="H880" s="19" t="s">
        <v>49</v>
      </c>
      <c r="I880" s="20">
        <v>45996.333333333343</v>
      </c>
      <c r="K880" s="19"/>
      <c r="L880" s="20">
        <v>45996.434027777781</v>
      </c>
      <c r="M880" s="19"/>
      <c r="N880" s="22">
        <f t="shared" si="30"/>
        <v>0.10069444443797693</v>
      </c>
      <c r="O880" s="19" t="s">
        <v>63</v>
      </c>
      <c r="P880" s="19" t="s">
        <v>6452</v>
      </c>
      <c r="Q880" s="19" t="s">
        <v>6453</v>
      </c>
      <c r="R880" s="19"/>
      <c r="S880" s="19"/>
      <c r="U880" s="19"/>
      <c r="W880" s="19"/>
      <c r="X880" s="19" t="s">
        <v>72</v>
      </c>
      <c r="Y880" s="27" t="s">
        <v>147</v>
      </c>
      <c r="Z880" s="27" t="s">
        <v>78</v>
      </c>
      <c r="AA880" s="27" t="s">
        <v>78</v>
      </c>
      <c r="AB880" s="27" t="s">
        <v>147</v>
      </c>
      <c r="AC880" s="37" t="s">
        <v>78</v>
      </c>
      <c r="AD880" s="38" t="s">
        <v>78</v>
      </c>
      <c r="AE880" s="36">
        <v>45992</v>
      </c>
      <c r="AF880" s="19" t="s">
        <v>99</v>
      </c>
      <c r="AG880" s="19" t="s">
        <v>100</v>
      </c>
      <c r="AH880" s="19" t="s">
        <v>62</v>
      </c>
      <c r="AI880" s="19" t="s">
        <v>63</v>
      </c>
      <c r="AJ880" s="19" t="s">
        <v>6454</v>
      </c>
      <c r="AK880" s="19"/>
      <c r="AL880" s="19"/>
      <c r="AM880" s="19"/>
      <c r="AN880" s="19" t="s">
        <v>65</v>
      </c>
      <c r="AO880" s="23">
        <v>45996.375</v>
      </c>
      <c r="AP880" s="26">
        <f t="shared" si="29"/>
        <v>145</v>
      </c>
    </row>
    <row r="881" spans="1:42" ht="32.25" hidden="1" customHeight="1">
      <c r="A881" s="19" t="s">
        <v>42</v>
      </c>
      <c r="C881" s="19" t="s">
        <v>752</v>
      </c>
      <c r="D881" s="19" t="s">
        <v>45</v>
      </c>
      <c r="E881" s="19" t="s">
        <v>46</v>
      </c>
      <c r="F881" s="19" t="s">
        <v>6455</v>
      </c>
      <c r="G881" s="19" t="s">
        <v>48</v>
      </c>
      <c r="H881" s="19" t="s">
        <v>49</v>
      </c>
      <c r="I881" s="20">
        <v>46001.3125</v>
      </c>
      <c r="K881" s="19"/>
      <c r="L881" s="20">
        <v>46001.4375</v>
      </c>
      <c r="M881" s="19"/>
      <c r="N881" s="22">
        <f t="shared" si="30"/>
        <v>0.125</v>
      </c>
      <c r="O881" s="19" t="s">
        <v>50</v>
      </c>
      <c r="P881" s="19" t="s">
        <v>6456</v>
      </c>
      <c r="Q881" s="19" t="s">
        <v>6457</v>
      </c>
      <c r="R881" s="19"/>
      <c r="S881" s="19"/>
      <c r="U881" s="19"/>
      <c r="W881" s="19"/>
      <c r="X881" s="19" t="s">
        <v>72</v>
      </c>
      <c r="Y881" s="27" t="s">
        <v>147</v>
      </c>
      <c r="Z881" s="27" t="s">
        <v>78</v>
      </c>
      <c r="AA881" s="27" t="s">
        <v>78</v>
      </c>
      <c r="AB881" s="27" t="s">
        <v>147</v>
      </c>
      <c r="AC881" s="37" t="s">
        <v>78</v>
      </c>
      <c r="AD881" s="38" t="s">
        <v>78</v>
      </c>
      <c r="AE881" s="36">
        <v>45992</v>
      </c>
      <c r="AF881" s="19" t="s">
        <v>89</v>
      </c>
      <c r="AG881" s="19" t="s">
        <v>90</v>
      </c>
      <c r="AH881" s="19" t="s">
        <v>62</v>
      </c>
      <c r="AI881" s="19" t="s">
        <v>63</v>
      </c>
      <c r="AJ881" s="19" t="s">
        <v>6458</v>
      </c>
      <c r="AK881" s="19"/>
      <c r="AL881" s="19"/>
      <c r="AM881" s="19"/>
      <c r="AN881" s="19" t="s">
        <v>65</v>
      </c>
      <c r="AO881" s="23">
        <v>46001.3125</v>
      </c>
      <c r="AP881" s="26">
        <f t="shared" si="29"/>
        <v>180</v>
      </c>
    </row>
    <row r="882" spans="1:42" ht="32.25" hidden="1" customHeight="1">
      <c r="A882" s="19" t="s">
        <v>42</v>
      </c>
      <c r="B882" s="19" t="s">
        <v>186</v>
      </c>
      <c r="C882" s="19" t="s">
        <v>577</v>
      </c>
      <c r="D882" s="19" t="s">
        <v>45</v>
      </c>
      <c r="E882" s="19" t="s">
        <v>46</v>
      </c>
      <c r="F882" s="19" t="s">
        <v>6459</v>
      </c>
      <c r="G882" s="19" t="s">
        <v>48</v>
      </c>
      <c r="H882" s="19" t="s">
        <v>49</v>
      </c>
      <c r="I882" s="20">
        <v>46012.637499999997</v>
      </c>
      <c r="K882" s="19"/>
      <c r="L882" s="20">
        <v>46012.940972222219</v>
      </c>
      <c r="M882" s="19"/>
      <c r="N882" s="22">
        <f t="shared" si="30"/>
        <v>0.30347222222189885</v>
      </c>
      <c r="O882" s="19" t="s">
        <v>63</v>
      </c>
      <c r="P882" s="19" t="s">
        <v>6460</v>
      </c>
      <c r="Q882" s="19" t="s">
        <v>6461</v>
      </c>
      <c r="R882" s="19"/>
      <c r="S882" s="19"/>
      <c r="U882" s="19"/>
      <c r="W882" s="19"/>
      <c r="X882" s="19" t="s">
        <v>191</v>
      </c>
      <c r="Y882" s="27" t="s">
        <v>147</v>
      </c>
      <c r="Z882" s="27" t="s">
        <v>78</v>
      </c>
      <c r="AA882" s="27" t="s">
        <v>78</v>
      </c>
      <c r="AB882" s="27" t="s">
        <v>147</v>
      </c>
      <c r="AC882" s="37" t="s">
        <v>78</v>
      </c>
      <c r="AD882" s="38" t="s">
        <v>78</v>
      </c>
      <c r="AE882" s="36">
        <v>45992</v>
      </c>
      <c r="AF882" s="19" t="s">
        <v>89</v>
      </c>
      <c r="AG882" s="19" t="s">
        <v>90</v>
      </c>
      <c r="AH882" s="19" t="s">
        <v>62</v>
      </c>
      <c r="AI882" s="19" t="s">
        <v>63</v>
      </c>
      <c r="AJ882" s="19" t="s">
        <v>6462</v>
      </c>
      <c r="AK882" s="19"/>
      <c r="AL882" s="19"/>
      <c r="AM882" s="19"/>
      <c r="AN882" s="19" t="s">
        <v>65</v>
      </c>
      <c r="AO882" s="23">
        <v>46012.637499999997</v>
      </c>
      <c r="AP882" s="26">
        <f t="shared" si="29"/>
        <v>437</v>
      </c>
    </row>
    <row r="883" spans="1:42" ht="32.25" hidden="1" customHeight="1">
      <c r="A883" s="19" t="s">
        <v>116</v>
      </c>
      <c r="B883" s="19" t="s">
        <v>5612</v>
      </c>
      <c r="C883" s="19" t="s">
        <v>1206</v>
      </c>
      <c r="D883" s="19" t="s">
        <v>45</v>
      </c>
      <c r="E883" s="19" t="s">
        <v>46</v>
      </c>
      <c r="F883" s="19" t="s">
        <v>6463</v>
      </c>
      <c r="G883" s="19" t="s">
        <v>48</v>
      </c>
      <c r="H883" s="19" t="s">
        <v>49</v>
      </c>
      <c r="I883" s="20">
        <v>46013.536111111112</v>
      </c>
      <c r="K883" s="19"/>
      <c r="L883" s="20">
        <v>46013.736111111109</v>
      </c>
      <c r="M883" s="19"/>
      <c r="N883" s="22">
        <f t="shared" si="30"/>
        <v>0.19999999999708962</v>
      </c>
      <c r="O883" s="19" t="s">
        <v>63</v>
      </c>
      <c r="P883" s="19" t="s">
        <v>6464</v>
      </c>
      <c r="Q883" s="19" t="s">
        <v>6465</v>
      </c>
      <c r="R883" s="19"/>
      <c r="S883" s="19"/>
      <c r="U883" s="19"/>
      <c r="W883" s="19"/>
      <c r="X883" s="19" t="s">
        <v>122</v>
      </c>
      <c r="Y883" s="27" t="s">
        <v>133</v>
      </c>
      <c r="Z883" s="27" t="s">
        <v>6466</v>
      </c>
      <c r="AA883" s="27" t="s">
        <v>6467</v>
      </c>
      <c r="AB883" s="27" t="s">
        <v>6468</v>
      </c>
      <c r="AC883" s="37" t="s">
        <v>6469</v>
      </c>
      <c r="AD883" s="38" t="s">
        <v>6470</v>
      </c>
      <c r="AE883" s="36">
        <v>45992</v>
      </c>
      <c r="AF883" s="19" t="s">
        <v>89</v>
      </c>
      <c r="AG883" s="19" t="s">
        <v>90</v>
      </c>
      <c r="AH883" s="19" t="s">
        <v>62</v>
      </c>
      <c r="AI883" s="19" t="s">
        <v>63</v>
      </c>
      <c r="AJ883" s="19" t="s">
        <v>6471</v>
      </c>
      <c r="AK883" s="19"/>
      <c r="AL883" s="19"/>
      <c r="AM883" s="19"/>
      <c r="AN883" s="19" t="s">
        <v>65</v>
      </c>
      <c r="AO883" s="23">
        <v>46013.536111111112</v>
      </c>
      <c r="AP883" s="26">
        <f t="shared" si="29"/>
        <v>288</v>
      </c>
    </row>
    <row r="884" spans="1:42" ht="32.25" hidden="1" customHeight="1">
      <c r="A884" s="19" t="s">
        <v>42</v>
      </c>
      <c r="B884" s="19" t="s">
        <v>6472</v>
      </c>
      <c r="C884" s="19" t="s">
        <v>2907</v>
      </c>
      <c r="D884" s="19" t="s">
        <v>45</v>
      </c>
      <c r="E884" s="19" t="s">
        <v>46</v>
      </c>
      <c r="F884" s="19" t="s">
        <v>6473</v>
      </c>
      <c r="G884" s="19" t="s">
        <v>48</v>
      </c>
      <c r="H884" s="19" t="s">
        <v>49</v>
      </c>
      <c r="I884" s="20">
        <v>46013.625</v>
      </c>
      <c r="K884" s="19"/>
      <c r="L884" s="20">
        <v>46013.666666666657</v>
      </c>
      <c r="M884" s="19"/>
      <c r="N884" s="22">
        <f t="shared" si="30"/>
        <v>4.166666665696539E-2</v>
      </c>
      <c r="O884" s="19" t="s">
        <v>50</v>
      </c>
      <c r="P884" s="19" t="s">
        <v>6474</v>
      </c>
      <c r="Q884" s="19" t="s">
        <v>6475</v>
      </c>
      <c r="R884" s="19" t="s">
        <v>6476</v>
      </c>
      <c r="S884" s="19" t="s">
        <v>6477</v>
      </c>
      <c r="T884" s="20">
        <v>46013.775127314817</v>
      </c>
      <c r="U884" s="19">
        <v>46017.679861111108</v>
      </c>
      <c r="V884" s="19" t="s">
        <v>157</v>
      </c>
      <c r="W884" s="19"/>
      <c r="X884" s="19" t="s">
        <v>537</v>
      </c>
      <c r="Y884" s="27" t="s">
        <v>54</v>
      </c>
      <c r="Z884" s="27" t="s">
        <v>1852</v>
      </c>
      <c r="AA884" s="27" t="s">
        <v>6478</v>
      </c>
      <c r="AB884" s="27" t="s">
        <v>6479</v>
      </c>
      <c r="AC884" s="37" t="s">
        <v>6480</v>
      </c>
      <c r="AD884" s="38" t="s">
        <v>6481</v>
      </c>
      <c r="AE884" s="36">
        <v>45992</v>
      </c>
      <c r="AF884" s="19" t="s">
        <v>89</v>
      </c>
      <c r="AG884" s="19" t="s">
        <v>90</v>
      </c>
      <c r="AH884" s="19" t="s">
        <v>62</v>
      </c>
      <c r="AI884" s="19" t="s">
        <v>63</v>
      </c>
      <c r="AJ884" s="19" t="s">
        <v>6482</v>
      </c>
      <c r="AK884" s="19" t="s">
        <v>6483</v>
      </c>
      <c r="AL884" s="19"/>
      <c r="AM884" s="19"/>
      <c r="AN884" s="19" t="s">
        <v>103</v>
      </c>
      <c r="AO884" s="23">
        <v>46013.625</v>
      </c>
      <c r="AP884" s="26">
        <f t="shared" si="29"/>
        <v>60</v>
      </c>
    </row>
    <row r="885" spans="1:42" ht="32.25" hidden="1" customHeight="1">
      <c r="A885" s="19" t="s">
        <v>42</v>
      </c>
      <c r="B885" s="19" t="s">
        <v>253</v>
      </c>
      <c r="C885" s="19" t="s">
        <v>6484</v>
      </c>
      <c r="D885" s="19" t="s">
        <v>45</v>
      </c>
      <c r="E885" s="19" t="s">
        <v>46</v>
      </c>
      <c r="F885" s="19" t="s">
        <v>6485</v>
      </c>
      <c r="G885" s="19" t="s">
        <v>48</v>
      </c>
      <c r="H885" s="19" t="s">
        <v>49</v>
      </c>
      <c r="I885" s="20">
        <v>46013.749305555553</v>
      </c>
      <c r="K885" s="19"/>
      <c r="L885" s="20">
        <v>46013.757638888892</v>
      </c>
      <c r="M885" s="19"/>
      <c r="N885" s="22">
        <f t="shared" si="30"/>
        <v>8.3333333386690356E-3</v>
      </c>
      <c r="O885" s="19" t="s">
        <v>50</v>
      </c>
      <c r="P885" s="19" t="s">
        <v>6486</v>
      </c>
      <c r="Q885" s="19" t="s">
        <v>6487</v>
      </c>
      <c r="R885" s="19"/>
      <c r="S885" s="19"/>
      <c r="U885" s="19"/>
      <c r="W885" s="19"/>
      <c r="X885" s="19" t="s">
        <v>475</v>
      </c>
      <c r="Y885" s="27" t="s">
        <v>54</v>
      </c>
      <c r="Z885" s="27" t="s">
        <v>6488</v>
      </c>
      <c r="AA885" s="27" t="s">
        <v>6489</v>
      </c>
      <c r="AB885" s="27" t="s">
        <v>6490</v>
      </c>
      <c r="AC885" s="37" t="s">
        <v>6491</v>
      </c>
      <c r="AD885" s="38" t="s">
        <v>6492</v>
      </c>
      <c r="AE885" s="36">
        <v>45992</v>
      </c>
      <c r="AF885" s="19" t="s">
        <v>89</v>
      </c>
      <c r="AG885" s="19" t="s">
        <v>90</v>
      </c>
      <c r="AH885" s="19" t="s">
        <v>62</v>
      </c>
      <c r="AI885" s="19" t="s">
        <v>63</v>
      </c>
      <c r="AJ885" s="19" t="s">
        <v>6493</v>
      </c>
      <c r="AK885" s="19"/>
      <c r="AL885" s="19"/>
      <c r="AM885" s="19"/>
      <c r="AN885" s="19" t="s">
        <v>128</v>
      </c>
      <c r="AO885" s="23">
        <v>46013.749305555553</v>
      </c>
      <c r="AP885" s="26">
        <f t="shared" si="29"/>
        <v>12</v>
      </c>
    </row>
    <row r="886" spans="1:42" ht="32.25" hidden="1" customHeight="1">
      <c r="A886" s="19" t="s">
        <v>42</v>
      </c>
      <c r="B886" s="19" t="s">
        <v>202</v>
      </c>
      <c r="C886" s="19" t="s">
        <v>3169</v>
      </c>
      <c r="D886" s="19" t="s">
        <v>45</v>
      </c>
      <c r="E886" s="19" t="s">
        <v>46</v>
      </c>
      <c r="F886" s="19" t="s">
        <v>6494</v>
      </c>
      <c r="G886" s="19" t="s">
        <v>48</v>
      </c>
      <c r="H886" s="19" t="s">
        <v>49</v>
      </c>
      <c r="I886" s="20">
        <v>46013.838888888888</v>
      </c>
      <c r="K886" s="19"/>
      <c r="L886" s="20">
        <v>46013.850694444453</v>
      </c>
      <c r="M886" s="19"/>
      <c r="N886" s="22">
        <f t="shared" si="30"/>
        <v>1.1805555564933456E-2</v>
      </c>
      <c r="O886" s="19" t="s">
        <v>63</v>
      </c>
      <c r="P886" s="19" t="s">
        <v>6495</v>
      </c>
      <c r="Q886" s="19" t="s">
        <v>6496</v>
      </c>
      <c r="R886" s="19"/>
      <c r="S886" s="19"/>
      <c r="U886" s="19"/>
      <c r="W886" s="19"/>
      <c r="X886" s="19" t="s">
        <v>1589</v>
      </c>
      <c r="Y886" s="27" t="s">
        <v>133</v>
      </c>
      <c r="Z886" s="27" t="s">
        <v>259</v>
      </c>
      <c r="AA886" s="27" t="s">
        <v>6497</v>
      </c>
      <c r="AB886" s="27" t="s">
        <v>6498</v>
      </c>
      <c r="AC886" s="37" t="s">
        <v>6499</v>
      </c>
      <c r="AD886" s="38" t="s">
        <v>6500</v>
      </c>
      <c r="AE886" s="36">
        <v>45992</v>
      </c>
      <c r="AF886" s="19" t="s">
        <v>89</v>
      </c>
      <c r="AG886" s="19" t="s">
        <v>90</v>
      </c>
      <c r="AH886" s="19" t="s">
        <v>62</v>
      </c>
      <c r="AI886" s="19" t="s">
        <v>63</v>
      </c>
      <c r="AJ886" s="19" t="s">
        <v>6501</v>
      </c>
      <c r="AK886" s="19"/>
      <c r="AL886" s="19"/>
      <c r="AM886" s="19"/>
      <c r="AN886" s="19" t="s">
        <v>65</v>
      </c>
      <c r="AO886" s="23">
        <v>46013.838888888888</v>
      </c>
      <c r="AP886" s="26">
        <f t="shared" si="29"/>
        <v>17</v>
      </c>
    </row>
    <row r="887" spans="1:42" ht="32.25" hidden="1" customHeight="1">
      <c r="A887" s="19" t="s">
        <v>42</v>
      </c>
      <c r="B887" s="19" t="s">
        <v>6502</v>
      </c>
      <c r="C887" s="19" t="s">
        <v>984</v>
      </c>
      <c r="D887" s="19" t="s">
        <v>45</v>
      </c>
      <c r="E887" s="19" t="s">
        <v>46</v>
      </c>
      <c r="F887" s="19" t="s">
        <v>6503</v>
      </c>
      <c r="G887" s="19" t="s">
        <v>48</v>
      </c>
      <c r="H887" s="19" t="s">
        <v>49</v>
      </c>
      <c r="I887" s="20">
        <v>46013.845833333333</v>
      </c>
      <c r="K887" s="19"/>
      <c r="L887" s="20">
        <v>46013.881944444453</v>
      </c>
      <c r="M887" s="19"/>
      <c r="N887" s="22">
        <f t="shared" ref="N887:N918" si="31">L887-I887</f>
        <v>3.6111111119680572E-2</v>
      </c>
      <c r="O887" s="19" t="s">
        <v>50</v>
      </c>
      <c r="P887" s="19" t="s">
        <v>6504</v>
      </c>
      <c r="Q887" s="19" t="s">
        <v>6505</v>
      </c>
      <c r="R887" s="19"/>
      <c r="S887" s="19"/>
      <c r="U887" s="19"/>
      <c r="W887" s="19"/>
      <c r="X887" s="19" t="s">
        <v>662</v>
      </c>
      <c r="Y887" s="27" t="s">
        <v>54</v>
      </c>
      <c r="Z887" s="27" t="s">
        <v>1852</v>
      </c>
      <c r="AA887" s="27" t="s">
        <v>6506</v>
      </c>
      <c r="AB887" s="27" t="s">
        <v>6507</v>
      </c>
      <c r="AC887" s="37" t="s">
        <v>6508</v>
      </c>
      <c r="AD887" s="38" t="s">
        <v>6509</v>
      </c>
      <c r="AE887" s="36">
        <v>45992</v>
      </c>
      <c r="AF887" s="19" t="s">
        <v>89</v>
      </c>
      <c r="AG887" s="19" t="s">
        <v>90</v>
      </c>
      <c r="AH887" s="19" t="s">
        <v>62</v>
      </c>
      <c r="AI887" s="19" t="s">
        <v>63</v>
      </c>
      <c r="AJ887" s="19" t="s">
        <v>6510</v>
      </c>
      <c r="AK887" s="19"/>
      <c r="AL887" s="19"/>
      <c r="AM887" s="19"/>
      <c r="AN887" s="19" t="s">
        <v>65</v>
      </c>
      <c r="AO887" s="23">
        <v>46013.845833333333</v>
      </c>
      <c r="AP887" s="26">
        <f t="shared" si="29"/>
        <v>52</v>
      </c>
    </row>
    <row r="888" spans="1:42" ht="32.25" hidden="1" customHeight="1">
      <c r="A888" s="19" t="s">
        <v>42</v>
      </c>
      <c r="B888" s="19" t="s">
        <v>6511</v>
      </c>
      <c r="C888" s="19" t="s">
        <v>336</v>
      </c>
      <c r="D888" s="19" t="s">
        <v>45</v>
      </c>
      <c r="E888" s="19" t="s">
        <v>46</v>
      </c>
      <c r="F888" s="19" t="s">
        <v>6512</v>
      </c>
      <c r="G888" s="19" t="s">
        <v>48</v>
      </c>
      <c r="H888" s="19" t="s">
        <v>49</v>
      </c>
      <c r="I888" s="20">
        <v>46013.544444444437</v>
      </c>
      <c r="K888" s="19"/>
      <c r="L888" s="20">
        <v>46013.604166666657</v>
      </c>
      <c r="M888" s="19"/>
      <c r="N888" s="22">
        <f t="shared" si="31"/>
        <v>5.9722222220443655E-2</v>
      </c>
      <c r="O888" s="19" t="s">
        <v>50</v>
      </c>
      <c r="P888" s="19" t="s">
        <v>6513</v>
      </c>
      <c r="Q888" s="19" t="s">
        <v>6514</v>
      </c>
      <c r="R888" s="19"/>
      <c r="S888" s="19"/>
      <c r="U888" s="19"/>
      <c r="W888" s="19"/>
      <c r="X888" s="19" t="s">
        <v>314</v>
      </c>
      <c r="Y888" s="27" t="s">
        <v>147</v>
      </c>
      <c r="Z888" s="27" t="s">
        <v>78</v>
      </c>
      <c r="AA888" s="27" t="s">
        <v>78</v>
      </c>
      <c r="AB888" s="27" t="s">
        <v>147</v>
      </c>
      <c r="AC888" s="37" t="s">
        <v>78</v>
      </c>
      <c r="AD888" s="38" t="s">
        <v>78</v>
      </c>
      <c r="AE888" s="36">
        <v>45992</v>
      </c>
      <c r="AF888" s="19" t="s">
        <v>89</v>
      </c>
      <c r="AG888" s="19" t="s">
        <v>90</v>
      </c>
      <c r="AH888" s="19" t="s">
        <v>62</v>
      </c>
      <c r="AI888" s="19" t="s">
        <v>63</v>
      </c>
      <c r="AJ888" s="19" t="s">
        <v>6515</v>
      </c>
      <c r="AK888" s="19"/>
      <c r="AL888" s="19"/>
      <c r="AM888" s="19"/>
      <c r="AN888" s="19" t="s">
        <v>103</v>
      </c>
      <c r="AO888" s="23">
        <v>46013.544444444437</v>
      </c>
      <c r="AP888" s="26">
        <f t="shared" si="29"/>
        <v>86</v>
      </c>
    </row>
    <row r="889" spans="1:42" ht="32.25" hidden="1" customHeight="1">
      <c r="A889" s="19" t="s">
        <v>42</v>
      </c>
      <c r="B889" s="19" t="s">
        <v>3388</v>
      </c>
      <c r="C889" s="19" t="s">
        <v>129</v>
      </c>
      <c r="D889" s="19" t="s">
        <v>45</v>
      </c>
      <c r="E889" s="19" t="s">
        <v>46</v>
      </c>
      <c r="F889" s="19" t="s">
        <v>6516</v>
      </c>
      <c r="G889" s="19" t="s">
        <v>48</v>
      </c>
      <c r="H889" s="19" t="s">
        <v>49</v>
      </c>
      <c r="I889" s="20">
        <v>46013.578472222223</v>
      </c>
      <c r="K889" s="19"/>
      <c r="L889" s="20">
        <v>46013.615277777782</v>
      </c>
      <c r="M889" s="19"/>
      <c r="N889" s="22">
        <f t="shared" si="31"/>
        <v>3.680555555911269E-2</v>
      </c>
      <c r="O889" s="19" t="s">
        <v>63</v>
      </c>
      <c r="P889" s="19" t="s">
        <v>6517</v>
      </c>
      <c r="Q889" s="19" t="s">
        <v>6518</v>
      </c>
      <c r="R889" s="19"/>
      <c r="S889" s="19"/>
      <c r="U889" s="19"/>
      <c r="W889" s="19"/>
      <c r="X889" s="19" t="s">
        <v>109</v>
      </c>
      <c r="Y889" s="27" t="s">
        <v>147</v>
      </c>
      <c r="Z889" s="27" t="s">
        <v>78</v>
      </c>
      <c r="AA889" s="27" t="s">
        <v>78</v>
      </c>
      <c r="AB889" s="27" t="s">
        <v>147</v>
      </c>
      <c r="AC889" s="37" t="s">
        <v>78</v>
      </c>
      <c r="AD889" s="38" t="s">
        <v>78</v>
      </c>
      <c r="AE889" s="36">
        <v>45992</v>
      </c>
      <c r="AF889" s="19" t="s">
        <v>99</v>
      </c>
      <c r="AG889" s="19" t="s">
        <v>100</v>
      </c>
      <c r="AH889" s="19" t="s">
        <v>62</v>
      </c>
      <c r="AI889" s="19" t="s">
        <v>63</v>
      </c>
      <c r="AJ889" s="19" t="s">
        <v>6519</v>
      </c>
      <c r="AK889" s="19" t="s">
        <v>6520</v>
      </c>
      <c r="AL889" s="19"/>
      <c r="AM889" s="19"/>
      <c r="AN889" s="19" t="s">
        <v>103</v>
      </c>
      <c r="AO889" s="23">
        <v>46013.578472222223</v>
      </c>
      <c r="AP889" s="26">
        <f t="shared" si="29"/>
        <v>53</v>
      </c>
    </row>
    <row r="890" spans="1:42" ht="32.25" customHeight="1">
      <c r="A890" s="19" t="s">
        <v>42</v>
      </c>
      <c r="B890" s="19" t="s">
        <v>6521</v>
      </c>
      <c r="C890" s="19" t="s">
        <v>6522</v>
      </c>
      <c r="D890" s="19" t="s">
        <v>45</v>
      </c>
      <c r="E890" s="19" t="s">
        <v>46</v>
      </c>
      <c r="F890" s="19" t="s">
        <v>6523</v>
      </c>
      <c r="G890" s="19" t="s">
        <v>48</v>
      </c>
      <c r="H890" s="19" t="s">
        <v>152</v>
      </c>
      <c r="I890" s="20">
        <v>46014</v>
      </c>
      <c r="J890" s="20">
        <v>46014.027083333327</v>
      </c>
      <c r="K890" s="19"/>
      <c r="L890" s="20">
        <v>46014.04583333333</v>
      </c>
      <c r="M890" s="19"/>
      <c r="N890" s="22">
        <f t="shared" si="31"/>
        <v>4.5833333329937886E-2</v>
      </c>
      <c r="O890" s="19" t="s">
        <v>50</v>
      </c>
      <c r="P890" s="19" t="s">
        <v>6524</v>
      </c>
      <c r="Q890" s="19" t="s">
        <v>6525</v>
      </c>
      <c r="R890" s="19" t="s">
        <v>6000</v>
      </c>
      <c r="S890" s="19" t="s">
        <v>6526</v>
      </c>
      <c r="T890" s="20">
        <v>46014.4768287037</v>
      </c>
      <c r="U890" s="19"/>
      <c r="V890" s="19" t="s">
        <v>861</v>
      </c>
      <c r="W890" s="19"/>
      <c r="X890" s="19" t="s">
        <v>1412</v>
      </c>
      <c r="Y890" s="27" t="s">
        <v>133</v>
      </c>
      <c r="Z890" s="27" t="s">
        <v>2884</v>
      </c>
      <c r="AA890" s="27" t="s">
        <v>6527</v>
      </c>
      <c r="AB890" s="27" t="s">
        <v>6528</v>
      </c>
      <c r="AC890" s="37" t="s">
        <v>6529</v>
      </c>
      <c r="AD890" s="38" t="s">
        <v>6530</v>
      </c>
      <c r="AE890" s="36">
        <v>45992</v>
      </c>
      <c r="AF890" s="19" t="s">
        <v>99</v>
      </c>
      <c r="AG890" s="19" t="s">
        <v>100</v>
      </c>
      <c r="AH890" s="19" t="s">
        <v>62</v>
      </c>
      <c r="AI890" s="19" t="s">
        <v>63</v>
      </c>
      <c r="AJ890" s="19" t="s">
        <v>6531</v>
      </c>
      <c r="AK890" s="19" t="s">
        <v>6532</v>
      </c>
      <c r="AL890" s="19"/>
      <c r="AM890" s="19"/>
      <c r="AN890" s="19" t="s">
        <v>65</v>
      </c>
      <c r="AO890" s="23">
        <v>46014</v>
      </c>
      <c r="AP890" s="26">
        <f t="shared" si="29"/>
        <v>66</v>
      </c>
    </row>
    <row r="891" spans="1:42" ht="32.25" hidden="1" customHeight="1">
      <c r="A891" s="19" t="s">
        <v>285</v>
      </c>
      <c r="B891" s="19" t="s">
        <v>6533</v>
      </c>
      <c r="C891" s="19" t="s">
        <v>6534</v>
      </c>
      <c r="D891" s="19" t="s">
        <v>45</v>
      </c>
      <c r="E891" s="19" t="s">
        <v>46</v>
      </c>
      <c r="F891" s="19" t="s">
        <v>6535</v>
      </c>
      <c r="G891" s="19" t="s">
        <v>48</v>
      </c>
      <c r="H891" s="19" t="s">
        <v>49</v>
      </c>
      <c r="I891" s="20">
        <v>46014</v>
      </c>
      <c r="K891" s="19"/>
      <c r="L891" s="20">
        <v>46014.144444444442</v>
      </c>
      <c r="M891" s="19"/>
      <c r="N891" s="22">
        <f t="shared" si="31"/>
        <v>0.1444444444423425</v>
      </c>
      <c r="O891" s="19" t="s">
        <v>50</v>
      </c>
      <c r="P891" s="19" t="s">
        <v>6536</v>
      </c>
      <c r="Q891" s="19" t="s">
        <v>6537</v>
      </c>
      <c r="R891" s="19"/>
      <c r="S891" s="19"/>
      <c r="U891" s="19"/>
      <c r="W891" s="19"/>
      <c r="X891" s="19" t="s">
        <v>6538</v>
      </c>
      <c r="Y891" s="27" t="s">
        <v>133</v>
      </c>
      <c r="Z891" s="27" t="s">
        <v>3772</v>
      </c>
      <c r="AA891" s="27" t="s">
        <v>6539</v>
      </c>
      <c r="AB891" s="27" t="s">
        <v>6540</v>
      </c>
      <c r="AC891" s="37" t="s">
        <v>6541</v>
      </c>
      <c r="AD891" s="38" t="s">
        <v>6542</v>
      </c>
      <c r="AE891" s="36">
        <v>45992</v>
      </c>
      <c r="AF891" s="19" t="s">
        <v>89</v>
      </c>
      <c r="AG891" s="19" t="s">
        <v>90</v>
      </c>
      <c r="AH891" s="19" t="s">
        <v>62</v>
      </c>
      <c r="AI891" s="19" t="s">
        <v>63</v>
      </c>
      <c r="AJ891" s="19" t="s">
        <v>6543</v>
      </c>
      <c r="AK891" s="19"/>
      <c r="AL891" s="19"/>
      <c r="AM891" s="19"/>
      <c r="AN891" s="19" t="s">
        <v>65</v>
      </c>
      <c r="AO891" s="23">
        <v>46014</v>
      </c>
      <c r="AP891" s="26">
        <f t="shared" si="29"/>
        <v>208</v>
      </c>
    </row>
    <row r="892" spans="1:42" s="32" customFormat="1" ht="32.25" hidden="1" customHeight="1">
      <c r="A892" s="19" t="s">
        <v>116</v>
      </c>
      <c r="B892" s="19" t="s">
        <v>4075</v>
      </c>
      <c r="C892" s="19" t="s">
        <v>336</v>
      </c>
      <c r="D892" s="19" t="s">
        <v>45</v>
      </c>
      <c r="E892" s="19" t="s">
        <v>46</v>
      </c>
      <c r="F892" s="19" t="s">
        <v>6544</v>
      </c>
      <c r="G892" s="19" t="s">
        <v>48</v>
      </c>
      <c r="H892" s="19" t="s">
        <v>49</v>
      </c>
      <c r="I892" s="20">
        <v>46014.512499999997</v>
      </c>
      <c r="J892" s="20"/>
      <c r="K892" s="19"/>
      <c r="L892" s="20">
        <v>46014.548611111109</v>
      </c>
      <c r="M892" s="19"/>
      <c r="N892" s="22">
        <f t="shared" si="31"/>
        <v>3.6111111112404615E-2</v>
      </c>
      <c r="O892" s="19" t="s">
        <v>50</v>
      </c>
      <c r="P892" s="19" t="s">
        <v>6545</v>
      </c>
      <c r="Q892" s="19" t="s">
        <v>6546</v>
      </c>
      <c r="R892" s="19"/>
      <c r="S892" s="19"/>
      <c r="T892" s="20"/>
      <c r="U892" s="19"/>
      <c r="V892" s="19"/>
      <c r="W892" s="19"/>
      <c r="X892" s="19" t="s">
        <v>314</v>
      </c>
      <c r="Y892" s="27" t="s">
        <v>54</v>
      </c>
      <c r="Z892" s="27" t="s">
        <v>209</v>
      </c>
      <c r="AA892" s="27" t="s">
        <v>6547</v>
      </c>
      <c r="AB892" s="27" t="s">
        <v>6548</v>
      </c>
      <c r="AC892" s="37">
        <v>46014.534502314818</v>
      </c>
      <c r="AD892" s="38">
        <v>46014.548391203702</v>
      </c>
      <c r="AE892" s="36">
        <v>45992</v>
      </c>
      <c r="AF892" s="19" t="s">
        <v>89</v>
      </c>
      <c r="AG892" s="19" t="s">
        <v>90</v>
      </c>
      <c r="AH892" s="19" t="s">
        <v>62</v>
      </c>
      <c r="AI892" s="19" t="s">
        <v>63</v>
      </c>
      <c r="AJ892" s="19" t="s">
        <v>6549</v>
      </c>
      <c r="AK892" s="19"/>
      <c r="AL892" s="19"/>
      <c r="AM892" s="19"/>
      <c r="AN892" s="19" t="s">
        <v>103</v>
      </c>
      <c r="AO892" s="23">
        <v>46014.512499999997</v>
      </c>
      <c r="AP892" s="26">
        <f t="shared" si="29"/>
        <v>52</v>
      </c>
    </row>
    <row r="893" spans="1:42" s="32" customFormat="1" ht="32.25" hidden="1" customHeight="1">
      <c r="A893" s="19" t="s">
        <v>116</v>
      </c>
      <c r="B893" s="19" t="s">
        <v>4075</v>
      </c>
      <c r="C893" s="19" t="s">
        <v>336</v>
      </c>
      <c r="D893" s="19" t="s">
        <v>45</v>
      </c>
      <c r="E893" s="19" t="s">
        <v>46</v>
      </c>
      <c r="F893" s="19" t="s">
        <v>6544</v>
      </c>
      <c r="G893" s="19" t="s">
        <v>226</v>
      </c>
      <c r="H893" s="19" t="s">
        <v>49</v>
      </c>
      <c r="I893" s="20">
        <v>46015.482638888891</v>
      </c>
      <c r="J893" s="20"/>
      <c r="K893" s="19"/>
      <c r="L893" s="20">
        <v>46016.375</v>
      </c>
      <c r="M893" s="19"/>
      <c r="N893" s="22">
        <f t="shared" si="31"/>
        <v>0.89236111110949423</v>
      </c>
      <c r="O893" s="19" t="s">
        <v>50</v>
      </c>
      <c r="P893" s="19" t="s">
        <v>6550</v>
      </c>
      <c r="Q893" s="19" t="s">
        <v>6551</v>
      </c>
      <c r="R893" s="19"/>
      <c r="S893" s="19"/>
      <c r="T893" s="20"/>
      <c r="U893" s="19"/>
      <c r="V893" s="19"/>
      <c r="W893" s="19"/>
      <c r="X893" s="19" t="s">
        <v>314</v>
      </c>
      <c r="Y893" s="27" t="s">
        <v>54</v>
      </c>
      <c r="Z893" s="27" t="s">
        <v>259</v>
      </c>
      <c r="AA893" s="27" t="s">
        <v>6552</v>
      </c>
      <c r="AB893" s="27" t="s">
        <v>6553</v>
      </c>
      <c r="AC893" s="37" t="s">
        <v>6554</v>
      </c>
      <c r="AD893" s="38" t="s">
        <v>6555</v>
      </c>
      <c r="AE893" s="36">
        <v>45992</v>
      </c>
      <c r="AF893" s="19" t="s">
        <v>89</v>
      </c>
      <c r="AG893" s="19" t="s">
        <v>90</v>
      </c>
      <c r="AH893" s="19" t="s">
        <v>62</v>
      </c>
      <c r="AI893" s="19" t="s">
        <v>50</v>
      </c>
      <c r="AJ893" s="19" t="s">
        <v>6556</v>
      </c>
      <c r="AK893" s="19"/>
      <c r="AL893" s="19"/>
      <c r="AM893" s="19"/>
      <c r="AN893" s="19" t="s">
        <v>103</v>
      </c>
      <c r="AO893" s="23">
        <v>46015.482638888891</v>
      </c>
      <c r="AP893" s="26">
        <f t="shared" si="29"/>
        <v>1285</v>
      </c>
    </row>
    <row r="894" spans="1:42" ht="32.25" hidden="1" customHeight="1">
      <c r="A894" s="19" t="s">
        <v>42</v>
      </c>
      <c r="B894" s="19" t="s">
        <v>670</v>
      </c>
      <c r="C894" s="19" t="s">
        <v>671</v>
      </c>
      <c r="D894" s="19" t="s">
        <v>45</v>
      </c>
      <c r="E894" s="19" t="s">
        <v>46</v>
      </c>
      <c r="F894" s="19" t="s">
        <v>6557</v>
      </c>
      <c r="G894" s="19" t="s">
        <v>48</v>
      </c>
      <c r="H894" s="19" t="s">
        <v>49</v>
      </c>
      <c r="I894" s="20">
        <v>46015.584722222222</v>
      </c>
      <c r="K894" s="19"/>
      <c r="L894" s="20">
        <v>46015.729166666657</v>
      </c>
      <c r="M894" s="19"/>
      <c r="N894" s="22">
        <f t="shared" si="31"/>
        <v>0.14444444443506654</v>
      </c>
      <c r="O894" s="19" t="s">
        <v>63</v>
      </c>
      <c r="P894" s="19" t="s">
        <v>6558</v>
      </c>
      <c r="Q894" s="19" t="s">
        <v>6559</v>
      </c>
      <c r="R894" s="19"/>
      <c r="S894" s="19"/>
      <c r="U894" s="19"/>
      <c r="W894" s="19"/>
      <c r="X894" s="19" t="s">
        <v>675</v>
      </c>
      <c r="Y894" s="27" t="s">
        <v>147</v>
      </c>
      <c r="Z894" s="27" t="s">
        <v>78</v>
      </c>
      <c r="AA894" s="27" t="s">
        <v>78</v>
      </c>
      <c r="AB894" s="27" t="s">
        <v>147</v>
      </c>
      <c r="AC894" s="37" t="s">
        <v>78</v>
      </c>
      <c r="AD894" s="38" t="s">
        <v>78</v>
      </c>
      <c r="AE894" s="36">
        <v>45992</v>
      </c>
      <c r="AF894" s="19" t="s">
        <v>89</v>
      </c>
      <c r="AG894" s="19" t="s">
        <v>90</v>
      </c>
      <c r="AH894" s="19" t="s">
        <v>62</v>
      </c>
      <c r="AI894" s="19" t="s">
        <v>63</v>
      </c>
      <c r="AJ894" s="19" t="s">
        <v>6560</v>
      </c>
      <c r="AK894" s="19"/>
      <c r="AL894" s="19"/>
      <c r="AM894" s="19"/>
      <c r="AN894" s="19" t="s">
        <v>65</v>
      </c>
      <c r="AO894" s="23">
        <v>46015.584722222222</v>
      </c>
      <c r="AP894" s="26">
        <f t="shared" si="29"/>
        <v>208</v>
      </c>
    </row>
    <row r="895" spans="1:42" ht="32.25" hidden="1" customHeight="1">
      <c r="A895" s="19" t="s">
        <v>285</v>
      </c>
      <c r="C895" s="19" t="s">
        <v>6561</v>
      </c>
      <c r="D895" s="19" t="s">
        <v>45</v>
      </c>
      <c r="E895" s="19" t="s">
        <v>46</v>
      </c>
      <c r="F895" s="19" t="s">
        <v>6562</v>
      </c>
      <c r="G895" s="19" t="s">
        <v>48</v>
      </c>
      <c r="H895" s="19" t="s">
        <v>49</v>
      </c>
      <c r="I895" s="20">
        <v>46015.75</v>
      </c>
      <c r="K895" s="19"/>
      <c r="L895" s="20">
        <v>46015.845833333333</v>
      </c>
      <c r="M895" s="19"/>
      <c r="N895" s="22">
        <f t="shared" si="31"/>
        <v>9.5833333332848269E-2</v>
      </c>
      <c r="O895" s="19" t="s">
        <v>50</v>
      </c>
      <c r="P895" s="19" t="s">
        <v>6563</v>
      </c>
      <c r="Q895" s="19" t="s">
        <v>6564</v>
      </c>
      <c r="R895" s="19"/>
      <c r="S895" s="19"/>
      <c r="U895" s="19"/>
      <c r="W895" s="19"/>
      <c r="X895" s="19" t="s">
        <v>2053</v>
      </c>
      <c r="Y895" s="27" t="s">
        <v>147</v>
      </c>
      <c r="Z895" s="27" t="s">
        <v>78</v>
      </c>
      <c r="AA895" s="27" t="s">
        <v>78</v>
      </c>
      <c r="AB895" s="27" t="s">
        <v>147</v>
      </c>
      <c r="AC895" s="37" t="s">
        <v>78</v>
      </c>
      <c r="AD895" s="38" t="s">
        <v>78</v>
      </c>
      <c r="AE895" s="36">
        <v>45992</v>
      </c>
      <c r="AF895" s="19" t="s">
        <v>89</v>
      </c>
      <c r="AG895" s="19" t="s">
        <v>90</v>
      </c>
      <c r="AH895" s="19" t="s">
        <v>62</v>
      </c>
      <c r="AI895" s="19" t="s">
        <v>63</v>
      </c>
      <c r="AJ895" s="19" t="s">
        <v>6565</v>
      </c>
      <c r="AK895" s="19"/>
      <c r="AL895" s="19"/>
      <c r="AM895" s="19"/>
      <c r="AN895" s="19" t="s">
        <v>65</v>
      </c>
      <c r="AO895" s="23">
        <v>46015.75</v>
      </c>
      <c r="AP895" s="26">
        <f t="shared" si="29"/>
        <v>138</v>
      </c>
    </row>
    <row r="896" spans="1:42" ht="32.25" hidden="1" customHeight="1">
      <c r="A896" s="19" t="s">
        <v>42</v>
      </c>
      <c r="B896" s="19" t="s">
        <v>5248</v>
      </c>
      <c r="C896" s="19" t="s">
        <v>336</v>
      </c>
      <c r="D896" s="19" t="s">
        <v>45</v>
      </c>
      <c r="E896" s="19" t="s">
        <v>46</v>
      </c>
      <c r="F896" s="19" t="s">
        <v>6566</v>
      </c>
      <c r="G896" s="19" t="s">
        <v>48</v>
      </c>
      <c r="H896" s="19" t="s">
        <v>49</v>
      </c>
      <c r="I896" s="20">
        <v>46015.861111111109</v>
      </c>
      <c r="K896" s="19"/>
      <c r="L896" s="20">
        <v>46015.868750000001</v>
      </c>
      <c r="M896" s="19"/>
      <c r="N896" s="22">
        <f t="shared" si="31"/>
        <v>7.6388888919609599E-3</v>
      </c>
      <c r="O896" s="19" t="s">
        <v>50</v>
      </c>
      <c r="P896" s="19" t="s">
        <v>6567</v>
      </c>
      <c r="Q896" s="19" t="s">
        <v>6568</v>
      </c>
      <c r="R896" s="19"/>
      <c r="S896" s="19"/>
      <c r="U896" s="19"/>
      <c r="W896" s="19"/>
      <c r="X896" s="19" t="s">
        <v>314</v>
      </c>
      <c r="Y896" s="27" t="s">
        <v>54</v>
      </c>
      <c r="Z896" s="27" t="s">
        <v>414</v>
      </c>
      <c r="AA896" s="27" t="s">
        <v>6569</v>
      </c>
      <c r="AB896" s="27" t="s">
        <v>6570</v>
      </c>
      <c r="AC896" s="37">
        <v>46015.854861111111</v>
      </c>
      <c r="AD896" s="38">
        <v>46015.882638888892</v>
      </c>
      <c r="AE896" s="36">
        <v>45992</v>
      </c>
      <c r="AF896" s="19" t="s">
        <v>89</v>
      </c>
      <c r="AG896" s="19" t="s">
        <v>90</v>
      </c>
      <c r="AH896" s="19" t="s">
        <v>62</v>
      </c>
      <c r="AI896" s="19" t="s">
        <v>63</v>
      </c>
      <c r="AJ896" s="19" t="s">
        <v>6571</v>
      </c>
      <c r="AK896" s="19"/>
      <c r="AL896" s="19"/>
      <c r="AM896" s="19"/>
      <c r="AN896" s="19" t="s">
        <v>103</v>
      </c>
      <c r="AO896" s="23">
        <v>46015.861111111109</v>
      </c>
      <c r="AP896" s="26">
        <f t="shared" si="29"/>
        <v>11</v>
      </c>
    </row>
    <row r="897" spans="1:42" ht="32.25" hidden="1" customHeight="1">
      <c r="A897" s="19" t="s">
        <v>116</v>
      </c>
      <c r="C897" s="19" t="s">
        <v>2677</v>
      </c>
      <c r="D897" s="19" t="s">
        <v>45</v>
      </c>
      <c r="E897" s="19" t="s">
        <v>46</v>
      </c>
      <c r="F897" s="19" t="s">
        <v>6572</v>
      </c>
      <c r="G897" s="19" t="s">
        <v>48</v>
      </c>
      <c r="H897" s="19" t="s">
        <v>49</v>
      </c>
      <c r="I897" s="20">
        <v>46017.490277777782</v>
      </c>
      <c r="K897" s="19"/>
      <c r="L897" s="20">
        <v>46017.499305555553</v>
      </c>
      <c r="M897" s="19"/>
      <c r="N897" s="22">
        <f t="shared" si="31"/>
        <v>9.0277777708251961E-3</v>
      </c>
      <c r="O897" s="19" t="s">
        <v>63</v>
      </c>
      <c r="P897" s="19" t="s">
        <v>6344</v>
      </c>
      <c r="Q897" s="19" t="s">
        <v>6573</v>
      </c>
      <c r="R897" s="19"/>
      <c r="S897" s="19"/>
      <c r="U897" s="19"/>
      <c r="W897" s="19"/>
      <c r="X897" s="19" t="s">
        <v>314</v>
      </c>
      <c r="Y897" s="27" t="s">
        <v>147</v>
      </c>
      <c r="Z897" s="27" t="s">
        <v>78</v>
      </c>
      <c r="AA897" s="27" t="s">
        <v>78</v>
      </c>
      <c r="AB897" s="27" t="s">
        <v>147</v>
      </c>
      <c r="AC897" s="37" t="s">
        <v>78</v>
      </c>
      <c r="AD897" s="38" t="s">
        <v>78</v>
      </c>
      <c r="AE897" s="36">
        <v>45992</v>
      </c>
      <c r="AF897" s="19" t="s">
        <v>89</v>
      </c>
      <c r="AG897" s="19" t="s">
        <v>90</v>
      </c>
      <c r="AH897" s="19" t="s">
        <v>62</v>
      </c>
      <c r="AI897" s="19" t="s">
        <v>63</v>
      </c>
      <c r="AJ897" s="19" t="s">
        <v>6344</v>
      </c>
      <c r="AK897" s="19"/>
      <c r="AL897" s="19"/>
      <c r="AM897" s="19"/>
      <c r="AN897" s="19" t="s">
        <v>622</v>
      </c>
      <c r="AO897" s="23">
        <v>46017.490277777782</v>
      </c>
      <c r="AP897" s="26">
        <f t="shared" si="29"/>
        <v>13</v>
      </c>
    </row>
    <row r="898" spans="1:42" ht="32.25" hidden="1" customHeight="1">
      <c r="A898" s="19" t="s">
        <v>285</v>
      </c>
      <c r="C898" s="19" t="s">
        <v>6574</v>
      </c>
      <c r="D898" s="19" t="s">
        <v>45</v>
      </c>
      <c r="E898" s="19" t="s">
        <v>46</v>
      </c>
      <c r="F898" s="19" t="s">
        <v>6575</v>
      </c>
      <c r="G898" s="19" t="s">
        <v>48</v>
      </c>
      <c r="H898" s="19" t="s">
        <v>49</v>
      </c>
      <c r="I898" s="20">
        <v>46017.458333333343</v>
      </c>
      <c r="K898" s="19"/>
      <c r="L898" s="20">
        <v>46017.489583333343</v>
      </c>
      <c r="M898" s="19"/>
      <c r="N898" s="22">
        <f t="shared" si="31"/>
        <v>3.125E-2</v>
      </c>
      <c r="O898" s="19" t="s">
        <v>63</v>
      </c>
      <c r="P898" s="19" t="s">
        <v>6576</v>
      </c>
      <c r="Q898" s="19" t="s">
        <v>6577</v>
      </c>
      <c r="R898" s="19"/>
      <c r="S898" s="19"/>
      <c r="U898" s="19"/>
      <c r="W898" s="19"/>
      <c r="X898" s="19" t="s">
        <v>6578</v>
      </c>
      <c r="Y898" s="27" t="s">
        <v>133</v>
      </c>
      <c r="Z898" s="27" t="s">
        <v>110</v>
      </c>
      <c r="AA898" s="27" t="s">
        <v>6579</v>
      </c>
      <c r="AB898" s="27" t="s">
        <v>6580</v>
      </c>
      <c r="AC898" s="37" t="s">
        <v>6581</v>
      </c>
      <c r="AD898" s="38" t="s">
        <v>6582</v>
      </c>
      <c r="AE898" s="36">
        <v>45992</v>
      </c>
      <c r="AF898" s="19" t="s">
        <v>89</v>
      </c>
      <c r="AG898" s="19" t="s">
        <v>90</v>
      </c>
      <c r="AH898" s="19" t="s">
        <v>62</v>
      </c>
      <c r="AI898" s="19" t="s">
        <v>50</v>
      </c>
      <c r="AJ898" s="19" t="s">
        <v>6583</v>
      </c>
      <c r="AK898" s="19"/>
      <c r="AL898" s="19"/>
      <c r="AM898" s="19"/>
      <c r="AN898" s="19" t="s">
        <v>65</v>
      </c>
      <c r="AO898" s="23">
        <v>46017.458333333343</v>
      </c>
      <c r="AP898" s="26">
        <f t="shared" si="29"/>
        <v>45</v>
      </c>
    </row>
    <row r="899" spans="1:42" ht="32.25" hidden="1" customHeight="1">
      <c r="A899" s="19" t="s">
        <v>116</v>
      </c>
      <c r="B899" s="19" t="s">
        <v>4163</v>
      </c>
      <c r="C899" s="19" t="s">
        <v>6584</v>
      </c>
      <c r="D899" s="19" t="s">
        <v>45</v>
      </c>
      <c r="E899" s="19" t="s">
        <v>46</v>
      </c>
      <c r="F899" s="19" t="s">
        <v>6585</v>
      </c>
      <c r="G899" s="19" t="s">
        <v>48</v>
      </c>
      <c r="H899" s="19" t="s">
        <v>49</v>
      </c>
      <c r="I899" s="20">
        <v>46017.627083333333</v>
      </c>
      <c r="K899" s="19"/>
      <c r="L899" s="20">
        <v>46017.645833333343</v>
      </c>
      <c r="M899" s="19"/>
      <c r="N899" s="22">
        <f t="shared" si="31"/>
        <v>1.8750000010186341E-2</v>
      </c>
      <c r="O899" s="19" t="s">
        <v>63</v>
      </c>
      <c r="P899" s="19" t="s">
        <v>6586</v>
      </c>
      <c r="Q899" s="19" t="s">
        <v>6587</v>
      </c>
      <c r="R899" s="19"/>
      <c r="S899" s="19"/>
      <c r="U899" s="19"/>
      <c r="W899" s="19"/>
      <c r="X899" s="19" t="s">
        <v>109</v>
      </c>
      <c r="Y899" s="27" t="s">
        <v>147</v>
      </c>
      <c r="Z899" s="27" t="s">
        <v>78</v>
      </c>
      <c r="AA899" s="27" t="s">
        <v>78</v>
      </c>
      <c r="AB899" s="27" t="s">
        <v>147</v>
      </c>
      <c r="AC899" s="37" t="s">
        <v>78</v>
      </c>
      <c r="AD899" s="38" t="s">
        <v>78</v>
      </c>
      <c r="AE899" s="36">
        <v>45992</v>
      </c>
      <c r="AF899" s="19" t="s">
        <v>89</v>
      </c>
      <c r="AG899" s="19" t="s">
        <v>90</v>
      </c>
      <c r="AH899" s="19" t="s">
        <v>62</v>
      </c>
      <c r="AI899" s="19" t="s">
        <v>63</v>
      </c>
      <c r="AJ899" s="19" t="s">
        <v>6588</v>
      </c>
      <c r="AK899" s="19"/>
      <c r="AL899" s="19"/>
      <c r="AM899" s="19"/>
      <c r="AN899" s="19" t="s">
        <v>128</v>
      </c>
      <c r="AO899" s="23">
        <v>46017.627083333333</v>
      </c>
      <c r="AP899" s="26">
        <f t="shared" si="29"/>
        <v>27</v>
      </c>
    </row>
    <row r="900" spans="1:42" ht="32.25" hidden="1" customHeight="1">
      <c r="A900" s="19" t="s">
        <v>116</v>
      </c>
      <c r="B900" s="19" t="s">
        <v>4163</v>
      </c>
      <c r="C900" s="19" t="s">
        <v>6589</v>
      </c>
      <c r="D900" s="19" t="s">
        <v>45</v>
      </c>
      <c r="E900" s="19" t="s">
        <v>46</v>
      </c>
      <c r="F900" s="19" t="s">
        <v>6585</v>
      </c>
      <c r="G900" s="19" t="s">
        <v>226</v>
      </c>
      <c r="H900" s="19" t="s">
        <v>49</v>
      </c>
      <c r="I900" s="20">
        <v>46017.666666666657</v>
      </c>
      <c r="K900" s="19"/>
      <c r="L900" s="20">
        <v>46017.722222222219</v>
      </c>
      <c r="M900" s="19"/>
      <c r="N900" s="22">
        <f t="shared" si="31"/>
        <v>5.5555555562023073E-2</v>
      </c>
      <c r="O900" s="19" t="s">
        <v>63</v>
      </c>
      <c r="P900" s="19" t="s">
        <v>6590</v>
      </c>
      <c r="Q900" s="19" t="s">
        <v>6591</v>
      </c>
      <c r="R900" s="19"/>
      <c r="S900" s="19"/>
      <c r="U900" s="19"/>
      <c r="W900" s="19"/>
      <c r="X900" s="19" t="s">
        <v>109</v>
      </c>
      <c r="Y900" s="27" t="s">
        <v>147</v>
      </c>
      <c r="Z900" s="27" t="s">
        <v>78</v>
      </c>
      <c r="AA900" s="27" t="s">
        <v>78</v>
      </c>
      <c r="AB900" s="27" t="s">
        <v>147</v>
      </c>
      <c r="AC900" s="37" t="s">
        <v>78</v>
      </c>
      <c r="AD900" s="38" t="s">
        <v>78</v>
      </c>
      <c r="AE900" s="36">
        <v>45992</v>
      </c>
      <c r="AF900" s="19" t="s">
        <v>89</v>
      </c>
      <c r="AG900" s="19" t="s">
        <v>90</v>
      </c>
      <c r="AH900" s="19" t="s">
        <v>62</v>
      </c>
      <c r="AI900" s="19" t="s">
        <v>50</v>
      </c>
      <c r="AJ900" s="19" t="s">
        <v>6592</v>
      </c>
      <c r="AK900" s="19"/>
      <c r="AL900" s="19"/>
      <c r="AM900" s="19"/>
      <c r="AN900" s="19" t="s">
        <v>5652</v>
      </c>
      <c r="AO900" s="23">
        <v>46017.708333333343</v>
      </c>
      <c r="AP900" s="26">
        <f t="shared" si="29"/>
        <v>80</v>
      </c>
    </row>
    <row r="901" spans="1:42" ht="32.25" hidden="1" customHeight="1">
      <c r="A901" s="19" t="s">
        <v>42</v>
      </c>
      <c r="C901" s="19" t="s">
        <v>6593</v>
      </c>
      <c r="D901" s="19" t="s">
        <v>45</v>
      </c>
      <c r="E901" s="19" t="s">
        <v>46</v>
      </c>
      <c r="F901" s="19" t="s">
        <v>6594</v>
      </c>
      <c r="G901" s="19" t="s">
        <v>48</v>
      </c>
      <c r="H901" s="19" t="s">
        <v>49</v>
      </c>
      <c r="I901" s="20">
        <v>46017.513194444437</v>
      </c>
      <c r="K901" s="19"/>
      <c r="L901" s="20">
        <v>46017.571527777778</v>
      </c>
      <c r="M901" s="19"/>
      <c r="N901" s="22">
        <f t="shared" si="31"/>
        <v>5.8333333341579419E-2</v>
      </c>
      <c r="O901" s="19" t="s">
        <v>50</v>
      </c>
      <c r="P901" s="19" t="s">
        <v>6595</v>
      </c>
      <c r="Q901" s="19" t="s">
        <v>6596</v>
      </c>
      <c r="R901" s="19"/>
      <c r="S901" s="19"/>
      <c r="U901" s="19"/>
      <c r="W901" s="19"/>
      <c r="X901" s="19" t="s">
        <v>72</v>
      </c>
      <c r="Y901" s="27" t="s">
        <v>147</v>
      </c>
      <c r="Z901" s="27" t="s">
        <v>78</v>
      </c>
      <c r="AA901" s="27" t="s">
        <v>78</v>
      </c>
      <c r="AB901" s="27" t="s">
        <v>147</v>
      </c>
      <c r="AC901" s="37" t="s">
        <v>78</v>
      </c>
      <c r="AD901" s="38" t="s">
        <v>78</v>
      </c>
      <c r="AE901" s="36">
        <v>45992</v>
      </c>
      <c r="AF901" s="19" t="s">
        <v>89</v>
      </c>
      <c r="AG901" s="19" t="s">
        <v>90</v>
      </c>
      <c r="AH901" s="19" t="s">
        <v>62</v>
      </c>
      <c r="AI901" s="19" t="s">
        <v>63</v>
      </c>
      <c r="AJ901" s="19" t="s">
        <v>6597</v>
      </c>
      <c r="AK901" s="19"/>
      <c r="AL901" s="19"/>
      <c r="AM901" s="19"/>
      <c r="AN901" s="19" t="s">
        <v>65</v>
      </c>
      <c r="AO901" s="23">
        <v>46017.722222222219</v>
      </c>
      <c r="AP901" s="26">
        <f t="shared" si="29"/>
        <v>84</v>
      </c>
    </row>
    <row r="902" spans="1:42" ht="32.25" hidden="1" customHeight="1">
      <c r="A902" s="19" t="s">
        <v>42</v>
      </c>
      <c r="B902" s="19" t="s">
        <v>6598</v>
      </c>
      <c r="C902" s="19" t="s">
        <v>6599</v>
      </c>
      <c r="D902" s="19" t="s">
        <v>45</v>
      </c>
      <c r="E902" s="19" t="s">
        <v>46</v>
      </c>
      <c r="F902" s="19" t="s">
        <v>6600</v>
      </c>
      <c r="G902" s="19" t="s">
        <v>48</v>
      </c>
      <c r="H902" s="19" t="s">
        <v>49</v>
      </c>
      <c r="I902" s="20">
        <v>46019.474999999999</v>
      </c>
      <c r="K902" s="19"/>
      <c r="L902" s="20">
        <v>46019.559027777781</v>
      </c>
      <c r="M902" s="19"/>
      <c r="N902" s="22">
        <f t="shared" si="31"/>
        <v>8.4027777782466728E-2</v>
      </c>
      <c r="O902" s="19" t="s">
        <v>50</v>
      </c>
      <c r="P902" s="19" t="s">
        <v>6601</v>
      </c>
      <c r="Q902" s="19" t="s">
        <v>6602</v>
      </c>
      <c r="R902" s="19"/>
      <c r="S902" s="19"/>
      <c r="U902" s="19"/>
      <c r="W902" s="19"/>
      <c r="X902" s="19" t="s">
        <v>423</v>
      </c>
      <c r="Y902" s="27" t="s">
        <v>54</v>
      </c>
      <c r="Z902" s="27" t="s">
        <v>259</v>
      </c>
      <c r="AA902" s="27" t="s">
        <v>6603</v>
      </c>
      <c r="AB902" s="27" t="s">
        <v>6604</v>
      </c>
      <c r="AC902" s="37" t="s">
        <v>6605</v>
      </c>
      <c r="AD902" s="38" t="s">
        <v>6606</v>
      </c>
      <c r="AE902" s="36">
        <v>45992</v>
      </c>
      <c r="AF902" s="19" t="s">
        <v>89</v>
      </c>
      <c r="AG902" s="19" t="s">
        <v>126</v>
      </c>
      <c r="AH902" s="19" t="s">
        <v>164</v>
      </c>
      <c r="AI902" s="19" t="s">
        <v>63</v>
      </c>
      <c r="AJ902" s="19" t="s">
        <v>6607</v>
      </c>
      <c r="AK902" s="19"/>
      <c r="AL902" s="19"/>
      <c r="AM902" s="19"/>
      <c r="AN902" s="19" t="s">
        <v>128</v>
      </c>
      <c r="AO902" s="23">
        <v>46019.511805555558</v>
      </c>
      <c r="AP902" s="26">
        <f t="shared" si="29"/>
        <v>121</v>
      </c>
    </row>
    <row r="903" spans="1:42" ht="32.25" hidden="1" customHeight="1">
      <c r="A903" s="19" t="s">
        <v>42</v>
      </c>
      <c r="C903" s="19" t="s">
        <v>310</v>
      </c>
      <c r="D903" s="19" t="s">
        <v>45</v>
      </c>
      <c r="E903" s="19" t="s">
        <v>46</v>
      </c>
      <c r="F903" s="19" t="s">
        <v>6608</v>
      </c>
      <c r="G903" s="19" t="s">
        <v>48</v>
      </c>
      <c r="H903" s="19" t="s">
        <v>49</v>
      </c>
      <c r="I903" s="20">
        <v>46019.525000000001</v>
      </c>
      <c r="K903" s="19"/>
      <c r="L903" s="20">
        <v>46019.564583333333</v>
      </c>
      <c r="M903" s="19"/>
      <c r="N903" s="22">
        <f t="shared" si="31"/>
        <v>3.9583333331393078E-2</v>
      </c>
      <c r="O903" s="19" t="s">
        <v>63</v>
      </c>
      <c r="P903" s="19" t="s">
        <v>6609</v>
      </c>
      <c r="Q903" s="19" t="s">
        <v>6610</v>
      </c>
      <c r="R903" s="19"/>
      <c r="S903" s="19"/>
      <c r="U903" s="19"/>
      <c r="W903" s="19"/>
      <c r="X903" s="19" t="s">
        <v>314</v>
      </c>
      <c r="Y903" s="27" t="s">
        <v>54</v>
      </c>
      <c r="Z903" s="27" t="s">
        <v>55</v>
      </c>
      <c r="AA903" s="27" t="s">
        <v>6611</v>
      </c>
      <c r="AB903" s="27" t="s">
        <v>6612</v>
      </c>
      <c r="AC903" s="37" t="s">
        <v>6613</v>
      </c>
      <c r="AD903" s="38" t="s">
        <v>6614</v>
      </c>
      <c r="AE903" s="36">
        <v>45992</v>
      </c>
      <c r="AF903" s="19" t="s">
        <v>89</v>
      </c>
      <c r="AG903" s="19" t="s">
        <v>90</v>
      </c>
      <c r="AH903" s="19" t="s">
        <v>62</v>
      </c>
      <c r="AI903" s="19" t="s">
        <v>63</v>
      </c>
      <c r="AJ903" s="19" t="s">
        <v>5855</v>
      </c>
      <c r="AK903" s="19"/>
      <c r="AL903" s="19"/>
      <c r="AM903" s="19"/>
      <c r="AN903" s="19" t="s">
        <v>103</v>
      </c>
      <c r="AO903" s="23">
        <v>46019.524305555547</v>
      </c>
      <c r="AP903" s="26">
        <f t="shared" si="29"/>
        <v>57</v>
      </c>
    </row>
    <row r="904" spans="1:42" ht="32.25" hidden="1" customHeight="1">
      <c r="A904" s="19" t="s">
        <v>116</v>
      </c>
      <c r="B904" s="19" t="s">
        <v>5612</v>
      </c>
      <c r="C904" s="19" t="s">
        <v>1206</v>
      </c>
      <c r="D904" s="19" t="s">
        <v>45</v>
      </c>
      <c r="E904" s="19" t="s">
        <v>46</v>
      </c>
      <c r="F904" s="19" t="s">
        <v>6615</v>
      </c>
      <c r="G904" s="19" t="s">
        <v>48</v>
      </c>
      <c r="H904" s="19" t="s">
        <v>49</v>
      </c>
      <c r="I904" s="20">
        <v>46021.834027777782</v>
      </c>
      <c r="K904" s="19"/>
      <c r="L904" s="20">
        <v>46021.879166666673</v>
      </c>
      <c r="M904" s="19"/>
      <c r="N904" s="22">
        <f t="shared" si="31"/>
        <v>4.5138888890505768E-2</v>
      </c>
      <c r="O904" s="19" t="s">
        <v>50</v>
      </c>
      <c r="P904" s="19" t="s">
        <v>6616</v>
      </c>
      <c r="Q904" s="19" t="s">
        <v>6617</v>
      </c>
      <c r="R904" s="19"/>
      <c r="S904" s="19"/>
      <c r="U904" s="19"/>
      <c r="W904" s="19"/>
      <c r="X904" s="19" t="s">
        <v>122</v>
      </c>
      <c r="Y904" s="27" t="s">
        <v>133</v>
      </c>
      <c r="Z904" s="27" t="s">
        <v>6466</v>
      </c>
      <c r="AA904" s="27" t="s">
        <v>6618</v>
      </c>
      <c r="AB904" s="27" t="s">
        <v>6619</v>
      </c>
      <c r="AC904" s="37" t="s">
        <v>6620</v>
      </c>
      <c r="AD904" s="38" t="s">
        <v>6621</v>
      </c>
      <c r="AE904" s="36">
        <v>45992</v>
      </c>
      <c r="AF904" s="19" t="s">
        <v>89</v>
      </c>
      <c r="AG904" s="19" t="s">
        <v>90</v>
      </c>
      <c r="AH904" s="19" t="s">
        <v>62</v>
      </c>
      <c r="AI904" s="19" t="s">
        <v>63</v>
      </c>
      <c r="AJ904" s="19" t="s">
        <v>6622</v>
      </c>
      <c r="AK904" s="19"/>
      <c r="AL904" s="19"/>
      <c r="AM904" s="19"/>
      <c r="AN904" s="19" t="s">
        <v>65</v>
      </c>
      <c r="AO904" s="23">
        <v>46021.834027777782</v>
      </c>
      <c r="AP904" s="26">
        <f t="shared" si="29"/>
        <v>65</v>
      </c>
    </row>
    <row r="905" spans="1:42" ht="32.25" hidden="1" customHeight="1">
      <c r="A905" s="19" t="s">
        <v>42</v>
      </c>
      <c r="B905" s="19" t="s">
        <v>186</v>
      </c>
      <c r="C905" s="19" t="s">
        <v>577</v>
      </c>
      <c r="D905" s="19" t="s">
        <v>45</v>
      </c>
      <c r="E905" s="19" t="s">
        <v>46</v>
      </c>
      <c r="F905" s="19" t="s">
        <v>6623</v>
      </c>
      <c r="G905" s="19" t="s">
        <v>48</v>
      </c>
      <c r="H905" s="19" t="s">
        <v>49</v>
      </c>
      <c r="I905" s="20">
        <v>46022.486805555563</v>
      </c>
      <c r="K905" s="19"/>
      <c r="L905" s="20">
        <v>46022.509722222218</v>
      </c>
      <c r="M905" s="19"/>
      <c r="N905" s="22">
        <f t="shared" si="31"/>
        <v>2.2916666654055007E-2</v>
      </c>
      <c r="O905" s="19" t="s">
        <v>63</v>
      </c>
      <c r="P905" s="19" t="s">
        <v>1624</v>
      </c>
      <c r="Q905" s="19" t="s">
        <v>6624</v>
      </c>
      <c r="R905" s="19"/>
      <c r="S905" s="19"/>
      <c r="U905" s="19"/>
      <c r="W905" s="19"/>
      <c r="X905" s="19" t="s">
        <v>191</v>
      </c>
      <c r="Y905" s="27" t="s">
        <v>147</v>
      </c>
      <c r="Z905" s="27" t="s">
        <v>78</v>
      </c>
      <c r="AA905" s="27" t="s">
        <v>78</v>
      </c>
      <c r="AB905" s="27" t="s">
        <v>147</v>
      </c>
      <c r="AC905" s="37" t="s">
        <v>78</v>
      </c>
      <c r="AD905" s="38" t="s">
        <v>78</v>
      </c>
      <c r="AE905" s="36">
        <v>45992</v>
      </c>
      <c r="AF905" s="19" t="s">
        <v>89</v>
      </c>
      <c r="AG905" s="19" t="s">
        <v>90</v>
      </c>
      <c r="AH905" s="19" t="s">
        <v>62</v>
      </c>
      <c r="AI905" s="19" t="s">
        <v>63</v>
      </c>
      <c r="AJ905" s="19" t="s">
        <v>6625</v>
      </c>
      <c r="AK905" s="19"/>
      <c r="AL905" s="19"/>
      <c r="AM905" s="19"/>
      <c r="AN905" s="19" t="s">
        <v>65</v>
      </c>
      <c r="AO905" s="23">
        <v>46022.486805555563</v>
      </c>
      <c r="AP905" s="26">
        <f t="shared" si="29"/>
        <v>33</v>
      </c>
    </row>
    <row r="906" spans="1:42" ht="32.25" hidden="1" customHeight="1">
      <c r="A906" s="19" t="s">
        <v>42</v>
      </c>
      <c r="B906" s="19" t="s">
        <v>2605</v>
      </c>
      <c r="C906" s="19" t="s">
        <v>2606</v>
      </c>
      <c r="D906" s="19" t="s">
        <v>45</v>
      </c>
      <c r="E906" s="19" t="s">
        <v>46</v>
      </c>
      <c r="F906" s="19" t="s">
        <v>6626</v>
      </c>
      <c r="G906" s="19" t="s">
        <v>48</v>
      </c>
      <c r="H906" s="19" t="s">
        <v>49</v>
      </c>
      <c r="I906" s="20">
        <v>46022.59375</v>
      </c>
      <c r="K906" s="19"/>
      <c r="L906" s="20">
        <v>46022.614583333343</v>
      </c>
      <c r="M906" s="19"/>
      <c r="N906" s="22">
        <f t="shared" si="31"/>
        <v>2.083333334303461E-2</v>
      </c>
      <c r="O906" s="19" t="s">
        <v>63</v>
      </c>
      <c r="P906" s="19" t="s">
        <v>6627</v>
      </c>
      <c r="Q906" s="19" t="s">
        <v>6628</v>
      </c>
      <c r="R906" s="19"/>
      <c r="S906" s="19"/>
      <c r="U906" s="19"/>
      <c r="W906" s="19"/>
      <c r="X906" s="19" t="s">
        <v>1412</v>
      </c>
      <c r="Y906" s="27" t="s">
        <v>147</v>
      </c>
      <c r="Z906" s="27" t="s">
        <v>78</v>
      </c>
      <c r="AA906" s="27" t="s">
        <v>78</v>
      </c>
      <c r="AB906" s="27" t="s">
        <v>147</v>
      </c>
      <c r="AC906" s="37" t="s">
        <v>78</v>
      </c>
      <c r="AD906" s="38" t="s">
        <v>78</v>
      </c>
      <c r="AE906" s="36">
        <v>45992</v>
      </c>
      <c r="AF906" s="19" t="s">
        <v>89</v>
      </c>
      <c r="AG906" s="19" t="s">
        <v>90</v>
      </c>
      <c r="AH906" s="19" t="s">
        <v>62</v>
      </c>
      <c r="AI906" s="19" t="s">
        <v>63</v>
      </c>
      <c r="AJ906" s="19" t="s">
        <v>6629</v>
      </c>
      <c r="AK906" s="19"/>
      <c r="AL906" s="19"/>
      <c r="AM906" s="19"/>
      <c r="AN906" s="19" t="s">
        <v>65</v>
      </c>
      <c r="AO906" s="23">
        <v>46022.59375</v>
      </c>
      <c r="AP906" s="26">
        <f t="shared" si="29"/>
        <v>30</v>
      </c>
    </row>
    <row r="907" spans="1:42" ht="32.25" hidden="1" customHeight="1">
      <c r="A907" s="19" t="s">
        <v>42</v>
      </c>
      <c r="B907" s="19" t="s">
        <v>6630</v>
      </c>
      <c r="C907" s="19" t="s">
        <v>2502</v>
      </c>
      <c r="D907" s="19" t="s">
        <v>45</v>
      </c>
      <c r="E907" s="19" t="s">
        <v>46</v>
      </c>
      <c r="F907" s="19" t="s">
        <v>6631</v>
      </c>
      <c r="G907" s="19" t="s">
        <v>48</v>
      </c>
      <c r="H907" s="19" t="s">
        <v>49</v>
      </c>
      <c r="I907" s="20">
        <v>46022.53125</v>
      </c>
      <c r="K907" s="19"/>
      <c r="L907" s="20">
        <v>46022.592361111107</v>
      </c>
      <c r="M907" s="19"/>
      <c r="N907" s="22">
        <f t="shared" si="31"/>
        <v>6.1111111106583849E-2</v>
      </c>
      <c r="O907" s="19" t="s">
        <v>50</v>
      </c>
      <c r="P907" s="19" t="s">
        <v>6632</v>
      </c>
      <c r="Q907" s="19" t="s">
        <v>6633</v>
      </c>
      <c r="R907" s="19"/>
      <c r="S907" s="19"/>
      <c r="U907" s="19"/>
      <c r="W907" s="19"/>
      <c r="X907" s="19" t="s">
        <v>314</v>
      </c>
      <c r="Y907" s="27" t="s">
        <v>54</v>
      </c>
      <c r="Z907" s="27" t="s">
        <v>259</v>
      </c>
      <c r="AA907" s="27" t="s">
        <v>6634</v>
      </c>
      <c r="AB907" s="27" t="s">
        <v>6635</v>
      </c>
      <c r="AC907" s="37" t="s">
        <v>6636</v>
      </c>
      <c r="AD907" s="38" t="s">
        <v>6637</v>
      </c>
      <c r="AE907" s="36">
        <v>45992</v>
      </c>
      <c r="AF907" s="19" t="s">
        <v>89</v>
      </c>
      <c r="AG907" s="19" t="s">
        <v>90</v>
      </c>
      <c r="AH907" s="19" t="s">
        <v>62</v>
      </c>
      <c r="AI907" s="19" t="s">
        <v>63</v>
      </c>
      <c r="AJ907" s="19" t="s">
        <v>6638</v>
      </c>
      <c r="AK907" s="19"/>
      <c r="AL907" s="19"/>
      <c r="AM907" s="19"/>
      <c r="AN907" s="19" t="s">
        <v>103</v>
      </c>
      <c r="AO907" s="23">
        <v>46022.509027777778</v>
      </c>
      <c r="AP907" s="26">
        <f t="shared" si="29"/>
        <v>88</v>
      </c>
    </row>
    <row r="908" spans="1:42" ht="32.25" customHeight="1">
      <c r="A908" s="19" t="s">
        <v>285</v>
      </c>
      <c r="B908" s="19" t="s">
        <v>253</v>
      </c>
      <c r="C908" s="19" t="s">
        <v>6484</v>
      </c>
      <c r="D908" s="19" t="s">
        <v>45</v>
      </c>
      <c r="E908" s="19" t="s">
        <v>967</v>
      </c>
      <c r="F908" s="19" t="s">
        <v>6639</v>
      </c>
      <c r="G908" s="19" t="s">
        <v>48</v>
      </c>
      <c r="H908" s="19" t="s">
        <v>152</v>
      </c>
      <c r="I908" s="20">
        <v>46022.756944444453</v>
      </c>
      <c r="J908" s="20">
        <v>46022.767361111109</v>
      </c>
      <c r="K908" s="19"/>
      <c r="L908" s="20">
        <v>46022.774305555547</v>
      </c>
      <c r="M908" s="19"/>
      <c r="N908" s="22">
        <f t="shared" si="31"/>
        <v>1.7361111094942316E-2</v>
      </c>
      <c r="O908" s="19" t="s">
        <v>50</v>
      </c>
      <c r="P908" s="19" t="s">
        <v>6640</v>
      </c>
      <c r="Q908" s="19" t="s">
        <v>6641</v>
      </c>
      <c r="R908" s="19" t="s">
        <v>6642</v>
      </c>
      <c r="S908" s="19" t="s">
        <v>6643</v>
      </c>
      <c r="T908" s="20">
        <v>46022.847928240742</v>
      </c>
      <c r="U908" s="19">
        <v>46032.775011574071</v>
      </c>
      <c r="V908" s="19" t="s">
        <v>157</v>
      </c>
      <c r="W908" s="19"/>
      <c r="X908" s="19" t="s">
        <v>475</v>
      </c>
      <c r="Y908" s="27" t="s">
        <v>133</v>
      </c>
      <c r="Z908" s="27" t="s">
        <v>6644</v>
      </c>
      <c r="AA908" s="27" t="s">
        <v>6645</v>
      </c>
      <c r="AB908" s="27" t="s">
        <v>6646</v>
      </c>
      <c r="AC908" s="37" t="s">
        <v>6647</v>
      </c>
      <c r="AD908" s="38" t="s">
        <v>6648</v>
      </c>
      <c r="AE908" s="36">
        <v>45992</v>
      </c>
      <c r="AF908" s="19" t="s">
        <v>78</v>
      </c>
      <c r="AG908" s="19" t="s">
        <v>78</v>
      </c>
      <c r="AH908" s="19" t="s">
        <v>78</v>
      </c>
      <c r="AI908" s="19" t="s">
        <v>50</v>
      </c>
      <c r="AJ908" s="19" t="s">
        <v>6649</v>
      </c>
      <c r="AK908" s="19"/>
      <c r="AL908" s="19"/>
      <c r="AM908" s="19"/>
      <c r="AN908" s="19" t="s">
        <v>65</v>
      </c>
      <c r="AO908" s="23">
        <v>46022.756944444453</v>
      </c>
      <c r="AP908" s="26">
        <f t="shared" si="29"/>
        <v>25</v>
      </c>
    </row>
    <row r="909" spans="1:42" ht="32.25" customHeight="1">
      <c r="A909" s="19" t="s">
        <v>42</v>
      </c>
      <c r="C909" s="19" t="s">
        <v>6650</v>
      </c>
      <c r="D909" s="19" t="s">
        <v>45</v>
      </c>
      <c r="E909" s="19" t="s">
        <v>46</v>
      </c>
      <c r="F909" s="19" t="s">
        <v>6651</v>
      </c>
      <c r="G909" s="19" t="s">
        <v>48</v>
      </c>
      <c r="H909" s="19" t="s">
        <v>144</v>
      </c>
      <c r="I909" s="20">
        <v>46023.378472222219</v>
      </c>
      <c r="J909" s="20">
        <v>46023.390277777777</v>
      </c>
      <c r="K909" s="19">
        <v>46023.504861111112</v>
      </c>
      <c r="L909" s="20">
        <v>46023.474305555559</v>
      </c>
      <c r="M909" s="19"/>
      <c r="N909" s="22">
        <f t="shared" si="31"/>
        <v>9.5833333340124227E-2</v>
      </c>
      <c r="O909" s="19" t="s">
        <v>63</v>
      </c>
      <c r="P909" s="19" t="s">
        <v>6652</v>
      </c>
      <c r="Q909" s="19" t="s">
        <v>6653</v>
      </c>
      <c r="R909" s="19"/>
      <c r="S909" s="19"/>
      <c r="U909" s="19"/>
      <c r="W909" s="19"/>
      <c r="X909" s="19" t="s">
        <v>72</v>
      </c>
      <c r="Y909" s="27" t="s">
        <v>147</v>
      </c>
      <c r="Z909" s="27" t="s">
        <v>78</v>
      </c>
      <c r="AA909" s="27" t="s">
        <v>78</v>
      </c>
      <c r="AB909" s="27" t="s">
        <v>147</v>
      </c>
      <c r="AC909" s="37" t="s">
        <v>78</v>
      </c>
      <c r="AD909" s="38" t="s">
        <v>78</v>
      </c>
      <c r="AE909" s="36">
        <v>46023</v>
      </c>
      <c r="AF909" s="19" t="s">
        <v>89</v>
      </c>
      <c r="AG909" s="19" t="s">
        <v>90</v>
      </c>
      <c r="AH909" s="19" t="s">
        <v>62</v>
      </c>
      <c r="AI909" s="19" t="s">
        <v>63</v>
      </c>
      <c r="AJ909" s="19" t="s">
        <v>6654</v>
      </c>
      <c r="AK909" s="19"/>
      <c r="AL909" s="19"/>
      <c r="AM909" s="19"/>
      <c r="AN909" s="19" t="s">
        <v>65</v>
      </c>
      <c r="AO909" s="23">
        <v>46023.390277777777</v>
      </c>
      <c r="AP909" s="26">
        <f t="shared" si="29"/>
        <v>138</v>
      </c>
    </row>
    <row r="910" spans="1:42" ht="32.25" hidden="1" customHeight="1">
      <c r="A910" s="19" t="s">
        <v>42</v>
      </c>
      <c r="B910" s="19" t="s">
        <v>5248</v>
      </c>
      <c r="C910" s="19" t="s">
        <v>336</v>
      </c>
      <c r="D910" s="19" t="s">
        <v>45</v>
      </c>
      <c r="E910" s="19" t="s">
        <v>46</v>
      </c>
      <c r="F910" s="19" t="s">
        <v>6655</v>
      </c>
      <c r="G910" s="19" t="s">
        <v>48</v>
      </c>
      <c r="H910" s="19" t="s">
        <v>49</v>
      </c>
      <c r="I910" s="20">
        <v>46023.423611111109</v>
      </c>
      <c r="K910" s="19"/>
      <c r="L910" s="20">
        <v>46023.430555555547</v>
      </c>
      <c r="M910" s="19"/>
      <c r="N910" s="22">
        <f t="shared" si="31"/>
        <v>6.9444444379769266E-3</v>
      </c>
      <c r="O910" s="19" t="s">
        <v>50</v>
      </c>
      <c r="P910" s="19" t="s">
        <v>6386</v>
      </c>
      <c r="Q910" s="19" t="s">
        <v>5677</v>
      </c>
      <c r="R910" s="19"/>
      <c r="S910" s="19"/>
      <c r="U910" s="19"/>
      <c r="W910" s="19"/>
      <c r="X910" s="19" t="s">
        <v>314</v>
      </c>
      <c r="Y910" s="27" t="s">
        <v>54</v>
      </c>
      <c r="Z910" s="27" t="s">
        <v>414</v>
      </c>
      <c r="AA910" s="27" t="s">
        <v>6656</v>
      </c>
      <c r="AB910" s="27" t="s">
        <v>6657</v>
      </c>
      <c r="AC910" s="37">
        <v>46023.424305555563</v>
      </c>
      <c r="AD910" s="38">
        <v>46023.431250000001</v>
      </c>
      <c r="AE910" s="36">
        <v>46023</v>
      </c>
      <c r="AF910" s="19" t="s">
        <v>89</v>
      </c>
      <c r="AG910" s="19" t="s">
        <v>90</v>
      </c>
      <c r="AH910" s="19" t="s">
        <v>62</v>
      </c>
      <c r="AI910" s="19" t="s">
        <v>63</v>
      </c>
      <c r="AJ910" s="19" t="s">
        <v>6658</v>
      </c>
      <c r="AK910" s="19"/>
      <c r="AL910" s="19"/>
      <c r="AM910" s="19"/>
      <c r="AN910" s="19" t="s">
        <v>103</v>
      </c>
      <c r="AO910" s="23">
        <v>46023.423611111109</v>
      </c>
      <c r="AP910" s="26">
        <f t="shared" si="29"/>
        <v>10</v>
      </c>
    </row>
    <row r="911" spans="1:42" ht="32.25" hidden="1" customHeight="1">
      <c r="A911" s="19" t="s">
        <v>42</v>
      </c>
      <c r="B911" s="19" t="s">
        <v>3327</v>
      </c>
      <c r="C911" s="19" t="s">
        <v>701</v>
      </c>
      <c r="D911" s="19" t="s">
        <v>45</v>
      </c>
      <c r="E911" s="19" t="s">
        <v>46</v>
      </c>
      <c r="F911" s="19" t="s">
        <v>6659</v>
      </c>
      <c r="G911" s="19" t="s">
        <v>48</v>
      </c>
      <c r="H911" s="19" t="s">
        <v>49</v>
      </c>
      <c r="I911" s="20">
        <v>46024.40625</v>
      </c>
      <c r="K911" s="19"/>
      <c r="L911" s="20">
        <v>46024.428472222222</v>
      </c>
      <c r="M911" s="19"/>
      <c r="N911" s="22">
        <f t="shared" si="31"/>
        <v>2.2222222221898846E-2</v>
      </c>
      <c r="O911" s="19" t="s">
        <v>63</v>
      </c>
      <c r="P911" s="19" t="s">
        <v>6660</v>
      </c>
      <c r="Q911" s="19" t="s">
        <v>6661</v>
      </c>
      <c r="R911" s="19"/>
      <c r="S911" s="19"/>
      <c r="U911" s="19"/>
      <c r="W911" s="19"/>
      <c r="X911" s="19" t="s">
        <v>746</v>
      </c>
      <c r="Y911" s="27" t="s">
        <v>133</v>
      </c>
      <c r="Z911" s="27" t="s">
        <v>5644</v>
      </c>
      <c r="AA911" s="27" t="s">
        <v>6662</v>
      </c>
      <c r="AB911" s="27" t="s">
        <v>6663</v>
      </c>
      <c r="AC911" s="37" t="s">
        <v>6664</v>
      </c>
      <c r="AD911" s="38" t="s">
        <v>6665</v>
      </c>
      <c r="AE911" s="36">
        <v>46023</v>
      </c>
      <c r="AF911" s="19" t="s">
        <v>99</v>
      </c>
      <c r="AG911" s="19" t="s">
        <v>1159</v>
      </c>
      <c r="AH911" s="19" t="s">
        <v>62</v>
      </c>
      <c r="AI911" s="19" t="s">
        <v>63</v>
      </c>
      <c r="AJ911" s="19" t="s">
        <v>6666</v>
      </c>
      <c r="AK911" s="19"/>
      <c r="AL911" s="19"/>
      <c r="AM911" s="19"/>
      <c r="AN911" s="19" t="s">
        <v>103</v>
      </c>
      <c r="AO911" s="23">
        <v>46024.40625</v>
      </c>
      <c r="AP911" s="26">
        <f t="shared" si="29"/>
        <v>32</v>
      </c>
    </row>
    <row r="912" spans="1:42" ht="32.25" hidden="1" customHeight="1">
      <c r="A912" s="19" t="s">
        <v>42</v>
      </c>
      <c r="B912" s="19" t="s">
        <v>1917</v>
      </c>
      <c r="C912" s="19" t="s">
        <v>2480</v>
      </c>
      <c r="D912" s="19" t="s">
        <v>45</v>
      </c>
      <c r="E912" s="19" t="s">
        <v>46</v>
      </c>
      <c r="F912" s="19" t="s">
        <v>6667</v>
      </c>
      <c r="G912" s="19" t="s">
        <v>48</v>
      </c>
      <c r="H912" s="19" t="s">
        <v>49</v>
      </c>
      <c r="I912" s="20">
        <v>46025.416666666657</v>
      </c>
      <c r="K912" s="19"/>
      <c r="L912" s="20">
        <v>46025.434027777781</v>
      </c>
      <c r="M912" s="19"/>
      <c r="N912" s="22">
        <f t="shared" si="31"/>
        <v>1.7361111124046147E-2</v>
      </c>
      <c r="O912" s="19" t="s">
        <v>50</v>
      </c>
      <c r="P912" s="19" t="s">
        <v>5169</v>
      </c>
      <c r="Q912" s="19" t="s">
        <v>5945</v>
      </c>
      <c r="R912" s="19"/>
      <c r="S912" s="19"/>
      <c r="U912" s="19"/>
      <c r="W912" s="19"/>
      <c r="X912" s="19" t="s">
        <v>109</v>
      </c>
      <c r="Y912" s="27" t="s">
        <v>147</v>
      </c>
      <c r="Z912" s="27" t="s">
        <v>78</v>
      </c>
      <c r="AA912" s="27" t="s">
        <v>78</v>
      </c>
      <c r="AB912" s="27" t="s">
        <v>147</v>
      </c>
      <c r="AC912" s="37" t="s">
        <v>78</v>
      </c>
      <c r="AD912" s="38" t="s">
        <v>78</v>
      </c>
      <c r="AE912" s="36">
        <v>46023</v>
      </c>
      <c r="AF912" s="19" t="s">
        <v>60</v>
      </c>
      <c r="AG912" s="19" t="s">
        <v>78</v>
      </c>
      <c r="AH912" s="19" t="s">
        <v>78</v>
      </c>
      <c r="AI912" s="19" t="s">
        <v>63</v>
      </c>
      <c r="AJ912" s="19" t="s">
        <v>6668</v>
      </c>
      <c r="AK912" s="19"/>
      <c r="AL912" s="19"/>
      <c r="AM912" s="19"/>
      <c r="AN912" s="19" t="s">
        <v>103</v>
      </c>
      <c r="AO912" s="23">
        <v>46025.416666666657</v>
      </c>
      <c r="AP912" s="26">
        <f t="shared" ref="AP912:AP975" si="32">((HOUR(N912)*60)+MINUTE(N912)+(SECOND(N912)/60))</f>
        <v>25</v>
      </c>
    </row>
    <row r="913" spans="1:42" ht="32.25" customHeight="1">
      <c r="A913" s="19" t="s">
        <v>42</v>
      </c>
      <c r="B913" s="19" t="s">
        <v>3388</v>
      </c>
      <c r="C913" s="19" t="s">
        <v>6669</v>
      </c>
      <c r="D913" s="19" t="s">
        <v>45</v>
      </c>
      <c r="E913" s="19" t="s">
        <v>46</v>
      </c>
      <c r="F913" s="19" t="s">
        <v>6670</v>
      </c>
      <c r="G913" s="19" t="s">
        <v>48</v>
      </c>
      <c r="H913" s="19" t="s">
        <v>152</v>
      </c>
      <c r="I913" s="20">
        <v>46025.464583333327</v>
      </c>
      <c r="J913" s="20">
        <v>46025.52847222222</v>
      </c>
      <c r="K913" s="19"/>
      <c r="L913" s="20">
        <v>46025.607638888891</v>
      </c>
      <c r="M913" s="19"/>
      <c r="N913" s="22">
        <f t="shared" si="31"/>
        <v>0.14305555556347826</v>
      </c>
      <c r="O913" s="19" t="s">
        <v>50</v>
      </c>
      <c r="P913" s="19" t="s">
        <v>6671</v>
      </c>
      <c r="Q913" s="19" t="s">
        <v>6672</v>
      </c>
      <c r="R913" s="19" t="s">
        <v>6673</v>
      </c>
      <c r="S913" s="19" t="s">
        <v>6674</v>
      </c>
      <c r="T913" s="20">
        <v>46025.723726851851</v>
      </c>
      <c r="U913" s="19">
        <v>46034.727777777778</v>
      </c>
      <c r="V913" s="19" t="s">
        <v>157</v>
      </c>
      <c r="W913" s="19"/>
      <c r="X913" s="19" t="s">
        <v>620</v>
      </c>
      <c r="Y913" s="27" t="s">
        <v>54</v>
      </c>
      <c r="Z913" s="27" t="s">
        <v>259</v>
      </c>
      <c r="AA913" s="27" t="s">
        <v>6675</v>
      </c>
      <c r="AB913" s="27" t="s">
        <v>6676</v>
      </c>
      <c r="AC913" s="37" t="s">
        <v>6677</v>
      </c>
      <c r="AD913" s="38" t="s">
        <v>6678</v>
      </c>
      <c r="AE913" s="36">
        <v>46023</v>
      </c>
      <c r="AF913" s="19" t="s">
        <v>89</v>
      </c>
      <c r="AG913" s="19" t="s">
        <v>656</v>
      </c>
      <c r="AH913" s="19" t="s">
        <v>62</v>
      </c>
      <c r="AI913" s="19" t="s">
        <v>63</v>
      </c>
      <c r="AJ913" s="19" t="s">
        <v>6679</v>
      </c>
      <c r="AK913" s="19"/>
      <c r="AL913" s="19"/>
      <c r="AM913" s="19"/>
      <c r="AN913" s="19" t="s">
        <v>103</v>
      </c>
      <c r="AO913" s="23">
        <v>46025.464583333327</v>
      </c>
      <c r="AP913" s="26">
        <f t="shared" si="32"/>
        <v>206</v>
      </c>
    </row>
    <row r="914" spans="1:42" ht="32.25" hidden="1" customHeight="1">
      <c r="A914" s="19" t="s">
        <v>42</v>
      </c>
      <c r="B914" s="19" t="s">
        <v>1917</v>
      </c>
      <c r="C914" s="19" t="s">
        <v>1021</v>
      </c>
      <c r="D914" s="19" t="s">
        <v>45</v>
      </c>
      <c r="E914" s="19" t="s">
        <v>46</v>
      </c>
      <c r="F914" s="19" t="s">
        <v>6667</v>
      </c>
      <c r="G914" s="19" t="s">
        <v>226</v>
      </c>
      <c r="H914" s="19" t="s">
        <v>49</v>
      </c>
      <c r="I914" s="20">
        <v>46025.472222222219</v>
      </c>
      <c r="K914" s="19"/>
      <c r="L914" s="20">
        <v>46025.635416666657</v>
      </c>
      <c r="M914" s="19"/>
      <c r="N914" s="22">
        <f t="shared" si="31"/>
        <v>0.16319444443797693</v>
      </c>
      <c r="O914" s="19" t="s">
        <v>50</v>
      </c>
      <c r="P914" s="19" t="s">
        <v>6680</v>
      </c>
      <c r="Q914" s="19" t="s">
        <v>6681</v>
      </c>
      <c r="R914" s="19"/>
      <c r="S914" s="19"/>
      <c r="U914" s="19"/>
      <c r="W914" s="19"/>
      <c r="X914" s="19" t="s">
        <v>109</v>
      </c>
      <c r="Y914" s="27" t="s">
        <v>147</v>
      </c>
      <c r="Z914" s="27" t="s">
        <v>78</v>
      </c>
      <c r="AA914" s="27" t="s">
        <v>78</v>
      </c>
      <c r="AB914" s="27" t="s">
        <v>147</v>
      </c>
      <c r="AC914" s="37" t="s">
        <v>78</v>
      </c>
      <c r="AD914" s="38" t="s">
        <v>78</v>
      </c>
      <c r="AE914" s="36">
        <v>46023</v>
      </c>
      <c r="AF914" s="19" t="s">
        <v>60</v>
      </c>
      <c r="AG914" s="19" t="s">
        <v>78</v>
      </c>
      <c r="AH914" s="19" t="s">
        <v>78</v>
      </c>
      <c r="AI914" s="19" t="s">
        <v>50</v>
      </c>
      <c r="AJ914" s="19" t="s">
        <v>6682</v>
      </c>
      <c r="AK914" s="19"/>
      <c r="AL914" s="19"/>
      <c r="AM914" s="19"/>
      <c r="AN914" s="19" t="s">
        <v>103</v>
      </c>
      <c r="AO914" s="23">
        <v>46025.472222222219</v>
      </c>
      <c r="AP914" s="26">
        <f t="shared" si="32"/>
        <v>235</v>
      </c>
    </row>
    <row r="915" spans="1:42" ht="32.25" hidden="1" customHeight="1">
      <c r="A915" s="19" t="s">
        <v>42</v>
      </c>
      <c r="B915" s="19" t="s">
        <v>5625</v>
      </c>
      <c r="C915" s="19" t="s">
        <v>6683</v>
      </c>
      <c r="D915" s="19" t="s">
        <v>45</v>
      </c>
      <c r="E915" s="19" t="s">
        <v>46</v>
      </c>
      <c r="F915" s="19" t="s">
        <v>6684</v>
      </c>
      <c r="G915" s="19" t="s">
        <v>48</v>
      </c>
      <c r="H915" s="19" t="s">
        <v>49</v>
      </c>
      <c r="I915" s="20">
        <v>46025.762499999997</v>
      </c>
      <c r="K915" s="19"/>
      <c r="L915" s="20">
        <v>46025.784722222219</v>
      </c>
      <c r="M915" s="19"/>
      <c r="N915" s="22">
        <f t="shared" si="31"/>
        <v>2.2222222221898846E-2</v>
      </c>
      <c r="O915" s="19" t="s">
        <v>50</v>
      </c>
      <c r="P915" s="19" t="s">
        <v>6685</v>
      </c>
      <c r="Q915" s="19" t="s">
        <v>6686</v>
      </c>
      <c r="R915" s="19"/>
      <c r="S915" s="19"/>
      <c r="U915" s="19"/>
      <c r="W915" s="19"/>
      <c r="X915" s="19" t="s">
        <v>109</v>
      </c>
      <c r="Y915" s="27" t="s">
        <v>133</v>
      </c>
      <c r="Z915" s="27" t="s">
        <v>5480</v>
      </c>
      <c r="AA915" s="27" t="s">
        <v>6687</v>
      </c>
      <c r="AB915" s="27" t="s">
        <v>6688</v>
      </c>
      <c r="AC915" s="37" t="s">
        <v>6689</v>
      </c>
      <c r="AD915" s="38" t="s">
        <v>6690</v>
      </c>
      <c r="AE915" s="36">
        <v>46023</v>
      </c>
      <c r="AF915" s="19" t="s">
        <v>89</v>
      </c>
      <c r="AG915" s="19" t="s">
        <v>90</v>
      </c>
      <c r="AH915" s="19" t="s">
        <v>62</v>
      </c>
      <c r="AI915" s="19" t="s">
        <v>63</v>
      </c>
      <c r="AJ915" s="19" t="s">
        <v>6691</v>
      </c>
      <c r="AK915" s="19"/>
      <c r="AL915" s="19"/>
      <c r="AM915" s="19"/>
      <c r="AN915" s="19" t="s">
        <v>103</v>
      </c>
      <c r="AO915" s="23">
        <v>46025.762499999997</v>
      </c>
      <c r="AP915" s="26">
        <f t="shared" si="32"/>
        <v>32</v>
      </c>
    </row>
    <row r="916" spans="1:42" ht="32.25" hidden="1" customHeight="1">
      <c r="A916" s="19" t="s">
        <v>42</v>
      </c>
      <c r="B916" s="19" t="s">
        <v>5625</v>
      </c>
      <c r="C916" s="19" t="s">
        <v>6683</v>
      </c>
      <c r="D916" s="19" t="s">
        <v>45</v>
      </c>
      <c r="E916" s="19" t="s">
        <v>46</v>
      </c>
      <c r="F916" s="19" t="s">
        <v>6684</v>
      </c>
      <c r="G916" s="19" t="s">
        <v>226</v>
      </c>
      <c r="H916" s="19" t="s">
        <v>49</v>
      </c>
      <c r="I916" s="20">
        <v>46027.592361111107</v>
      </c>
      <c r="K916" s="19"/>
      <c r="L916" s="20">
        <v>46027.604166666657</v>
      </c>
      <c r="M916" s="19"/>
      <c r="N916" s="22">
        <f t="shared" si="31"/>
        <v>1.1805555550381541E-2</v>
      </c>
      <c r="O916" s="19" t="s">
        <v>50</v>
      </c>
      <c r="P916" s="19" t="s">
        <v>6692</v>
      </c>
      <c r="Q916" s="19" t="s">
        <v>6693</v>
      </c>
      <c r="R916" s="19"/>
      <c r="S916" s="19"/>
      <c r="U916" s="19"/>
      <c r="W916" s="19"/>
      <c r="X916" s="19" t="s">
        <v>109</v>
      </c>
      <c r="Y916" s="27" t="s">
        <v>133</v>
      </c>
      <c r="Z916" s="27" t="s">
        <v>259</v>
      </c>
      <c r="AA916" s="27" t="s">
        <v>6694</v>
      </c>
      <c r="AB916" s="27" t="s">
        <v>6695</v>
      </c>
      <c r="AC916" s="37" t="s">
        <v>6696</v>
      </c>
      <c r="AD916" s="38" t="s">
        <v>6697</v>
      </c>
      <c r="AE916" s="36">
        <v>46023</v>
      </c>
      <c r="AF916" s="19" t="s">
        <v>89</v>
      </c>
      <c r="AG916" s="19" t="s">
        <v>90</v>
      </c>
      <c r="AH916" s="19" t="s">
        <v>62</v>
      </c>
      <c r="AI916" s="19" t="s">
        <v>50</v>
      </c>
      <c r="AJ916" s="19" t="s">
        <v>6698</v>
      </c>
      <c r="AK916" s="19"/>
      <c r="AL916" s="19"/>
      <c r="AM916" s="19"/>
      <c r="AN916" s="19" t="s">
        <v>103</v>
      </c>
      <c r="AO916" s="23">
        <v>46027.595138888893</v>
      </c>
      <c r="AP916" s="26">
        <f t="shared" si="32"/>
        <v>17</v>
      </c>
    </row>
    <row r="917" spans="1:42" s="31" customFormat="1" ht="32.25" hidden="1" customHeight="1">
      <c r="A917" s="19" t="s">
        <v>42</v>
      </c>
      <c r="B917" s="19" t="s">
        <v>3388</v>
      </c>
      <c r="C917" s="19" t="s">
        <v>44</v>
      </c>
      <c r="D917" s="19" t="s">
        <v>45</v>
      </c>
      <c r="E917" s="19" t="s">
        <v>46</v>
      </c>
      <c r="F917" s="19" t="s">
        <v>6699</v>
      </c>
      <c r="G917" s="19" t="s">
        <v>48</v>
      </c>
      <c r="H917" s="19" t="s">
        <v>49</v>
      </c>
      <c r="I917" s="20">
        <v>46027.836805555547</v>
      </c>
      <c r="J917" s="20"/>
      <c r="K917" s="19"/>
      <c r="L917" s="20">
        <v>46027.856944444437</v>
      </c>
      <c r="M917" s="19"/>
      <c r="N917" s="22">
        <f t="shared" si="31"/>
        <v>2.0138888889050577E-2</v>
      </c>
      <c r="O917" s="19" t="s">
        <v>50</v>
      </c>
      <c r="P917" s="19" t="s">
        <v>2439</v>
      </c>
      <c r="Q917" s="19" t="s">
        <v>6700</v>
      </c>
      <c r="R917" s="19"/>
      <c r="S917" s="19"/>
      <c r="T917" s="20"/>
      <c r="U917" s="19"/>
      <c r="V917" s="19"/>
      <c r="W917" s="19"/>
      <c r="X917" s="19" t="s">
        <v>53</v>
      </c>
      <c r="Y917" s="27" t="s">
        <v>147</v>
      </c>
      <c r="Z917" s="27" t="s">
        <v>78</v>
      </c>
      <c r="AA917" s="27" t="s">
        <v>78</v>
      </c>
      <c r="AB917" s="27" t="s">
        <v>147</v>
      </c>
      <c r="AC917" s="37" t="s">
        <v>78</v>
      </c>
      <c r="AD917" s="38" t="s">
        <v>78</v>
      </c>
      <c r="AE917" s="36">
        <v>46023</v>
      </c>
      <c r="AF917" s="19" t="s">
        <v>60</v>
      </c>
      <c r="AG917" s="19" t="s">
        <v>90</v>
      </c>
      <c r="AH917" s="19" t="s">
        <v>62</v>
      </c>
      <c r="AI917" s="19" t="s">
        <v>63</v>
      </c>
      <c r="AJ917" s="19" t="s">
        <v>6701</v>
      </c>
      <c r="AK917" s="19"/>
      <c r="AL917" s="19"/>
      <c r="AM917" s="19"/>
      <c r="AN917" s="19" t="s">
        <v>65</v>
      </c>
      <c r="AO917" s="23">
        <v>46027.836805555547</v>
      </c>
      <c r="AP917" s="26">
        <f t="shared" si="32"/>
        <v>29</v>
      </c>
    </row>
    <row r="918" spans="1:42" ht="32.25" hidden="1" customHeight="1">
      <c r="A918" s="19" t="s">
        <v>42</v>
      </c>
      <c r="B918" s="19" t="s">
        <v>186</v>
      </c>
      <c r="C918" s="19" t="s">
        <v>577</v>
      </c>
      <c r="D918" s="19" t="s">
        <v>45</v>
      </c>
      <c r="E918" s="19" t="s">
        <v>46</v>
      </c>
      <c r="F918" s="19" t="s">
        <v>6702</v>
      </c>
      <c r="G918" s="19" t="s">
        <v>48</v>
      </c>
      <c r="H918" s="19" t="s">
        <v>49</v>
      </c>
      <c r="I918" s="20">
        <v>46028.345833333333</v>
      </c>
      <c r="K918" s="19"/>
      <c r="L918" s="20">
        <v>46028.503472222219</v>
      </c>
      <c r="M918" s="19"/>
      <c r="N918" s="22">
        <f t="shared" si="31"/>
        <v>0.15763888888614019</v>
      </c>
      <c r="O918" s="19" t="s">
        <v>63</v>
      </c>
      <c r="P918" s="19" t="s">
        <v>6703</v>
      </c>
      <c r="Q918" s="19" t="s">
        <v>6704</v>
      </c>
      <c r="R918" s="19"/>
      <c r="S918" s="19"/>
      <c r="U918" s="19"/>
      <c r="W918" s="19"/>
      <c r="X918" s="19" t="s">
        <v>191</v>
      </c>
      <c r="Y918" s="27" t="s">
        <v>147</v>
      </c>
      <c r="Z918" s="27" t="s">
        <v>78</v>
      </c>
      <c r="AA918" s="27" t="s">
        <v>78</v>
      </c>
      <c r="AB918" s="27" t="s">
        <v>147</v>
      </c>
      <c r="AC918" s="37" t="s">
        <v>78</v>
      </c>
      <c r="AD918" s="38" t="s">
        <v>78</v>
      </c>
      <c r="AE918" s="36">
        <v>46023</v>
      </c>
      <c r="AF918" s="19" t="s">
        <v>89</v>
      </c>
      <c r="AG918" s="19" t="s">
        <v>90</v>
      </c>
      <c r="AH918" s="19" t="s">
        <v>62</v>
      </c>
      <c r="AI918" s="19" t="s">
        <v>63</v>
      </c>
      <c r="AJ918" s="19" t="s">
        <v>6705</v>
      </c>
      <c r="AK918" s="19"/>
      <c r="AL918" s="19"/>
      <c r="AM918" s="19"/>
      <c r="AN918" s="19" t="s">
        <v>65</v>
      </c>
      <c r="AO918" s="23">
        <v>46028.345833333333</v>
      </c>
      <c r="AP918" s="26">
        <f t="shared" si="32"/>
        <v>227</v>
      </c>
    </row>
    <row r="919" spans="1:42" ht="32.25" hidden="1" customHeight="1">
      <c r="A919" s="19" t="s">
        <v>42</v>
      </c>
      <c r="B919" s="19" t="s">
        <v>3388</v>
      </c>
      <c r="C919" s="19" t="s">
        <v>44</v>
      </c>
      <c r="D919" s="19" t="s">
        <v>45</v>
      </c>
      <c r="E919" s="19" t="s">
        <v>46</v>
      </c>
      <c r="F919" s="19" t="s">
        <v>6699</v>
      </c>
      <c r="G919" s="19" t="s">
        <v>226</v>
      </c>
      <c r="H919" s="19" t="s">
        <v>49</v>
      </c>
      <c r="I919" s="20">
        <v>46028.472916666673</v>
      </c>
      <c r="K919" s="19"/>
      <c r="L919" s="20">
        <v>46028.513888888891</v>
      </c>
      <c r="M919" s="19"/>
      <c r="N919" s="22">
        <f t="shared" ref="N919:N950" si="33">L919-I919</f>
        <v>4.0972222217533272E-2</v>
      </c>
      <c r="O919" s="19" t="s">
        <v>50</v>
      </c>
      <c r="P919" s="19" t="s">
        <v>2439</v>
      </c>
      <c r="Q919" s="19" t="s">
        <v>6706</v>
      </c>
      <c r="R919" s="19"/>
      <c r="S919" s="19"/>
      <c r="U919" s="19"/>
      <c r="W919" s="19"/>
      <c r="X919" s="19" t="s">
        <v>53</v>
      </c>
      <c r="Y919" s="27" t="s">
        <v>54</v>
      </c>
      <c r="Z919" s="27" t="s">
        <v>55</v>
      </c>
      <c r="AA919" s="27" t="s">
        <v>6707</v>
      </c>
      <c r="AB919" s="27" t="s">
        <v>6708</v>
      </c>
      <c r="AC919" s="37" t="s">
        <v>6709</v>
      </c>
      <c r="AD919" s="38" t="s">
        <v>6710</v>
      </c>
      <c r="AE919" s="36">
        <v>46023</v>
      </c>
      <c r="AF919" s="19" t="s">
        <v>60</v>
      </c>
      <c r="AG919" s="19" t="s">
        <v>90</v>
      </c>
      <c r="AH919" s="19" t="s">
        <v>62</v>
      </c>
      <c r="AI919" s="19" t="s">
        <v>50</v>
      </c>
      <c r="AJ919" s="19" t="s">
        <v>6711</v>
      </c>
      <c r="AK919" s="19"/>
      <c r="AL919" s="19"/>
      <c r="AM919" s="19"/>
      <c r="AN919" s="19" t="s">
        <v>65</v>
      </c>
      <c r="AO919" s="23">
        <v>46028.472916666673</v>
      </c>
      <c r="AP919" s="26">
        <f t="shared" si="32"/>
        <v>59</v>
      </c>
    </row>
    <row r="920" spans="1:42" ht="32.25" hidden="1" customHeight="1">
      <c r="A920" s="19" t="s">
        <v>42</v>
      </c>
      <c r="B920" s="19" t="s">
        <v>3809</v>
      </c>
      <c r="C920" s="19" t="s">
        <v>1880</v>
      </c>
      <c r="D920" s="19" t="s">
        <v>45</v>
      </c>
      <c r="E920" s="19" t="s">
        <v>46</v>
      </c>
      <c r="F920" s="19" t="s">
        <v>6712</v>
      </c>
      <c r="G920" s="19" t="s">
        <v>48</v>
      </c>
      <c r="H920" s="19" t="s">
        <v>49</v>
      </c>
      <c r="I920" s="20">
        <v>46028.665277777778</v>
      </c>
      <c r="K920" s="19"/>
      <c r="L920" s="20">
        <v>46028.67291666667</v>
      </c>
      <c r="M920" s="19"/>
      <c r="N920" s="22">
        <f t="shared" si="33"/>
        <v>7.6388888919609599E-3</v>
      </c>
      <c r="O920" s="19" t="s">
        <v>50</v>
      </c>
      <c r="P920" s="19" t="s">
        <v>6713</v>
      </c>
      <c r="Q920" s="19" t="s">
        <v>6714</v>
      </c>
      <c r="R920" s="19"/>
      <c r="S920" s="19"/>
      <c r="U920" s="19"/>
      <c r="W920" s="19"/>
      <c r="X920" s="19" t="s">
        <v>1589</v>
      </c>
      <c r="Y920" s="27" t="s">
        <v>133</v>
      </c>
      <c r="Z920" s="27" t="s">
        <v>6275</v>
      </c>
      <c r="AA920" s="27" t="s">
        <v>6715</v>
      </c>
      <c r="AB920" s="27" t="s">
        <v>6716</v>
      </c>
      <c r="AC920" s="37" t="s">
        <v>6717</v>
      </c>
      <c r="AD920" s="38" t="s">
        <v>6718</v>
      </c>
      <c r="AE920" s="36">
        <v>46023</v>
      </c>
      <c r="AF920" s="19" t="s">
        <v>60</v>
      </c>
      <c r="AG920" s="19" t="s">
        <v>78</v>
      </c>
      <c r="AH920" s="19" t="s">
        <v>78</v>
      </c>
      <c r="AI920" s="19" t="s">
        <v>63</v>
      </c>
      <c r="AJ920" s="19" t="s">
        <v>6719</v>
      </c>
      <c r="AK920" s="19"/>
      <c r="AL920" s="19"/>
      <c r="AM920" s="19"/>
      <c r="AN920" s="19" t="s">
        <v>128</v>
      </c>
      <c r="AO920" s="23">
        <v>46028.665277777778</v>
      </c>
      <c r="AP920" s="26">
        <f t="shared" si="32"/>
        <v>11</v>
      </c>
    </row>
    <row r="921" spans="1:42" ht="32.25" hidden="1" customHeight="1">
      <c r="A921" s="19" t="s">
        <v>116</v>
      </c>
      <c r="B921" s="19" t="s">
        <v>6720</v>
      </c>
      <c r="C921" s="19" t="s">
        <v>6721</v>
      </c>
      <c r="D921" s="19" t="s">
        <v>45</v>
      </c>
      <c r="E921" s="19" t="s">
        <v>46</v>
      </c>
      <c r="F921" s="19" t="s">
        <v>6722</v>
      </c>
      <c r="G921" s="19" t="s">
        <v>48</v>
      </c>
      <c r="H921" s="19" t="s">
        <v>49</v>
      </c>
      <c r="I921" s="20">
        <v>46029.584027777782</v>
      </c>
      <c r="K921" s="19"/>
      <c r="L921" s="20">
        <v>46029.597222222219</v>
      </c>
      <c r="M921" s="19"/>
      <c r="N921" s="22">
        <f t="shared" si="33"/>
        <v>1.3194444436521735E-2</v>
      </c>
      <c r="O921" s="19" t="s">
        <v>50</v>
      </c>
      <c r="P921" s="19" t="s">
        <v>6723</v>
      </c>
      <c r="Q921" s="19" t="s">
        <v>6724</v>
      </c>
      <c r="R921" s="19"/>
      <c r="S921" s="19"/>
      <c r="U921" s="19"/>
      <c r="W921" s="19"/>
      <c r="X921" s="19" t="s">
        <v>662</v>
      </c>
      <c r="Y921" s="27" t="s">
        <v>147</v>
      </c>
      <c r="Z921" s="27" t="s">
        <v>78</v>
      </c>
      <c r="AA921" s="27" t="s">
        <v>78</v>
      </c>
      <c r="AB921" s="27" t="s">
        <v>147</v>
      </c>
      <c r="AC921" s="37" t="s">
        <v>78</v>
      </c>
      <c r="AD921" s="38" t="s">
        <v>78</v>
      </c>
      <c r="AE921" s="36">
        <v>46023</v>
      </c>
      <c r="AF921" s="19" t="s">
        <v>78</v>
      </c>
      <c r="AG921" s="19" t="s">
        <v>78</v>
      </c>
      <c r="AH921" s="19" t="s">
        <v>78</v>
      </c>
      <c r="AI921" s="19" t="s">
        <v>63</v>
      </c>
      <c r="AJ921" s="19" t="s">
        <v>6725</v>
      </c>
      <c r="AK921" s="19"/>
      <c r="AL921" s="19"/>
      <c r="AM921" s="19"/>
      <c r="AN921" s="19" t="s">
        <v>103</v>
      </c>
      <c r="AO921" s="23">
        <v>46029.592361111107</v>
      </c>
      <c r="AP921" s="26">
        <f t="shared" si="32"/>
        <v>19</v>
      </c>
    </row>
    <row r="922" spans="1:42" s="31" customFormat="1" ht="32.25" hidden="1" customHeight="1">
      <c r="A922" s="19" t="s">
        <v>42</v>
      </c>
      <c r="B922" s="19" t="s">
        <v>3388</v>
      </c>
      <c r="C922" s="19" t="s">
        <v>1971</v>
      </c>
      <c r="D922" s="19" t="s">
        <v>45</v>
      </c>
      <c r="E922" s="19" t="s">
        <v>46</v>
      </c>
      <c r="F922" s="19" t="s">
        <v>6726</v>
      </c>
      <c r="G922" s="19" t="s">
        <v>48</v>
      </c>
      <c r="H922" s="19" t="s">
        <v>49</v>
      </c>
      <c r="I922" s="20">
        <v>46029.659722222219</v>
      </c>
      <c r="J922" s="20"/>
      <c r="K922" s="19"/>
      <c r="L922" s="20">
        <v>46029.677777777782</v>
      </c>
      <c r="M922" s="19"/>
      <c r="N922" s="22">
        <f t="shared" si="33"/>
        <v>1.8055555563478265E-2</v>
      </c>
      <c r="O922" s="19" t="s">
        <v>50</v>
      </c>
      <c r="P922" s="19" t="s">
        <v>4765</v>
      </c>
      <c r="Q922" s="19" t="s">
        <v>6727</v>
      </c>
      <c r="R922" s="19"/>
      <c r="S922" s="19"/>
      <c r="T922" s="20"/>
      <c r="U922" s="19"/>
      <c r="V922" s="19"/>
      <c r="W922" s="19"/>
      <c r="X922" s="19" t="s">
        <v>53</v>
      </c>
      <c r="Y922" s="27" t="s">
        <v>54</v>
      </c>
      <c r="Z922" s="27" t="s">
        <v>2068</v>
      </c>
      <c r="AA922" s="27" t="s">
        <v>6728</v>
      </c>
      <c r="AB922" s="27" t="s">
        <v>6729</v>
      </c>
      <c r="AC922" s="37" t="s">
        <v>6730</v>
      </c>
      <c r="AD922" s="38" t="s">
        <v>6731</v>
      </c>
      <c r="AE922" s="36">
        <v>46023</v>
      </c>
      <c r="AF922" s="19" t="s">
        <v>89</v>
      </c>
      <c r="AG922" s="19" t="s">
        <v>90</v>
      </c>
      <c r="AH922" s="19" t="s">
        <v>62</v>
      </c>
      <c r="AI922" s="19" t="s">
        <v>63</v>
      </c>
      <c r="AJ922" s="19" t="s">
        <v>6732</v>
      </c>
      <c r="AK922" s="19"/>
      <c r="AL922" s="19"/>
      <c r="AM922" s="19"/>
      <c r="AN922" s="19" t="s">
        <v>65</v>
      </c>
      <c r="AO922" s="23">
        <v>46029.67291666667</v>
      </c>
      <c r="AP922" s="26">
        <f t="shared" si="32"/>
        <v>26</v>
      </c>
    </row>
    <row r="923" spans="1:42" ht="32.25" hidden="1" customHeight="1">
      <c r="A923" s="19" t="s">
        <v>42</v>
      </c>
      <c r="B923" s="19" t="s">
        <v>4163</v>
      </c>
      <c r="C923" s="19" t="s">
        <v>4487</v>
      </c>
      <c r="D923" s="19" t="s">
        <v>45</v>
      </c>
      <c r="E923" s="19" t="s">
        <v>46</v>
      </c>
      <c r="F923" s="19" t="s">
        <v>6733</v>
      </c>
      <c r="G923" s="19" t="s">
        <v>48</v>
      </c>
      <c r="H923" s="19" t="s">
        <v>49</v>
      </c>
      <c r="I923" s="20">
        <v>46029.704861111109</v>
      </c>
      <c r="K923" s="19"/>
      <c r="L923" s="20">
        <v>46029.732638888891</v>
      </c>
      <c r="M923" s="19"/>
      <c r="N923" s="22">
        <f t="shared" si="33"/>
        <v>2.7777777781011537E-2</v>
      </c>
      <c r="O923" s="19" t="s">
        <v>63</v>
      </c>
      <c r="P923" s="19" t="s">
        <v>6734</v>
      </c>
      <c r="Q923" s="19" t="s">
        <v>6735</v>
      </c>
      <c r="R923" s="19"/>
      <c r="S923" s="19"/>
      <c r="U923" s="19"/>
      <c r="W923" s="19"/>
      <c r="X923" s="19" t="s">
        <v>98</v>
      </c>
      <c r="Y923" s="27" t="s">
        <v>147</v>
      </c>
      <c r="Z923" s="27" t="s">
        <v>78</v>
      </c>
      <c r="AA923" s="27" t="s">
        <v>78</v>
      </c>
      <c r="AB923" s="27" t="s">
        <v>147</v>
      </c>
      <c r="AC923" s="37" t="s">
        <v>78</v>
      </c>
      <c r="AD923" s="38" t="s">
        <v>78</v>
      </c>
      <c r="AE923" s="36">
        <v>46023</v>
      </c>
      <c r="AF923" s="19" t="s">
        <v>60</v>
      </c>
      <c r="AG923" s="19" t="s">
        <v>90</v>
      </c>
      <c r="AH923" s="19" t="s">
        <v>62</v>
      </c>
      <c r="AI923" s="19" t="s">
        <v>63</v>
      </c>
      <c r="AJ923" s="19" t="s">
        <v>6736</v>
      </c>
      <c r="AK923" s="19"/>
      <c r="AL923" s="19"/>
      <c r="AM923" s="19"/>
      <c r="AN923" s="19" t="s">
        <v>65</v>
      </c>
      <c r="AO923" s="23">
        <v>46029.704861111109</v>
      </c>
      <c r="AP923" s="26">
        <f t="shared" si="32"/>
        <v>40</v>
      </c>
    </row>
    <row r="924" spans="1:42" ht="32.25" hidden="1" customHeight="1">
      <c r="A924" s="19" t="s">
        <v>42</v>
      </c>
      <c r="B924" s="19" t="s">
        <v>6254</v>
      </c>
      <c r="C924" s="19" t="s">
        <v>577</v>
      </c>
      <c r="D924" s="19" t="s">
        <v>45</v>
      </c>
      <c r="E924" s="19" t="s">
        <v>46</v>
      </c>
      <c r="F924" s="19" t="s">
        <v>6737</v>
      </c>
      <c r="G924" s="19" t="s">
        <v>48</v>
      </c>
      <c r="H924" s="19" t="s">
        <v>49</v>
      </c>
      <c r="I924" s="20">
        <v>46029.813888888893</v>
      </c>
      <c r="K924" s="19"/>
      <c r="L924" s="20">
        <v>46029.833333333343</v>
      </c>
      <c r="M924" s="19"/>
      <c r="N924" s="22">
        <f t="shared" si="33"/>
        <v>1.9444444449618459E-2</v>
      </c>
      <c r="O924" s="19" t="s">
        <v>63</v>
      </c>
      <c r="P924" s="19" t="s">
        <v>6738</v>
      </c>
      <c r="Q924" s="19" t="s">
        <v>6739</v>
      </c>
      <c r="R924" s="19"/>
      <c r="S924" s="19"/>
      <c r="U924" s="19"/>
      <c r="W924" s="19"/>
      <c r="X924" s="19" t="s">
        <v>191</v>
      </c>
      <c r="Y924" s="27" t="s">
        <v>147</v>
      </c>
      <c r="Z924" s="27" t="s">
        <v>78</v>
      </c>
      <c r="AA924" s="27" t="s">
        <v>78</v>
      </c>
      <c r="AB924" s="27" t="s">
        <v>147</v>
      </c>
      <c r="AC924" s="37" t="s">
        <v>78</v>
      </c>
      <c r="AD924" s="38" t="s">
        <v>78</v>
      </c>
      <c r="AE924" s="36">
        <v>46023</v>
      </c>
      <c r="AF924" s="19" t="s">
        <v>89</v>
      </c>
      <c r="AG924" s="19" t="s">
        <v>90</v>
      </c>
      <c r="AH924" s="19" t="s">
        <v>62</v>
      </c>
      <c r="AI924" s="19" t="s">
        <v>63</v>
      </c>
      <c r="AJ924" s="19" t="s">
        <v>6740</v>
      </c>
      <c r="AK924" s="19"/>
      <c r="AL924" s="19"/>
      <c r="AM924" s="19"/>
      <c r="AN924" s="19" t="s">
        <v>128</v>
      </c>
      <c r="AO924" s="23">
        <v>46029.813888888893</v>
      </c>
      <c r="AP924" s="26">
        <f t="shared" si="32"/>
        <v>28</v>
      </c>
    </row>
    <row r="925" spans="1:42" ht="32.25" hidden="1" customHeight="1">
      <c r="A925" s="19" t="s">
        <v>42</v>
      </c>
      <c r="B925" s="19" t="s">
        <v>5625</v>
      </c>
      <c r="C925" s="19" t="s">
        <v>6683</v>
      </c>
      <c r="D925" s="19" t="s">
        <v>45</v>
      </c>
      <c r="E925" s="19" t="s">
        <v>46</v>
      </c>
      <c r="F925" s="19" t="s">
        <v>6741</v>
      </c>
      <c r="G925" s="19" t="s">
        <v>48</v>
      </c>
      <c r="H925" s="19" t="s">
        <v>49</v>
      </c>
      <c r="I925" s="20">
        <v>46030.371527777781</v>
      </c>
      <c r="K925" s="19"/>
      <c r="L925" s="20">
        <v>46030.384722222218</v>
      </c>
      <c r="M925" s="19"/>
      <c r="N925" s="22">
        <f t="shared" si="33"/>
        <v>1.3194444436521735E-2</v>
      </c>
      <c r="O925" s="19" t="s">
        <v>50</v>
      </c>
      <c r="P925" s="19" t="s">
        <v>6685</v>
      </c>
      <c r="Q925" s="19" t="s">
        <v>6742</v>
      </c>
      <c r="R925" s="19"/>
      <c r="S925" s="19"/>
      <c r="U925" s="19"/>
      <c r="W925" s="19"/>
      <c r="X925" s="19" t="s">
        <v>109</v>
      </c>
      <c r="Y925" s="27" t="s">
        <v>133</v>
      </c>
      <c r="Z925" s="27" t="s">
        <v>414</v>
      </c>
      <c r="AA925" s="27" t="s">
        <v>6743</v>
      </c>
      <c r="AB925" s="27" t="s">
        <v>6744</v>
      </c>
      <c r="AC925" s="37" t="s">
        <v>6745</v>
      </c>
      <c r="AD925" s="38" t="s">
        <v>6746</v>
      </c>
      <c r="AE925" s="36">
        <v>46023</v>
      </c>
      <c r="AF925" s="19" t="s">
        <v>89</v>
      </c>
      <c r="AG925" s="19" t="s">
        <v>90</v>
      </c>
      <c r="AH925" s="19" t="s">
        <v>62</v>
      </c>
      <c r="AI925" s="19" t="s">
        <v>63</v>
      </c>
      <c r="AJ925" s="19" t="s">
        <v>6747</v>
      </c>
      <c r="AK925" s="19"/>
      <c r="AL925" s="19"/>
      <c r="AM925" s="19"/>
      <c r="AN925" s="19" t="s">
        <v>103</v>
      </c>
      <c r="AO925" s="23">
        <v>46030.371527777781</v>
      </c>
      <c r="AP925" s="26">
        <f t="shared" si="32"/>
        <v>19</v>
      </c>
    </row>
    <row r="926" spans="1:42" ht="32.25" customHeight="1">
      <c r="A926" s="19" t="s">
        <v>42</v>
      </c>
      <c r="B926" s="19" t="s">
        <v>6748</v>
      </c>
      <c r="C926" s="19" t="s">
        <v>6749</v>
      </c>
      <c r="D926" s="19" t="s">
        <v>45</v>
      </c>
      <c r="E926" s="19" t="s">
        <v>46</v>
      </c>
      <c r="F926" s="19" t="s">
        <v>6750</v>
      </c>
      <c r="G926" s="19" t="s">
        <v>48</v>
      </c>
      <c r="H926" s="19" t="s">
        <v>144</v>
      </c>
      <c r="I926" s="20">
        <v>46030.527777777781</v>
      </c>
      <c r="J926" s="20">
        <v>46030.548611111109</v>
      </c>
      <c r="K926" s="19">
        <v>46030.604166666657</v>
      </c>
      <c r="L926" s="20">
        <v>46030.618055555547</v>
      </c>
      <c r="M926" s="19"/>
      <c r="N926" s="22">
        <f t="shared" si="33"/>
        <v>9.0277777766459621E-2</v>
      </c>
      <c r="O926" s="19" t="s">
        <v>50</v>
      </c>
      <c r="P926" s="19" t="s">
        <v>6751</v>
      </c>
      <c r="Q926" s="19" t="s">
        <v>6752</v>
      </c>
      <c r="R926" s="19" t="s">
        <v>6753</v>
      </c>
      <c r="S926" s="19" t="s">
        <v>6754</v>
      </c>
      <c r="T926" s="20">
        <v>46030.760011574072</v>
      </c>
      <c r="U926" s="19">
        <v>46038.813888888893</v>
      </c>
      <c r="V926" s="19" t="s">
        <v>157</v>
      </c>
      <c r="W926" s="19"/>
      <c r="X926" s="19" t="s">
        <v>6755</v>
      </c>
      <c r="Y926" s="27" t="s">
        <v>133</v>
      </c>
      <c r="Z926" s="27" t="s">
        <v>6756</v>
      </c>
      <c r="AA926" s="27" t="s">
        <v>6757</v>
      </c>
      <c r="AB926" s="27" t="s">
        <v>6758</v>
      </c>
      <c r="AC926" s="37" t="s">
        <v>6759</v>
      </c>
      <c r="AD926" s="38" t="s">
        <v>6760</v>
      </c>
      <c r="AE926" s="36">
        <v>46023</v>
      </c>
      <c r="AF926" s="19" t="s">
        <v>293</v>
      </c>
      <c r="AG926" s="19" t="s">
        <v>307</v>
      </c>
      <c r="AH926" s="19" t="s">
        <v>164</v>
      </c>
      <c r="AI926" s="19" t="s">
        <v>63</v>
      </c>
      <c r="AJ926" s="19" t="s">
        <v>6761</v>
      </c>
      <c r="AK926" s="19"/>
      <c r="AL926" s="19"/>
      <c r="AM926" s="19"/>
      <c r="AN926" s="19" t="s">
        <v>103</v>
      </c>
      <c r="AO926" s="23">
        <v>46030.527777777781</v>
      </c>
      <c r="AP926" s="26">
        <f t="shared" si="32"/>
        <v>130</v>
      </c>
    </row>
    <row r="927" spans="1:42" ht="32.25" hidden="1" customHeight="1">
      <c r="A927" s="19" t="s">
        <v>42</v>
      </c>
      <c r="B927" s="19" t="s">
        <v>3388</v>
      </c>
      <c r="C927" s="19" t="s">
        <v>129</v>
      </c>
      <c r="D927" s="19" t="s">
        <v>45</v>
      </c>
      <c r="E927" s="19" t="s">
        <v>46</v>
      </c>
      <c r="F927" s="19" t="s">
        <v>6762</v>
      </c>
      <c r="G927" s="19" t="s">
        <v>48</v>
      </c>
      <c r="H927" s="19" t="s">
        <v>49</v>
      </c>
      <c r="I927" s="20">
        <v>46030.540277777778</v>
      </c>
      <c r="K927" s="19"/>
      <c r="L927" s="20">
        <v>46030.543749999997</v>
      </c>
      <c r="M927" s="19"/>
      <c r="N927" s="22">
        <f t="shared" si="33"/>
        <v>3.4722222189884633E-3</v>
      </c>
      <c r="O927" s="19" t="s">
        <v>63</v>
      </c>
      <c r="P927" s="19" t="s">
        <v>6763</v>
      </c>
      <c r="Q927" s="19" t="s">
        <v>6764</v>
      </c>
      <c r="R927" s="19"/>
      <c r="S927" s="19"/>
      <c r="U927" s="19"/>
      <c r="W927" s="19"/>
      <c r="X927" s="19" t="s">
        <v>109</v>
      </c>
      <c r="Y927" s="27" t="s">
        <v>133</v>
      </c>
      <c r="Z927" s="27" t="s">
        <v>259</v>
      </c>
      <c r="AA927" s="27" t="s">
        <v>6765</v>
      </c>
      <c r="AB927" s="27" t="s">
        <v>6766</v>
      </c>
      <c r="AC927" s="37" t="s">
        <v>6767</v>
      </c>
      <c r="AD927" s="38" t="s">
        <v>6768</v>
      </c>
      <c r="AE927" s="36">
        <v>46023</v>
      </c>
      <c r="AF927" s="19" t="s">
        <v>89</v>
      </c>
      <c r="AG927" s="19" t="s">
        <v>90</v>
      </c>
      <c r="AH927" s="19" t="s">
        <v>62</v>
      </c>
      <c r="AI927" s="19" t="s">
        <v>63</v>
      </c>
      <c r="AJ927" s="19" t="s">
        <v>6769</v>
      </c>
      <c r="AK927" s="19"/>
      <c r="AL927" s="19"/>
      <c r="AM927" s="19"/>
      <c r="AN927" s="19" t="s">
        <v>103</v>
      </c>
      <c r="AO927" s="23">
        <v>46030.505555555559</v>
      </c>
      <c r="AP927" s="26">
        <f t="shared" si="32"/>
        <v>5</v>
      </c>
    </row>
    <row r="928" spans="1:42" ht="32.25" hidden="1" customHeight="1">
      <c r="A928" s="19" t="s">
        <v>42</v>
      </c>
      <c r="B928" s="19" t="s">
        <v>6254</v>
      </c>
      <c r="C928" s="19" t="s">
        <v>577</v>
      </c>
      <c r="D928" s="19" t="s">
        <v>45</v>
      </c>
      <c r="E928" s="19" t="s">
        <v>46</v>
      </c>
      <c r="F928" s="19" t="s">
        <v>6770</v>
      </c>
      <c r="G928" s="19" t="s">
        <v>48</v>
      </c>
      <c r="H928" s="19" t="s">
        <v>49</v>
      </c>
      <c r="I928" s="20">
        <v>46030.699305555558</v>
      </c>
      <c r="K928" s="19"/>
      <c r="L928" s="20">
        <v>46030.727777777778</v>
      </c>
      <c r="M928" s="19"/>
      <c r="N928" s="22">
        <f t="shared" si="33"/>
        <v>2.8472222220443655E-2</v>
      </c>
      <c r="O928" s="19" t="s">
        <v>63</v>
      </c>
      <c r="P928" s="19" t="s">
        <v>6771</v>
      </c>
      <c r="Q928" s="19" t="s">
        <v>6772</v>
      </c>
      <c r="R928" s="19"/>
      <c r="S928" s="19"/>
      <c r="U928" s="19"/>
      <c r="W928" s="19"/>
      <c r="X928" s="19" t="s">
        <v>191</v>
      </c>
      <c r="Y928" s="27" t="s">
        <v>147</v>
      </c>
      <c r="Z928" s="27" t="s">
        <v>78</v>
      </c>
      <c r="AA928" s="27" t="s">
        <v>78</v>
      </c>
      <c r="AB928" s="27" t="s">
        <v>147</v>
      </c>
      <c r="AC928" s="37" t="s">
        <v>78</v>
      </c>
      <c r="AD928" s="38" t="s">
        <v>78</v>
      </c>
      <c r="AE928" s="36">
        <v>46023</v>
      </c>
      <c r="AF928" s="19" t="s">
        <v>89</v>
      </c>
      <c r="AG928" s="19" t="s">
        <v>90</v>
      </c>
      <c r="AH928" s="19" t="s">
        <v>62</v>
      </c>
      <c r="AI928" s="19" t="s">
        <v>63</v>
      </c>
      <c r="AJ928" s="19" t="s">
        <v>6773</v>
      </c>
      <c r="AK928" s="19"/>
      <c r="AL928" s="19"/>
      <c r="AM928" s="19"/>
      <c r="AN928" s="19" t="s">
        <v>65</v>
      </c>
      <c r="AO928" s="23">
        <v>46030.699305555558</v>
      </c>
      <c r="AP928" s="26">
        <f t="shared" si="32"/>
        <v>41</v>
      </c>
    </row>
    <row r="929" spans="1:42" ht="32.25" hidden="1" customHeight="1">
      <c r="A929" s="19" t="s">
        <v>285</v>
      </c>
      <c r="B929" s="19" t="s">
        <v>4163</v>
      </c>
      <c r="C929" s="19" t="s">
        <v>6774</v>
      </c>
      <c r="D929" s="19" t="s">
        <v>45</v>
      </c>
      <c r="E929" s="19" t="s">
        <v>46</v>
      </c>
      <c r="F929" s="19" t="s">
        <v>6775</v>
      </c>
      <c r="G929" s="19" t="s">
        <v>48</v>
      </c>
      <c r="H929" s="19" t="s">
        <v>49</v>
      </c>
      <c r="I929" s="20">
        <v>46031.461805555547</v>
      </c>
      <c r="K929" s="19"/>
      <c r="L929" s="20">
        <v>46031.493055555547</v>
      </c>
      <c r="M929" s="19"/>
      <c r="N929" s="22">
        <f t="shared" si="33"/>
        <v>3.125E-2</v>
      </c>
      <c r="O929" s="19" t="s">
        <v>50</v>
      </c>
      <c r="P929" s="19" t="s">
        <v>6776</v>
      </c>
      <c r="Q929" s="19" t="s">
        <v>6777</v>
      </c>
      <c r="R929" s="19"/>
      <c r="S929" s="19"/>
      <c r="U929" s="19"/>
      <c r="W929" s="19"/>
      <c r="X929" s="19" t="s">
        <v>53</v>
      </c>
      <c r="Y929" s="27" t="s">
        <v>54</v>
      </c>
      <c r="Z929" s="27" t="s">
        <v>110</v>
      </c>
      <c r="AA929" s="27" t="s">
        <v>6778</v>
      </c>
      <c r="AB929" s="27" t="s">
        <v>6779</v>
      </c>
      <c r="AC929" s="37" t="s">
        <v>6780</v>
      </c>
      <c r="AD929" s="38" t="s">
        <v>6781</v>
      </c>
      <c r="AE929" s="36">
        <v>46023</v>
      </c>
      <c r="AF929" s="19" t="s">
        <v>293</v>
      </c>
      <c r="AG929" s="19" t="s">
        <v>307</v>
      </c>
      <c r="AH929" s="19" t="s">
        <v>62</v>
      </c>
      <c r="AI929" s="19" t="s">
        <v>63</v>
      </c>
      <c r="AJ929" s="19" t="s">
        <v>6782</v>
      </c>
      <c r="AK929" s="19"/>
      <c r="AL929" s="19"/>
      <c r="AM929" s="19"/>
      <c r="AN929" s="19" t="s">
        <v>65</v>
      </c>
      <c r="AO929" s="23">
        <v>46031.477083333331</v>
      </c>
      <c r="AP929" s="26">
        <f t="shared" si="32"/>
        <v>45</v>
      </c>
    </row>
    <row r="930" spans="1:42" ht="32.25" hidden="1" customHeight="1">
      <c r="A930" s="19" t="s">
        <v>285</v>
      </c>
      <c r="B930" s="19" t="s">
        <v>6783</v>
      </c>
      <c r="C930" s="19" t="s">
        <v>6784</v>
      </c>
      <c r="D930" s="19" t="s">
        <v>45</v>
      </c>
      <c r="E930" s="19" t="s">
        <v>46</v>
      </c>
      <c r="F930" s="19" t="s">
        <v>6785</v>
      </c>
      <c r="G930" s="19" t="s">
        <v>48</v>
      </c>
      <c r="H930" s="19" t="s">
        <v>49</v>
      </c>
      <c r="I930" s="20">
        <v>46031.46597222222</v>
      </c>
      <c r="K930" s="19"/>
      <c r="L930" s="20">
        <v>46031.833333333343</v>
      </c>
      <c r="M930" s="19"/>
      <c r="N930" s="22">
        <f t="shared" si="33"/>
        <v>0.36736111112259096</v>
      </c>
      <c r="O930" s="19" t="s">
        <v>50</v>
      </c>
      <c r="P930" s="19" t="s">
        <v>6786</v>
      </c>
      <c r="Q930" s="19" t="s">
        <v>6787</v>
      </c>
      <c r="R930" s="19" t="s">
        <v>6788</v>
      </c>
      <c r="S930" s="19"/>
      <c r="U930" s="19"/>
      <c r="W930" s="19"/>
      <c r="X930" s="19" t="s">
        <v>314</v>
      </c>
      <c r="Y930" s="27" t="s">
        <v>54</v>
      </c>
      <c r="Z930" s="27" t="s">
        <v>6789</v>
      </c>
      <c r="AA930" s="27" t="s">
        <v>6790</v>
      </c>
      <c r="AB930" s="27" t="s">
        <v>6791</v>
      </c>
      <c r="AC930" s="37" t="s">
        <v>6792</v>
      </c>
      <c r="AD930" s="38" t="s">
        <v>6793</v>
      </c>
      <c r="AE930" s="36">
        <v>46023</v>
      </c>
      <c r="AF930" s="19" t="s">
        <v>293</v>
      </c>
      <c r="AG930" s="19" t="s">
        <v>294</v>
      </c>
      <c r="AH930" s="19" t="s">
        <v>62</v>
      </c>
      <c r="AI930" s="19" t="s">
        <v>63</v>
      </c>
      <c r="AJ930" s="19" t="s">
        <v>6794</v>
      </c>
      <c r="AK930" s="19"/>
      <c r="AL930" s="19"/>
      <c r="AM930" s="19"/>
      <c r="AN930" s="19" t="s">
        <v>65</v>
      </c>
      <c r="AO930" s="23">
        <v>46031.46597222222</v>
      </c>
      <c r="AP930" s="26">
        <f t="shared" si="32"/>
        <v>529</v>
      </c>
    </row>
    <row r="931" spans="1:42" ht="32.25" hidden="1" customHeight="1">
      <c r="A931" s="19" t="s">
        <v>42</v>
      </c>
      <c r="B931" s="19" t="s">
        <v>1407</v>
      </c>
      <c r="C931" s="19" t="s">
        <v>1408</v>
      </c>
      <c r="D931" s="19" t="s">
        <v>45</v>
      </c>
      <c r="E931" s="19" t="s">
        <v>46</v>
      </c>
      <c r="F931" s="19" t="s">
        <v>6795</v>
      </c>
      <c r="G931" s="19" t="s">
        <v>48</v>
      </c>
      <c r="H931" s="19" t="s">
        <v>49</v>
      </c>
      <c r="I931" s="20">
        <v>46031.668055555558</v>
      </c>
      <c r="K931" s="19"/>
      <c r="L931" s="20">
        <v>46031.680555555547</v>
      </c>
      <c r="M931" s="19"/>
      <c r="N931" s="22">
        <f t="shared" si="33"/>
        <v>1.2499999989813659E-2</v>
      </c>
      <c r="O931" s="19" t="s">
        <v>50</v>
      </c>
      <c r="P931" s="19" t="s">
        <v>6796</v>
      </c>
      <c r="Q931" s="19" t="s">
        <v>6797</v>
      </c>
      <c r="R931" s="19"/>
      <c r="S931" s="19"/>
      <c r="U931" s="19"/>
      <c r="W931" s="19"/>
      <c r="X931" s="19" t="s">
        <v>1412</v>
      </c>
      <c r="Y931" s="27" t="s">
        <v>54</v>
      </c>
      <c r="Z931" s="27" t="s">
        <v>838</v>
      </c>
      <c r="AA931" s="27" t="s">
        <v>6798</v>
      </c>
      <c r="AB931" s="27" t="s">
        <v>6799</v>
      </c>
      <c r="AC931" s="37" t="s">
        <v>6800</v>
      </c>
      <c r="AD931" s="38" t="s">
        <v>6801</v>
      </c>
      <c r="AE931" s="36">
        <v>46023</v>
      </c>
      <c r="AF931" s="19" t="s">
        <v>78</v>
      </c>
      <c r="AG931" s="19" t="s">
        <v>78</v>
      </c>
      <c r="AH931" s="19" t="s">
        <v>62</v>
      </c>
      <c r="AI931" s="19" t="s">
        <v>63</v>
      </c>
      <c r="AJ931" s="19" t="s">
        <v>6802</v>
      </c>
      <c r="AK931" s="19"/>
      <c r="AL931" s="19"/>
      <c r="AM931" s="19"/>
      <c r="AN931" s="19" t="s">
        <v>65</v>
      </c>
      <c r="AO931" s="23">
        <v>46031.668055555558</v>
      </c>
      <c r="AP931" s="26">
        <f t="shared" si="32"/>
        <v>18</v>
      </c>
    </row>
    <row r="932" spans="1:42" ht="32.25" hidden="1" customHeight="1">
      <c r="A932" s="19" t="s">
        <v>285</v>
      </c>
      <c r="B932" s="19" t="s">
        <v>3892</v>
      </c>
      <c r="C932" s="19" t="s">
        <v>3893</v>
      </c>
      <c r="D932" s="19" t="s">
        <v>45</v>
      </c>
      <c r="E932" s="19" t="s">
        <v>46</v>
      </c>
      <c r="F932" s="19" t="s">
        <v>6803</v>
      </c>
      <c r="G932" s="19" t="s">
        <v>48</v>
      </c>
      <c r="H932" s="19" t="s">
        <v>49</v>
      </c>
      <c r="I932" s="20">
        <v>46031.779166666667</v>
      </c>
      <c r="K932" s="19"/>
      <c r="L932" s="20">
        <v>46031.788194444453</v>
      </c>
      <c r="M932" s="19"/>
      <c r="N932" s="22">
        <f t="shared" si="33"/>
        <v>9.0277777853771113E-3</v>
      </c>
      <c r="O932" s="19" t="s">
        <v>50</v>
      </c>
      <c r="P932" s="19" t="s">
        <v>6804</v>
      </c>
      <c r="Q932" s="19" t="s">
        <v>6805</v>
      </c>
      <c r="R932" s="19" t="s">
        <v>6806</v>
      </c>
      <c r="S932" s="19" t="s">
        <v>6807</v>
      </c>
      <c r="T932" s="20">
        <v>46034.539780092593</v>
      </c>
      <c r="U932" s="19">
        <v>46038.675196759257</v>
      </c>
      <c r="V932" s="19" t="s">
        <v>157</v>
      </c>
      <c r="W932" s="19"/>
      <c r="X932" s="19" t="s">
        <v>1589</v>
      </c>
      <c r="Y932" s="27" t="s">
        <v>133</v>
      </c>
      <c r="Z932" s="27" t="s">
        <v>915</v>
      </c>
      <c r="AA932" s="27" t="s">
        <v>6808</v>
      </c>
      <c r="AB932" s="27" t="s">
        <v>6809</v>
      </c>
      <c r="AC932" s="37" t="s">
        <v>6810</v>
      </c>
      <c r="AD932" s="38" t="s">
        <v>6811</v>
      </c>
      <c r="AE932" s="36">
        <v>46023</v>
      </c>
      <c r="AF932" s="19" t="s">
        <v>293</v>
      </c>
      <c r="AG932" s="19" t="s">
        <v>307</v>
      </c>
      <c r="AH932" s="19" t="s">
        <v>164</v>
      </c>
      <c r="AI932" s="19" t="s">
        <v>63</v>
      </c>
      <c r="AJ932" s="19" t="s">
        <v>6812</v>
      </c>
      <c r="AK932" s="19"/>
      <c r="AL932" s="19"/>
      <c r="AM932" s="19"/>
      <c r="AN932" s="19" t="s">
        <v>65</v>
      </c>
      <c r="AO932" s="23">
        <v>46031.779166666667</v>
      </c>
      <c r="AP932" s="26">
        <f t="shared" si="32"/>
        <v>13</v>
      </c>
    </row>
    <row r="933" spans="1:42" ht="32.25" hidden="1" customHeight="1">
      <c r="A933" s="19" t="s">
        <v>42</v>
      </c>
      <c r="C933" s="19" t="s">
        <v>6813</v>
      </c>
      <c r="D933" s="19" t="s">
        <v>45</v>
      </c>
      <c r="E933" s="19" t="s">
        <v>46</v>
      </c>
      <c r="F933" s="19" t="s">
        <v>6814</v>
      </c>
      <c r="G933" s="19" t="s">
        <v>48</v>
      </c>
      <c r="H933" s="19" t="s">
        <v>49</v>
      </c>
      <c r="I933" s="20">
        <v>46032.2</v>
      </c>
      <c r="K933" s="19"/>
      <c r="L933" s="20">
        <v>46032.236111111109</v>
      </c>
      <c r="M933" s="19"/>
      <c r="N933" s="22">
        <f t="shared" si="33"/>
        <v>3.6111111112404615E-2</v>
      </c>
      <c r="O933" s="19" t="s">
        <v>63</v>
      </c>
      <c r="P933" s="19" t="s">
        <v>6815</v>
      </c>
      <c r="Q933" s="19" t="s">
        <v>6816</v>
      </c>
      <c r="R933" s="19"/>
      <c r="S933" s="19"/>
      <c r="U933" s="19"/>
      <c r="W933" s="19"/>
      <c r="X933" s="19" t="s">
        <v>122</v>
      </c>
      <c r="Y933" s="27" t="s">
        <v>54</v>
      </c>
      <c r="Z933" s="27" t="s">
        <v>6817</v>
      </c>
      <c r="AA933" s="27" t="s">
        <v>6818</v>
      </c>
      <c r="AB933" s="27" t="s">
        <v>6819</v>
      </c>
      <c r="AC933" s="37" t="s">
        <v>6820</v>
      </c>
      <c r="AD933" s="38" t="s">
        <v>6821</v>
      </c>
      <c r="AE933" s="36">
        <v>46023</v>
      </c>
      <c r="AF933" s="19" t="s">
        <v>78</v>
      </c>
      <c r="AG933" s="19" t="s">
        <v>78</v>
      </c>
      <c r="AH933" s="19" t="s">
        <v>62</v>
      </c>
      <c r="AI933" s="19" t="s">
        <v>63</v>
      </c>
      <c r="AJ933" s="19" t="s">
        <v>6822</v>
      </c>
      <c r="AK933" s="19"/>
      <c r="AL933" s="19"/>
      <c r="AM933" s="19"/>
      <c r="AN933" s="19" t="s">
        <v>65</v>
      </c>
      <c r="AO933" s="23">
        <v>46032.2</v>
      </c>
      <c r="AP933" s="26">
        <f t="shared" si="32"/>
        <v>52</v>
      </c>
    </row>
    <row r="934" spans="1:42" ht="32.25" hidden="1" customHeight="1">
      <c r="A934" s="19" t="s">
        <v>42</v>
      </c>
      <c r="B934" s="19" t="s">
        <v>3388</v>
      </c>
      <c r="C934" s="19" t="s">
        <v>129</v>
      </c>
      <c r="D934" s="19" t="s">
        <v>45</v>
      </c>
      <c r="E934" s="19" t="s">
        <v>46</v>
      </c>
      <c r="F934" s="19" t="s">
        <v>6823</v>
      </c>
      <c r="G934" s="19" t="s">
        <v>48</v>
      </c>
      <c r="H934" s="19" t="s">
        <v>49</v>
      </c>
      <c r="I934" s="20">
        <v>46032.504861111112</v>
      </c>
      <c r="K934" s="19"/>
      <c r="L934" s="20">
        <v>46032.534722222219</v>
      </c>
      <c r="M934" s="19"/>
      <c r="N934" s="22">
        <f t="shared" si="33"/>
        <v>2.9861111106583849E-2</v>
      </c>
      <c r="O934" s="19" t="s">
        <v>50</v>
      </c>
      <c r="P934" s="19" t="s">
        <v>3756</v>
      </c>
      <c r="Q934" s="19" t="s">
        <v>6824</v>
      </c>
      <c r="R934" s="19"/>
      <c r="S934" s="19"/>
      <c r="U934" s="19"/>
      <c r="W934" s="19"/>
      <c r="X934" s="19" t="s">
        <v>620</v>
      </c>
      <c r="Y934" s="27" t="s">
        <v>54</v>
      </c>
      <c r="Z934" s="27" t="s">
        <v>5408</v>
      </c>
      <c r="AA934" s="27" t="s">
        <v>6825</v>
      </c>
      <c r="AB934" s="27" t="s">
        <v>6826</v>
      </c>
      <c r="AC934" s="37" t="s">
        <v>6827</v>
      </c>
      <c r="AD934" s="38" t="s">
        <v>6828</v>
      </c>
      <c r="AE934" s="36">
        <v>46023</v>
      </c>
      <c r="AF934" s="19" t="s">
        <v>60</v>
      </c>
      <c r="AG934" s="19" t="s">
        <v>61</v>
      </c>
      <c r="AH934" s="19" t="s">
        <v>62</v>
      </c>
      <c r="AI934" s="19" t="s">
        <v>63</v>
      </c>
      <c r="AJ934" s="19" t="s">
        <v>6829</v>
      </c>
      <c r="AK934" s="19"/>
      <c r="AL934" s="19"/>
      <c r="AM934" s="19"/>
      <c r="AN934" s="19" t="s">
        <v>103</v>
      </c>
      <c r="AO934" s="23">
        <v>46032.504861111112</v>
      </c>
      <c r="AP934" s="26">
        <f t="shared" si="32"/>
        <v>43</v>
      </c>
    </row>
    <row r="935" spans="1:42" ht="32.25" hidden="1" customHeight="1">
      <c r="A935" s="19" t="s">
        <v>42</v>
      </c>
      <c r="B935" s="19" t="s">
        <v>1584</v>
      </c>
      <c r="C935" s="19" t="s">
        <v>2470</v>
      </c>
      <c r="D935" s="19" t="s">
        <v>45</v>
      </c>
      <c r="E935" s="19" t="s">
        <v>356</v>
      </c>
      <c r="F935" s="19" t="s">
        <v>6830</v>
      </c>
      <c r="G935" s="19" t="s">
        <v>48</v>
      </c>
      <c r="H935" s="19" t="s">
        <v>49</v>
      </c>
      <c r="I935" s="20">
        <v>46032.638888888891</v>
      </c>
      <c r="K935" s="19"/>
      <c r="L935" s="20">
        <v>46032.649305555547</v>
      </c>
      <c r="M935" s="19"/>
      <c r="N935" s="22">
        <f t="shared" si="33"/>
        <v>1.041666665696539E-2</v>
      </c>
      <c r="O935" s="19" t="s">
        <v>50</v>
      </c>
      <c r="P935" s="19" t="s">
        <v>6831</v>
      </c>
      <c r="Q935" s="19" t="s">
        <v>6832</v>
      </c>
      <c r="R935" s="19"/>
      <c r="S935" s="19"/>
      <c r="U935" s="19"/>
      <c r="W935" s="19"/>
      <c r="X935" s="19" t="s">
        <v>1589</v>
      </c>
      <c r="Y935" s="27" t="s">
        <v>133</v>
      </c>
      <c r="Z935" s="27" t="s">
        <v>259</v>
      </c>
      <c r="AA935" s="27" t="s">
        <v>6833</v>
      </c>
      <c r="AB935" s="27" t="s">
        <v>6834</v>
      </c>
      <c r="AC935" s="37" t="s">
        <v>6835</v>
      </c>
      <c r="AD935" s="38" t="s">
        <v>6836</v>
      </c>
      <c r="AE935" s="36">
        <v>46023</v>
      </c>
      <c r="AF935" s="19" t="s">
        <v>60</v>
      </c>
      <c r="AG935" s="19" t="s">
        <v>78</v>
      </c>
      <c r="AH935" s="19" t="s">
        <v>78</v>
      </c>
      <c r="AI935" s="19" t="s">
        <v>63</v>
      </c>
      <c r="AJ935" s="19" t="s">
        <v>6837</v>
      </c>
      <c r="AK935" s="19"/>
      <c r="AL935" s="19"/>
      <c r="AM935" s="19"/>
      <c r="AN935" s="19" t="s">
        <v>128</v>
      </c>
      <c r="AO935" s="23">
        <v>46032.652083333327</v>
      </c>
      <c r="AP935" s="26">
        <f t="shared" si="32"/>
        <v>15</v>
      </c>
    </row>
    <row r="936" spans="1:42" ht="32.25" hidden="1" customHeight="1">
      <c r="A936" s="19" t="s">
        <v>42</v>
      </c>
      <c r="B936" s="19" t="s">
        <v>6511</v>
      </c>
      <c r="C936" s="19" t="s">
        <v>336</v>
      </c>
      <c r="D936" s="19" t="s">
        <v>45</v>
      </c>
      <c r="E936" s="19" t="s">
        <v>46</v>
      </c>
      <c r="F936" s="19" t="s">
        <v>6838</v>
      </c>
      <c r="G936" s="19" t="s">
        <v>48</v>
      </c>
      <c r="H936" s="19" t="s">
        <v>49</v>
      </c>
      <c r="I936" s="20">
        <v>46033.015277777777</v>
      </c>
      <c r="K936" s="19"/>
      <c r="L936" s="20">
        <v>46033.061805555553</v>
      </c>
      <c r="M936" s="19"/>
      <c r="N936" s="22">
        <f t="shared" si="33"/>
        <v>4.6527777776645962E-2</v>
      </c>
      <c r="O936" s="19" t="s">
        <v>63</v>
      </c>
      <c r="P936" s="19" t="s">
        <v>6839</v>
      </c>
      <c r="Q936" s="19" t="s">
        <v>6840</v>
      </c>
      <c r="R936" s="19"/>
      <c r="S936" s="19"/>
      <c r="U936" s="19"/>
      <c r="W936" s="19"/>
      <c r="X936" s="19" t="s">
        <v>314</v>
      </c>
      <c r="Y936" s="27" t="s">
        <v>133</v>
      </c>
      <c r="Z936" s="27" t="s">
        <v>838</v>
      </c>
      <c r="AA936" s="27" t="s">
        <v>6841</v>
      </c>
      <c r="AB936" s="27" t="s">
        <v>6842</v>
      </c>
      <c r="AC936" s="37" t="s">
        <v>6843</v>
      </c>
      <c r="AD936" s="38" t="s">
        <v>6844</v>
      </c>
      <c r="AE936" s="36">
        <v>46023</v>
      </c>
      <c r="AF936" s="19" t="s">
        <v>60</v>
      </c>
      <c r="AG936" s="19" t="s">
        <v>61</v>
      </c>
      <c r="AH936" s="19" t="s">
        <v>62</v>
      </c>
      <c r="AI936" s="19" t="s">
        <v>63</v>
      </c>
      <c r="AJ936" s="19" t="s">
        <v>6845</v>
      </c>
      <c r="AK936" s="19"/>
      <c r="AL936" s="19"/>
      <c r="AM936" s="19"/>
      <c r="AN936" s="19" t="s">
        <v>65</v>
      </c>
      <c r="AO936" s="23">
        <v>46033.015277777777</v>
      </c>
      <c r="AP936" s="26">
        <f t="shared" si="32"/>
        <v>67</v>
      </c>
    </row>
    <row r="937" spans="1:42" ht="32.25" customHeight="1">
      <c r="A937" s="19" t="s">
        <v>42</v>
      </c>
      <c r="B937" s="19" t="s">
        <v>6846</v>
      </c>
      <c r="C937" s="19" t="s">
        <v>6847</v>
      </c>
      <c r="D937" s="19" t="s">
        <v>45</v>
      </c>
      <c r="E937" s="19" t="s">
        <v>46</v>
      </c>
      <c r="F937" s="19" t="s">
        <v>6848</v>
      </c>
      <c r="G937" s="19" t="s">
        <v>48</v>
      </c>
      <c r="H937" s="19" t="s">
        <v>152</v>
      </c>
      <c r="I937" s="20">
        <v>46033.588888888888</v>
      </c>
      <c r="J937" s="20">
        <v>46033.636805555558</v>
      </c>
      <c r="K937" s="19"/>
      <c r="L937" s="20">
        <v>46033.708333333343</v>
      </c>
      <c r="M937" s="19"/>
      <c r="N937" s="22">
        <f t="shared" si="33"/>
        <v>0.11944444445543922</v>
      </c>
      <c r="O937" s="19" t="s">
        <v>63</v>
      </c>
      <c r="P937" s="19" t="s">
        <v>6849</v>
      </c>
      <c r="Q937" s="19" t="s">
        <v>6850</v>
      </c>
      <c r="R937" s="19" t="s">
        <v>6851</v>
      </c>
      <c r="S937" s="19" t="s">
        <v>6852</v>
      </c>
      <c r="T937" s="20">
        <v>46033.858182870368</v>
      </c>
      <c r="U937" s="19">
        <v>46041.718055555553</v>
      </c>
      <c r="V937" s="19" t="s">
        <v>157</v>
      </c>
      <c r="W937" s="19"/>
      <c r="X937" s="19" t="s">
        <v>746</v>
      </c>
      <c r="Y937" s="27" t="s">
        <v>54</v>
      </c>
      <c r="Z937" s="27" t="s">
        <v>6853</v>
      </c>
      <c r="AA937" s="27" t="s">
        <v>6854</v>
      </c>
      <c r="AB937" s="27" t="s">
        <v>6855</v>
      </c>
      <c r="AC937" s="37" t="s">
        <v>6856</v>
      </c>
      <c r="AD937" s="38" t="s">
        <v>6857</v>
      </c>
      <c r="AE937" s="36">
        <v>46023</v>
      </c>
      <c r="AF937" s="19" t="s">
        <v>60</v>
      </c>
      <c r="AG937" s="19" t="s">
        <v>78</v>
      </c>
      <c r="AH937" s="19" t="s">
        <v>78</v>
      </c>
      <c r="AI937" s="19" t="s">
        <v>63</v>
      </c>
      <c r="AJ937" s="19" t="s">
        <v>6858</v>
      </c>
      <c r="AK937" s="19"/>
      <c r="AL937" s="19"/>
      <c r="AM937" s="19"/>
      <c r="AN937" s="19" t="s">
        <v>103</v>
      </c>
      <c r="AO937" s="23">
        <v>46033.586111111108</v>
      </c>
      <c r="AP937" s="26">
        <f t="shared" si="32"/>
        <v>172</v>
      </c>
    </row>
    <row r="938" spans="1:42" ht="32.25" customHeight="1">
      <c r="A938" s="19" t="s">
        <v>42</v>
      </c>
      <c r="B938" s="19" t="s">
        <v>3388</v>
      </c>
      <c r="C938" s="19" t="s">
        <v>6859</v>
      </c>
      <c r="D938" s="19" t="s">
        <v>45</v>
      </c>
      <c r="E938" s="19" t="s">
        <v>356</v>
      </c>
      <c r="F938" s="19" t="s">
        <v>6860</v>
      </c>
      <c r="G938" s="19" t="s">
        <v>48</v>
      </c>
      <c r="H938" s="19" t="s">
        <v>152</v>
      </c>
      <c r="I938" s="20">
        <v>46034.464583333327</v>
      </c>
      <c r="J938" s="20">
        <v>46034.520833333343</v>
      </c>
      <c r="K938" s="19"/>
      <c r="L938" s="20">
        <v>46034.527777777781</v>
      </c>
      <c r="M938" s="19"/>
      <c r="N938" s="22">
        <f t="shared" si="33"/>
        <v>6.3194444453984033E-2</v>
      </c>
      <c r="O938" s="19" t="s">
        <v>50</v>
      </c>
      <c r="P938" s="19" t="s">
        <v>6861</v>
      </c>
      <c r="Q938" s="19" t="s">
        <v>6862</v>
      </c>
      <c r="R938" s="19" t="s">
        <v>6863</v>
      </c>
      <c r="S938" s="19" t="s">
        <v>6864</v>
      </c>
      <c r="T938" s="20">
        <v>46034.472916666673</v>
      </c>
      <c r="U938" s="19">
        <v>46038.635833333326</v>
      </c>
      <c r="V938" s="19" t="s">
        <v>157</v>
      </c>
      <c r="W938" s="19"/>
      <c r="X938" s="19" t="s">
        <v>1217</v>
      </c>
      <c r="Y938" s="27" t="s">
        <v>54</v>
      </c>
      <c r="Z938" s="27" t="s">
        <v>414</v>
      </c>
      <c r="AA938" s="27" t="s">
        <v>6865</v>
      </c>
      <c r="AB938" s="27" t="s">
        <v>6866</v>
      </c>
      <c r="AC938" s="37">
        <v>46034.433263888888</v>
      </c>
      <c r="AD938" s="38">
        <v>46034.439583333333</v>
      </c>
      <c r="AE938" s="36">
        <v>46023</v>
      </c>
      <c r="AF938" s="19" t="s">
        <v>60</v>
      </c>
      <c r="AG938" s="19" t="s">
        <v>61</v>
      </c>
      <c r="AH938" s="19" t="s">
        <v>62</v>
      </c>
      <c r="AI938" s="19" t="s">
        <v>63</v>
      </c>
      <c r="AJ938" s="19" t="s">
        <v>6867</v>
      </c>
      <c r="AK938" s="19"/>
      <c r="AL938" s="19"/>
      <c r="AM938" s="19"/>
      <c r="AN938" s="19" t="s">
        <v>103</v>
      </c>
      <c r="AO938" s="23">
        <v>46034.464583333327</v>
      </c>
      <c r="AP938" s="26">
        <f t="shared" si="32"/>
        <v>91</v>
      </c>
    </row>
    <row r="939" spans="1:42" ht="32.25" hidden="1" customHeight="1">
      <c r="A939" s="19" t="s">
        <v>42</v>
      </c>
      <c r="B939" s="19" t="s">
        <v>1917</v>
      </c>
      <c r="C939" s="19" t="s">
        <v>1021</v>
      </c>
      <c r="D939" s="19" t="s">
        <v>45</v>
      </c>
      <c r="E939" s="19" t="s">
        <v>46</v>
      </c>
      <c r="F939" s="19" t="s">
        <v>6868</v>
      </c>
      <c r="G939" s="19" t="s">
        <v>48</v>
      </c>
      <c r="H939" s="19" t="s">
        <v>49</v>
      </c>
      <c r="I939" s="20">
        <v>46034.506249999999</v>
      </c>
      <c r="K939" s="19"/>
      <c r="L939" s="20">
        <v>46034.572916666657</v>
      </c>
      <c r="M939" s="19"/>
      <c r="N939" s="22">
        <f t="shared" si="33"/>
        <v>6.6666666658420581E-2</v>
      </c>
      <c r="O939" s="19" t="s">
        <v>50</v>
      </c>
      <c r="P939" s="19" t="s">
        <v>5169</v>
      </c>
      <c r="Q939" s="19" t="s">
        <v>3429</v>
      </c>
      <c r="R939" s="19"/>
      <c r="S939" s="19"/>
      <c r="U939" s="19"/>
      <c r="W939" s="19"/>
      <c r="X939" s="19" t="s">
        <v>109</v>
      </c>
      <c r="Y939" s="27" t="s">
        <v>147</v>
      </c>
      <c r="Z939" s="27" t="s">
        <v>78</v>
      </c>
      <c r="AA939" s="27" t="s">
        <v>78</v>
      </c>
      <c r="AB939" s="27" t="s">
        <v>147</v>
      </c>
      <c r="AC939" s="37" t="s">
        <v>78</v>
      </c>
      <c r="AD939" s="38" t="s">
        <v>78</v>
      </c>
      <c r="AE939" s="36">
        <v>46023</v>
      </c>
      <c r="AF939" s="19" t="s">
        <v>60</v>
      </c>
      <c r="AG939" s="19" t="s">
        <v>78</v>
      </c>
      <c r="AH939" s="19" t="s">
        <v>78</v>
      </c>
      <c r="AI939" s="19" t="s">
        <v>63</v>
      </c>
      <c r="AJ939" s="19" t="s">
        <v>6869</v>
      </c>
      <c r="AK939" s="19"/>
      <c r="AL939" s="19"/>
      <c r="AM939" s="19"/>
      <c r="AN939" s="19" t="s">
        <v>103</v>
      </c>
      <c r="AO939" s="23">
        <v>46034.506249999999</v>
      </c>
      <c r="AP939" s="26">
        <f t="shared" si="32"/>
        <v>96</v>
      </c>
    </row>
    <row r="940" spans="1:42" ht="32.25" hidden="1" customHeight="1">
      <c r="A940" s="19" t="s">
        <v>42</v>
      </c>
      <c r="C940" s="19" t="s">
        <v>105</v>
      </c>
      <c r="D940" s="19" t="s">
        <v>45</v>
      </c>
      <c r="E940" s="19" t="s">
        <v>46</v>
      </c>
      <c r="F940" s="19" t="s">
        <v>6870</v>
      </c>
      <c r="G940" s="19" t="s">
        <v>48</v>
      </c>
      <c r="H940" s="19" t="s">
        <v>49</v>
      </c>
      <c r="I940" s="20">
        <v>46035.387499999997</v>
      </c>
      <c r="K940" s="19"/>
      <c r="L940" s="20">
        <v>46035.472222222219</v>
      </c>
      <c r="M940" s="19"/>
      <c r="N940" s="22">
        <f t="shared" si="33"/>
        <v>8.4722222221898846E-2</v>
      </c>
      <c r="O940" s="19" t="s">
        <v>50</v>
      </c>
      <c r="P940" s="19" t="s">
        <v>2403</v>
      </c>
      <c r="Q940" s="19" t="s">
        <v>6871</v>
      </c>
      <c r="R940" s="19"/>
      <c r="S940" s="19"/>
      <c r="U940" s="19"/>
      <c r="W940" s="19"/>
      <c r="X940" s="19" t="s">
        <v>109</v>
      </c>
      <c r="Y940" s="27" t="s">
        <v>54</v>
      </c>
      <c r="Z940" s="27" t="s">
        <v>414</v>
      </c>
      <c r="AA940" s="27" t="s">
        <v>6872</v>
      </c>
      <c r="AB940" s="27" t="s">
        <v>6873</v>
      </c>
      <c r="AC940" s="37">
        <v>46035.427777777782</v>
      </c>
      <c r="AD940" s="38">
        <v>46035.490277777782</v>
      </c>
      <c r="AE940" s="36">
        <v>46023</v>
      </c>
      <c r="AF940" s="19" t="s">
        <v>89</v>
      </c>
      <c r="AG940" s="19" t="s">
        <v>61</v>
      </c>
      <c r="AH940" s="19" t="s">
        <v>62</v>
      </c>
      <c r="AI940" s="19" t="s">
        <v>63</v>
      </c>
      <c r="AJ940" s="19" t="s">
        <v>6874</v>
      </c>
      <c r="AK940" s="19"/>
      <c r="AL940" s="19"/>
      <c r="AM940" s="19"/>
      <c r="AN940" s="19" t="s">
        <v>103</v>
      </c>
      <c r="AO940" s="23">
        <v>46035.387499999997</v>
      </c>
      <c r="AP940" s="26">
        <f t="shared" si="32"/>
        <v>122</v>
      </c>
    </row>
    <row r="941" spans="1:42" ht="32.25" hidden="1" customHeight="1">
      <c r="A941" s="19" t="s">
        <v>42</v>
      </c>
      <c r="B941" s="19" t="s">
        <v>2605</v>
      </c>
      <c r="C941" s="19" t="s">
        <v>2606</v>
      </c>
      <c r="D941" s="19" t="s">
        <v>45</v>
      </c>
      <c r="E941" s="19" t="s">
        <v>46</v>
      </c>
      <c r="F941" s="19" t="s">
        <v>6875</v>
      </c>
      <c r="G941" s="19" t="s">
        <v>48</v>
      </c>
      <c r="H941" s="19" t="s">
        <v>49</v>
      </c>
      <c r="I941" s="20">
        <v>46035.576388888891</v>
      </c>
      <c r="K941" s="19"/>
      <c r="L941" s="20">
        <v>46035.579861111109</v>
      </c>
      <c r="M941" s="19"/>
      <c r="N941" s="22">
        <f t="shared" si="33"/>
        <v>3.4722222189884633E-3</v>
      </c>
      <c r="O941" s="19" t="s">
        <v>50</v>
      </c>
      <c r="P941" s="19" t="s">
        <v>6876</v>
      </c>
      <c r="Q941" s="19" t="s">
        <v>6877</v>
      </c>
      <c r="R941" s="19"/>
      <c r="S941" s="19"/>
      <c r="U941" s="19"/>
      <c r="W941" s="19"/>
      <c r="X941" s="19" t="s">
        <v>1412</v>
      </c>
      <c r="Y941" s="27" t="s">
        <v>54</v>
      </c>
      <c r="Z941" s="27" t="s">
        <v>209</v>
      </c>
      <c r="AA941" s="27" t="s">
        <v>6878</v>
      </c>
      <c r="AB941" s="27" t="s">
        <v>6879</v>
      </c>
      <c r="AC941" s="37">
        <v>46035.578472222223</v>
      </c>
      <c r="AD941" s="38">
        <v>46035.578472222223</v>
      </c>
      <c r="AE941" s="36">
        <v>46023</v>
      </c>
      <c r="AF941" s="19" t="s">
        <v>89</v>
      </c>
      <c r="AG941" s="19" t="s">
        <v>61</v>
      </c>
      <c r="AH941" s="19" t="s">
        <v>62</v>
      </c>
      <c r="AI941" s="19" t="s">
        <v>63</v>
      </c>
      <c r="AJ941" s="19" t="s">
        <v>6880</v>
      </c>
      <c r="AK941" s="19"/>
      <c r="AL941" s="19"/>
      <c r="AM941" s="19"/>
      <c r="AN941" s="19" t="s">
        <v>65</v>
      </c>
      <c r="AO941" s="23">
        <v>46035.576388888891</v>
      </c>
      <c r="AP941" s="26">
        <f t="shared" si="32"/>
        <v>5</v>
      </c>
    </row>
    <row r="942" spans="1:42" ht="32.25" hidden="1" customHeight="1">
      <c r="A942" s="19" t="s">
        <v>42</v>
      </c>
      <c r="B942" s="19" t="s">
        <v>3843</v>
      </c>
      <c r="C942" s="19" t="s">
        <v>336</v>
      </c>
      <c r="D942" s="19" t="s">
        <v>45</v>
      </c>
      <c r="E942" s="19" t="s">
        <v>46</v>
      </c>
      <c r="F942" s="19" t="s">
        <v>6881</v>
      </c>
      <c r="G942" s="19" t="s">
        <v>48</v>
      </c>
      <c r="H942" s="19" t="s">
        <v>49</v>
      </c>
      <c r="I942" s="20">
        <v>46035.945138888892</v>
      </c>
      <c r="K942" s="19"/>
      <c r="L942" s="20">
        <v>46035.956944444442</v>
      </c>
      <c r="M942" s="19"/>
      <c r="N942" s="22">
        <f t="shared" si="33"/>
        <v>1.1805555550381541E-2</v>
      </c>
      <c r="O942" s="19" t="s">
        <v>50</v>
      </c>
      <c r="P942" s="19" t="s">
        <v>6882</v>
      </c>
      <c r="Q942" s="19" t="s">
        <v>6883</v>
      </c>
      <c r="R942" s="19"/>
      <c r="S942" s="19"/>
      <c r="U942" s="19"/>
      <c r="W942" s="19"/>
      <c r="X942" s="19" t="s">
        <v>314</v>
      </c>
      <c r="Y942" s="27" t="s">
        <v>133</v>
      </c>
      <c r="Z942" s="27" t="s">
        <v>123</v>
      </c>
      <c r="AA942" s="27" t="s">
        <v>6884</v>
      </c>
      <c r="AB942" s="27" t="s">
        <v>6885</v>
      </c>
      <c r="AC942" s="37">
        <v>46035.936018518521</v>
      </c>
      <c r="AD942" s="38">
        <v>46035.955520833333</v>
      </c>
      <c r="AE942" s="36">
        <v>46023</v>
      </c>
      <c r="AF942" s="19" t="s">
        <v>78</v>
      </c>
      <c r="AG942" s="19" t="s">
        <v>78</v>
      </c>
      <c r="AH942" s="19" t="s">
        <v>78</v>
      </c>
      <c r="AI942" s="19" t="s">
        <v>63</v>
      </c>
      <c r="AJ942" s="19" t="s">
        <v>6886</v>
      </c>
      <c r="AK942" s="19"/>
      <c r="AL942" s="19"/>
      <c r="AM942" s="19"/>
      <c r="AN942" s="19" t="s">
        <v>103</v>
      </c>
      <c r="AO942" s="23">
        <v>46035.945138888892</v>
      </c>
      <c r="AP942" s="26">
        <f t="shared" si="32"/>
        <v>17</v>
      </c>
    </row>
    <row r="943" spans="1:42" ht="32.25" customHeight="1">
      <c r="A943" s="19" t="s">
        <v>42</v>
      </c>
      <c r="C943" s="19" t="s">
        <v>6887</v>
      </c>
      <c r="D943" s="19" t="s">
        <v>45</v>
      </c>
      <c r="E943" s="19" t="s">
        <v>46</v>
      </c>
      <c r="F943" s="19" t="s">
        <v>5896</v>
      </c>
      <c r="G943" s="19" t="s">
        <v>48</v>
      </c>
      <c r="H943" s="19" t="s">
        <v>144</v>
      </c>
      <c r="I943" s="20">
        <v>46035.990972222222</v>
      </c>
      <c r="K943" s="19">
        <v>46036.022916666669</v>
      </c>
      <c r="L943" s="20">
        <v>46036.060416666667</v>
      </c>
      <c r="M943" s="19"/>
      <c r="N943" s="22">
        <f t="shared" si="33"/>
        <v>6.9444444445252884E-2</v>
      </c>
      <c r="O943" s="19" t="s">
        <v>50</v>
      </c>
      <c r="P943" s="19" t="s">
        <v>6888</v>
      </c>
      <c r="Q943" s="19" t="s">
        <v>6889</v>
      </c>
      <c r="R943" s="19"/>
      <c r="S943" s="19"/>
      <c r="U943" s="19"/>
      <c r="W943" s="19"/>
      <c r="X943" s="19" t="s">
        <v>72</v>
      </c>
      <c r="Y943" s="27" t="s">
        <v>147</v>
      </c>
      <c r="Z943" s="27" t="s">
        <v>78</v>
      </c>
      <c r="AA943" s="27" t="s">
        <v>78</v>
      </c>
      <c r="AB943" s="27" t="s">
        <v>147</v>
      </c>
      <c r="AC943" s="37" t="s">
        <v>78</v>
      </c>
      <c r="AD943" s="38" t="s">
        <v>78</v>
      </c>
      <c r="AE943" s="36">
        <v>46023</v>
      </c>
      <c r="AF943" s="19" t="s">
        <v>99</v>
      </c>
      <c r="AG943" s="19" t="s">
        <v>768</v>
      </c>
      <c r="AH943" s="19" t="s">
        <v>62</v>
      </c>
      <c r="AI943" s="19" t="s">
        <v>63</v>
      </c>
      <c r="AJ943" s="19" t="s">
        <v>6890</v>
      </c>
      <c r="AK943" s="19" t="s">
        <v>6891</v>
      </c>
      <c r="AL943" s="19"/>
      <c r="AM943" s="19"/>
      <c r="AN943" s="19" t="s">
        <v>65</v>
      </c>
      <c r="AO943" s="23">
        <v>46036.69027777778</v>
      </c>
      <c r="AP943" s="26">
        <f t="shared" si="32"/>
        <v>100</v>
      </c>
    </row>
    <row r="944" spans="1:42" ht="32.25" hidden="1" customHeight="1">
      <c r="A944" s="19" t="s">
        <v>42</v>
      </c>
      <c r="B944" s="19" t="s">
        <v>1917</v>
      </c>
      <c r="C944" s="19" t="s">
        <v>2480</v>
      </c>
      <c r="D944" s="19" t="s">
        <v>45</v>
      </c>
      <c r="E944" s="19" t="s">
        <v>46</v>
      </c>
      <c r="F944" s="19" t="s">
        <v>6892</v>
      </c>
      <c r="G944" s="19" t="s">
        <v>48</v>
      </c>
      <c r="H944" s="19" t="s">
        <v>49</v>
      </c>
      <c r="I944" s="20">
        <v>46036.322916666657</v>
      </c>
      <c r="K944" s="19"/>
      <c r="L944" s="20">
        <v>46036.345138888893</v>
      </c>
      <c r="M944" s="19"/>
      <c r="N944" s="22">
        <f t="shared" si="33"/>
        <v>2.2222222236450762E-2</v>
      </c>
      <c r="O944" s="19" t="s">
        <v>50</v>
      </c>
      <c r="P944" s="19" t="s">
        <v>6680</v>
      </c>
      <c r="Q944" s="19" t="s">
        <v>6893</v>
      </c>
      <c r="R944" s="19"/>
      <c r="S944" s="19"/>
      <c r="U944" s="19"/>
      <c r="W944" s="19"/>
      <c r="X944" s="19" t="s">
        <v>109</v>
      </c>
      <c r="Y944" s="27" t="s">
        <v>147</v>
      </c>
      <c r="Z944" s="27" t="s">
        <v>78</v>
      </c>
      <c r="AA944" s="27" t="s">
        <v>78</v>
      </c>
      <c r="AB944" s="27" t="s">
        <v>147</v>
      </c>
      <c r="AC944" s="37" t="s">
        <v>78</v>
      </c>
      <c r="AD944" s="38" t="s">
        <v>78</v>
      </c>
      <c r="AE944" s="36">
        <v>46023</v>
      </c>
      <c r="AF944" s="19" t="s">
        <v>60</v>
      </c>
      <c r="AG944" s="19" t="s">
        <v>78</v>
      </c>
      <c r="AH944" s="19" t="s">
        <v>78</v>
      </c>
      <c r="AI944" s="19" t="s">
        <v>63</v>
      </c>
      <c r="AJ944" s="19" t="s">
        <v>6894</v>
      </c>
      <c r="AK944" s="19"/>
      <c r="AL944" s="19"/>
      <c r="AM944" s="19"/>
      <c r="AN944" s="19" t="s">
        <v>103</v>
      </c>
      <c r="AO944" s="23">
        <v>46036.322916666657</v>
      </c>
      <c r="AP944" s="26">
        <f t="shared" si="32"/>
        <v>32</v>
      </c>
    </row>
    <row r="945" spans="1:42" ht="32.25" hidden="1" customHeight="1">
      <c r="A945" s="19" t="s">
        <v>116</v>
      </c>
      <c r="B945" s="19" t="s">
        <v>6895</v>
      </c>
      <c r="C945" s="19" t="s">
        <v>6896</v>
      </c>
      <c r="D945" s="19" t="s">
        <v>45</v>
      </c>
      <c r="E945" s="19" t="s">
        <v>46</v>
      </c>
      <c r="F945" s="19" t="s">
        <v>6897</v>
      </c>
      <c r="G945" s="19" t="s">
        <v>48</v>
      </c>
      <c r="H945" s="19" t="s">
        <v>49</v>
      </c>
      <c r="I945" s="20">
        <v>46036.54583333333</v>
      </c>
      <c r="K945" s="19"/>
      <c r="L945" s="20">
        <v>46036.564583333333</v>
      </c>
      <c r="M945" s="19"/>
      <c r="N945" s="22">
        <f t="shared" si="33"/>
        <v>1.8750000002910383E-2</v>
      </c>
      <c r="O945" s="19" t="s">
        <v>50</v>
      </c>
      <c r="P945" s="19" t="s">
        <v>6898</v>
      </c>
      <c r="Q945" s="19" t="s">
        <v>6899</v>
      </c>
      <c r="R945" s="19"/>
      <c r="S945" s="19"/>
      <c r="U945" s="19"/>
      <c r="W945" s="19"/>
      <c r="X945" s="19" t="s">
        <v>2517</v>
      </c>
      <c r="Y945" s="27" t="s">
        <v>133</v>
      </c>
      <c r="Z945" s="27" t="s">
        <v>6900</v>
      </c>
      <c r="AA945" s="27" t="s">
        <v>6901</v>
      </c>
      <c r="AB945" s="27" t="s">
        <v>6902</v>
      </c>
      <c r="AC945" s="37" t="s">
        <v>6903</v>
      </c>
      <c r="AD945" s="38" t="s">
        <v>6904</v>
      </c>
      <c r="AE945" s="36">
        <v>46023</v>
      </c>
      <c r="AF945" s="19" t="s">
        <v>89</v>
      </c>
      <c r="AG945" s="19" t="s">
        <v>90</v>
      </c>
      <c r="AH945" s="19" t="s">
        <v>62</v>
      </c>
      <c r="AI945" s="19" t="s">
        <v>63</v>
      </c>
      <c r="AJ945" s="19" t="s">
        <v>6905</v>
      </c>
      <c r="AK945" s="19"/>
      <c r="AL945" s="19"/>
      <c r="AM945" s="19"/>
      <c r="AN945" s="19" t="s">
        <v>103</v>
      </c>
      <c r="AO945" s="23">
        <v>46036.54583333333</v>
      </c>
      <c r="AP945" s="26">
        <f t="shared" si="32"/>
        <v>27</v>
      </c>
    </row>
    <row r="946" spans="1:42" ht="32.25" hidden="1" customHeight="1">
      <c r="A946" s="19" t="s">
        <v>116</v>
      </c>
      <c r="B946" s="19" t="s">
        <v>4075</v>
      </c>
      <c r="C946" s="19" t="s">
        <v>336</v>
      </c>
      <c r="D946" s="19" t="s">
        <v>45</v>
      </c>
      <c r="E946" s="19" t="s">
        <v>46</v>
      </c>
      <c r="F946" s="19" t="s">
        <v>6906</v>
      </c>
      <c r="G946" s="19" t="s">
        <v>48</v>
      </c>
      <c r="H946" s="19" t="s">
        <v>49</v>
      </c>
      <c r="I946" s="20">
        <v>46037.245138888888</v>
      </c>
      <c r="K946" s="19"/>
      <c r="L946" s="20">
        <v>46037.286805555559</v>
      </c>
      <c r="M946" s="19"/>
      <c r="N946" s="22">
        <f t="shared" si="33"/>
        <v>4.1666666671517305E-2</v>
      </c>
      <c r="O946" s="19" t="s">
        <v>50</v>
      </c>
      <c r="P946" s="19" t="s">
        <v>6907</v>
      </c>
      <c r="Q946" s="19" t="s">
        <v>6908</v>
      </c>
      <c r="R946" s="19"/>
      <c r="S946" s="19"/>
      <c r="U946" s="19"/>
      <c r="W946" s="19"/>
      <c r="X946" s="19" t="s">
        <v>314</v>
      </c>
      <c r="Y946" s="27" t="s">
        <v>133</v>
      </c>
      <c r="Z946" s="27" t="s">
        <v>259</v>
      </c>
      <c r="AA946" s="27" t="s">
        <v>6909</v>
      </c>
      <c r="AB946" s="27" t="s">
        <v>6910</v>
      </c>
      <c r="AC946" s="37" t="s">
        <v>6911</v>
      </c>
      <c r="AD946" s="38" t="s">
        <v>6912</v>
      </c>
      <c r="AE946" s="36">
        <v>46023</v>
      </c>
      <c r="AF946" s="19" t="s">
        <v>293</v>
      </c>
      <c r="AG946" s="19" t="s">
        <v>294</v>
      </c>
      <c r="AH946" s="19" t="s">
        <v>62</v>
      </c>
      <c r="AI946" s="19" t="s">
        <v>63</v>
      </c>
      <c r="AJ946" s="19" t="s">
        <v>6913</v>
      </c>
      <c r="AK946" s="19"/>
      <c r="AL946" s="19"/>
      <c r="AM946" s="19"/>
      <c r="AN946" s="19" t="s">
        <v>103</v>
      </c>
      <c r="AO946" s="23">
        <v>46037.245138888888</v>
      </c>
      <c r="AP946" s="26">
        <f t="shared" si="32"/>
        <v>60</v>
      </c>
    </row>
    <row r="947" spans="1:42" ht="32.25" hidden="1" customHeight="1">
      <c r="A947" s="19" t="s">
        <v>42</v>
      </c>
      <c r="B947" s="19" t="s">
        <v>854</v>
      </c>
      <c r="C947" s="19" t="s">
        <v>855</v>
      </c>
      <c r="D947" s="19" t="s">
        <v>45</v>
      </c>
      <c r="E947" s="19" t="s">
        <v>46</v>
      </c>
      <c r="F947" s="19" t="s">
        <v>6914</v>
      </c>
      <c r="G947" s="19" t="s">
        <v>48</v>
      </c>
      <c r="H947" s="19" t="s">
        <v>49</v>
      </c>
      <c r="I947" s="20">
        <v>46037.492361111108</v>
      </c>
      <c r="K947" s="19"/>
      <c r="L947" s="20">
        <v>46037.545138888891</v>
      </c>
      <c r="M947" s="19"/>
      <c r="N947" s="22">
        <f t="shared" si="33"/>
        <v>5.2777777782466728E-2</v>
      </c>
      <c r="O947" s="19" t="s">
        <v>50</v>
      </c>
      <c r="P947" s="19" t="s">
        <v>6915</v>
      </c>
      <c r="Q947" s="19" t="s">
        <v>6916</v>
      </c>
      <c r="R947" s="19"/>
      <c r="S947" s="19"/>
      <c r="U947" s="19"/>
      <c r="W947" s="19"/>
      <c r="X947" s="19" t="s">
        <v>109</v>
      </c>
      <c r="Y947" s="27" t="s">
        <v>147</v>
      </c>
      <c r="Z947" s="27" t="s">
        <v>78</v>
      </c>
      <c r="AA947" s="27" t="s">
        <v>78</v>
      </c>
      <c r="AB947" s="27" t="s">
        <v>147</v>
      </c>
      <c r="AC947" s="37" t="s">
        <v>78</v>
      </c>
      <c r="AD947" s="38" t="s">
        <v>78</v>
      </c>
      <c r="AE947" s="36">
        <v>46023</v>
      </c>
      <c r="AF947" s="19" t="s">
        <v>99</v>
      </c>
      <c r="AG947" s="19" t="s">
        <v>139</v>
      </c>
      <c r="AH947" s="19" t="s">
        <v>62</v>
      </c>
      <c r="AI947" s="19" t="s">
        <v>63</v>
      </c>
      <c r="AJ947" s="19" t="s">
        <v>6917</v>
      </c>
      <c r="AK947" s="19" t="s">
        <v>6918</v>
      </c>
      <c r="AL947" s="19"/>
      <c r="AM947" s="19"/>
      <c r="AN947" s="19" t="s">
        <v>103</v>
      </c>
      <c r="AO947" s="23">
        <v>46037.492361111108</v>
      </c>
      <c r="AP947" s="26">
        <f t="shared" si="32"/>
        <v>76</v>
      </c>
    </row>
    <row r="948" spans="1:42" ht="32.25" hidden="1" customHeight="1">
      <c r="A948" s="19" t="s">
        <v>42</v>
      </c>
      <c r="B948" s="19" t="s">
        <v>2605</v>
      </c>
      <c r="C948" s="19" t="s">
        <v>2606</v>
      </c>
      <c r="D948" s="19" t="s">
        <v>45</v>
      </c>
      <c r="E948" s="19" t="s">
        <v>46</v>
      </c>
      <c r="F948" s="19" t="s">
        <v>6919</v>
      </c>
      <c r="G948" s="19" t="s">
        <v>48</v>
      </c>
      <c r="H948" s="19" t="s">
        <v>49</v>
      </c>
      <c r="I948" s="20">
        <v>46037.53402777778</v>
      </c>
      <c r="K948" s="19"/>
      <c r="L948" s="20">
        <v>46037.588888888888</v>
      </c>
      <c r="M948" s="19"/>
      <c r="N948" s="22">
        <f t="shared" si="33"/>
        <v>5.486111110803904E-2</v>
      </c>
      <c r="O948" s="19" t="s">
        <v>63</v>
      </c>
      <c r="P948" s="19" t="s">
        <v>6920</v>
      </c>
      <c r="Q948" s="19" t="s">
        <v>6921</v>
      </c>
      <c r="R948" s="19"/>
      <c r="S948" s="19"/>
      <c r="U948" s="19"/>
      <c r="W948" s="19"/>
      <c r="X948" s="19" t="s">
        <v>1412</v>
      </c>
      <c r="Y948" s="27" t="s">
        <v>147</v>
      </c>
      <c r="Z948" s="27" t="s">
        <v>78</v>
      </c>
      <c r="AA948" s="27" t="s">
        <v>78</v>
      </c>
      <c r="AB948" s="27" t="s">
        <v>147</v>
      </c>
      <c r="AC948" s="37" t="s">
        <v>78</v>
      </c>
      <c r="AD948" s="38" t="s">
        <v>78</v>
      </c>
      <c r="AE948" s="36">
        <v>46023</v>
      </c>
      <c r="AF948" s="19" t="s">
        <v>89</v>
      </c>
      <c r="AG948" s="19" t="s">
        <v>90</v>
      </c>
      <c r="AH948" s="19" t="s">
        <v>62</v>
      </c>
      <c r="AI948" s="19" t="s">
        <v>63</v>
      </c>
      <c r="AJ948" s="19" t="s">
        <v>6922</v>
      </c>
      <c r="AK948" s="19"/>
      <c r="AL948" s="19"/>
      <c r="AM948" s="19"/>
      <c r="AN948" s="19" t="s">
        <v>65</v>
      </c>
      <c r="AO948" s="23">
        <v>46037.588888888888</v>
      </c>
      <c r="AP948" s="26">
        <f t="shared" si="32"/>
        <v>79</v>
      </c>
    </row>
    <row r="949" spans="1:42" ht="32.25" hidden="1" customHeight="1">
      <c r="A949" s="19" t="s">
        <v>42</v>
      </c>
      <c r="B949" s="19" t="s">
        <v>3843</v>
      </c>
      <c r="C949" s="19" t="s">
        <v>336</v>
      </c>
      <c r="D949" s="19" t="s">
        <v>45</v>
      </c>
      <c r="E949" s="19" t="s">
        <v>46</v>
      </c>
      <c r="F949" s="19" t="s">
        <v>6923</v>
      </c>
      <c r="G949" s="19" t="s">
        <v>48</v>
      </c>
      <c r="H949" s="19" t="s">
        <v>49</v>
      </c>
      <c r="I949" s="20">
        <v>46037.861111111109</v>
      </c>
      <c r="K949" s="19"/>
      <c r="L949" s="20">
        <v>46037.866666666669</v>
      </c>
      <c r="M949" s="19"/>
      <c r="N949" s="22">
        <f t="shared" si="33"/>
        <v>5.5555555591126904E-3</v>
      </c>
      <c r="O949" s="19" t="s">
        <v>50</v>
      </c>
      <c r="P949" s="19" t="s">
        <v>6567</v>
      </c>
      <c r="Q949" s="19" t="s">
        <v>5677</v>
      </c>
      <c r="R949" s="19"/>
      <c r="S949" s="19"/>
      <c r="U949" s="19"/>
      <c r="W949" s="19"/>
      <c r="X949" s="19" t="s">
        <v>314</v>
      </c>
      <c r="Y949" s="27" t="s">
        <v>54</v>
      </c>
      <c r="Z949" s="27" t="s">
        <v>1852</v>
      </c>
      <c r="AA949" s="27" t="s">
        <v>6924</v>
      </c>
      <c r="AB949" s="27" t="s">
        <v>6925</v>
      </c>
      <c r="AC949" s="37" t="s">
        <v>6926</v>
      </c>
      <c r="AD949" s="38" t="s">
        <v>6927</v>
      </c>
      <c r="AE949" s="36">
        <v>46023</v>
      </c>
      <c r="AF949" s="19" t="s">
        <v>89</v>
      </c>
      <c r="AG949" s="19" t="s">
        <v>90</v>
      </c>
      <c r="AH949" s="19" t="s">
        <v>62</v>
      </c>
      <c r="AI949" s="19" t="s">
        <v>50</v>
      </c>
      <c r="AJ949" s="19" t="s">
        <v>6928</v>
      </c>
      <c r="AK949" s="19"/>
      <c r="AL949" s="19"/>
      <c r="AM949" s="19"/>
      <c r="AN949" s="19" t="s">
        <v>103</v>
      </c>
      <c r="AO949" s="23">
        <v>46037.863888888889</v>
      </c>
      <c r="AP949" s="26">
        <f t="shared" si="32"/>
        <v>8</v>
      </c>
    </row>
    <row r="950" spans="1:42" ht="32.25" hidden="1" customHeight="1">
      <c r="A950" s="19" t="s">
        <v>42</v>
      </c>
      <c r="B950" s="19" t="s">
        <v>6254</v>
      </c>
      <c r="C950" s="19" t="s">
        <v>577</v>
      </c>
      <c r="D950" s="19" t="s">
        <v>45</v>
      </c>
      <c r="E950" s="19" t="s">
        <v>46</v>
      </c>
      <c r="F950" s="19" t="s">
        <v>6929</v>
      </c>
      <c r="G950" s="19" t="s">
        <v>48</v>
      </c>
      <c r="H950" s="19" t="s">
        <v>49</v>
      </c>
      <c r="I950" s="20">
        <v>46038.072916666657</v>
      </c>
      <c r="K950" s="19"/>
      <c r="L950" s="20">
        <v>46038.135416666657</v>
      </c>
      <c r="M950" s="19"/>
      <c r="N950" s="22">
        <f t="shared" si="33"/>
        <v>6.25E-2</v>
      </c>
      <c r="O950" s="19" t="s">
        <v>63</v>
      </c>
      <c r="P950" s="19" t="s">
        <v>6930</v>
      </c>
      <c r="Q950" s="19" t="s">
        <v>6931</v>
      </c>
      <c r="R950" s="19"/>
      <c r="S950" s="19"/>
      <c r="U950" s="19"/>
      <c r="W950" s="19"/>
      <c r="X950" s="19" t="s">
        <v>191</v>
      </c>
      <c r="Y950" s="27" t="s">
        <v>147</v>
      </c>
      <c r="Z950" s="27" t="s">
        <v>78</v>
      </c>
      <c r="AA950" s="27" t="s">
        <v>78</v>
      </c>
      <c r="AB950" s="27" t="s">
        <v>147</v>
      </c>
      <c r="AC950" s="37" t="s">
        <v>78</v>
      </c>
      <c r="AD950" s="38" t="s">
        <v>78</v>
      </c>
      <c r="AE950" s="36">
        <v>46023</v>
      </c>
      <c r="AF950" s="19" t="s">
        <v>89</v>
      </c>
      <c r="AG950" s="19" t="s">
        <v>90</v>
      </c>
      <c r="AH950" s="19" t="s">
        <v>62</v>
      </c>
      <c r="AI950" s="19" t="s">
        <v>63</v>
      </c>
      <c r="AJ950" s="19" t="s">
        <v>6932</v>
      </c>
      <c r="AK950" s="19"/>
      <c r="AL950" s="19"/>
      <c r="AM950" s="19"/>
      <c r="AN950" s="19" t="s">
        <v>65</v>
      </c>
      <c r="AO950" s="23">
        <v>46038.072916666657</v>
      </c>
      <c r="AP950" s="26">
        <f t="shared" si="32"/>
        <v>90</v>
      </c>
    </row>
    <row r="951" spans="1:42" ht="32.25" hidden="1" customHeight="1">
      <c r="A951" s="19" t="s">
        <v>285</v>
      </c>
      <c r="B951" s="19" t="s">
        <v>6254</v>
      </c>
      <c r="C951" s="19" t="s">
        <v>577</v>
      </c>
      <c r="D951" s="19" t="s">
        <v>45</v>
      </c>
      <c r="E951" s="19" t="s">
        <v>46</v>
      </c>
      <c r="F951" s="19" t="s">
        <v>6933</v>
      </c>
      <c r="G951" s="19" t="s">
        <v>48</v>
      </c>
      <c r="H951" s="19" t="s">
        <v>49</v>
      </c>
      <c r="I951" s="20">
        <v>46038.222222222219</v>
      </c>
      <c r="K951" s="19"/>
      <c r="L951" s="20">
        <v>46038.489583333343</v>
      </c>
      <c r="M951" s="19"/>
      <c r="N951" s="22">
        <f t="shared" ref="N951:N982" si="34">L951-I951</f>
        <v>0.26736111112404615</v>
      </c>
      <c r="O951" s="19" t="s">
        <v>63</v>
      </c>
      <c r="P951" s="19" t="s">
        <v>6934</v>
      </c>
      <c r="Q951" s="19" t="s">
        <v>6935</v>
      </c>
      <c r="R951" s="19"/>
      <c r="S951" s="19"/>
      <c r="U951" s="19"/>
      <c r="W951" s="19"/>
      <c r="X951" s="19" t="s">
        <v>191</v>
      </c>
      <c r="Y951" s="27" t="s">
        <v>54</v>
      </c>
      <c r="Z951" s="27" t="s">
        <v>784</v>
      </c>
      <c r="AA951" s="27" t="s">
        <v>6936</v>
      </c>
      <c r="AB951" s="27" t="s">
        <v>6937</v>
      </c>
      <c r="AC951" s="37">
        <v>46038.175694444442</v>
      </c>
      <c r="AD951" s="38">
        <v>46038.182638888888</v>
      </c>
      <c r="AE951" s="36">
        <v>46048</v>
      </c>
      <c r="AF951" s="19" t="s">
        <v>293</v>
      </c>
      <c r="AG951" s="19" t="s">
        <v>294</v>
      </c>
      <c r="AH951" s="19" t="s">
        <v>62</v>
      </c>
      <c r="AI951" s="19" t="s">
        <v>63</v>
      </c>
      <c r="AJ951" s="19" t="s">
        <v>6934</v>
      </c>
      <c r="AK951" s="19"/>
      <c r="AL951" s="19"/>
      <c r="AM951" s="19"/>
      <c r="AN951" s="19" t="s">
        <v>65</v>
      </c>
      <c r="AO951" s="23">
        <v>46038.218055555553</v>
      </c>
      <c r="AP951" s="26">
        <f t="shared" si="32"/>
        <v>385</v>
      </c>
    </row>
    <row r="952" spans="1:42" ht="32.25" hidden="1" customHeight="1">
      <c r="A952" s="19" t="s">
        <v>42</v>
      </c>
      <c r="B952" s="19" t="s">
        <v>6938</v>
      </c>
      <c r="C952" s="19" t="s">
        <v>336</v>
      </c>
      <c r="D952" s="19" t="s">
        <v>45</v>
      </c>
      <c r="E952" s="19" t="s">
        <v>356</v>
      </c>
      <c r="F952" s="19" t="s">
        <v>6939</v>
      </c>
      <c r="G952" s="19" t="s">
        <v>48</v>
      </c>
      <c r="H952" s="19" t="s">
        <v>49</v>
      </c>
      <c r="I952" s="20">
        <v>46038.368055555547</v>
      </c>
      <c r="K952" s="19"/>
      <c r="L952" s="20">
        <v>46038.481944444437</v>
      </c>
      <c r="M952" s="19"/>
      <c r="N952" s="22">
        <f t="shared" si="34"/>
        <v>0.11388888888905058</v>
      </c>
      <c r="O952" s="19" t="s">
        <v>63</v>
      </c>
      <c r="P952" s="19" t="s">
        <v>6940</v>
      </c>
      <c r="Q952" s="19" t="s">
        <v>6941</v>
      </c>
      <c r="R952" s="19"/>
      <c r="S952" s="19"/>
      <c r="U952" s="19"/>
      <c r="W952" s="19"/>
      <c r="X952" s="19" t="s">
        <v>314</v>
      </c>
      <c r="Y952" s="27" t="s">
        <v>147</v>
      </c>
      <c r="Z952" s="27" t="s">
        <v>78</v>
      </c>
      <c r="AA952" s="27" t="s">
        <v>78</v>
      </c>
      <c r="AB952" s="27" t="s">
        <v>147</v>
      </c>
      <c r="AC952" s="37" t="s">
        <v>78</v>
      </c>
      <c r="AD952" s="38" t="s">
        <v>78</v>
      </c>
      <c r="AE952" s="36">
        <v>46048</v>
      </c>
      <c r="AF952" s="19" t="s">
        <v>60</v>
      </c>
      <c r="AG952" s="19" t="s">
        <v>78</v>
      </c>
      <c r="AH952" s="19" t="s">
        <v>62</v>
      </c>
      <c r="AI952" s="19" t="s">
        <v>63</v>
      </c>
      <c r="AJ952" s="19" t="s">
        <v>6942</v>
      </c>
      <c r="AK952" s="19"/>
      <c r="AL952" s="19"/>
      <c r="AM952" s="19"/>
      <c r="AN952" s="19" t="s">
        <v>103</v>
      </c>
      <c r="AO952" s="23">
        <v>46038.368055555547</v>
      </c>
      <c r="AP952" s="26">
        <f t="shared" si="32"/>
        <v>164</v>
      </c>
    </row>
    <row r="953" spans="1:42" ht="32.15" hidden="1" customHeight="1">
      <c r="A953" s="19" t="s">
        <v>42</v>
      </c>
      <c r="B953" s="19" t="s">
        <v>854</v>
      </c>
      <c r="C953" s="19" t="s">
        <v>855</v>
      </c>
      <c r="D953" s="19" t="s">
        <v>45</v>
      </c>
      <c r="E953" s="19" t="s">
        <v>225</v>
      </c>
      <c r="F953" s="19" t="s">
        <v>6943</v>
      </c>
      <c r="G953" s="19" t="s">
        <v>48</v>
      </c>
      <c r="H953" s="19" t="s">
        <v>49</v>
      </c>
      <c r="I953" s="20">
        <v>46039.490972222222</v>
      </c>
      <c r="K953" s="19"/>
      <c r="L953" s="20">
        <v>46039.510416666657</v>
      </c>
      <c r="M953" s="19"/>
      <c r="N953" s="22">
        <f t="shared" si="34"/>
        <v>1.9444444435066544E-2</v>
      </c>
      <c r="O953" s="19" t="s">
        <v>50</v>
      </c>
      <c r="P953" s="19" t="s">
        <v>6944</v>
      </c>
      <c r="Q953" s="19" t="s">
        <v>6945</v>
      </c>
      <c r="R953" s="19"/>
      <c r="S953" s="19"/>
      <c r="U953" s="19"/>
      <c r="W953" s="19"/>
      <c r="X953" s="19" t="s">
        <v>109</v>
      </c>
      <c r="Y953" s="27" t="s">
        <v>54</v>
      </c>
      <c r="Z953" s="27" t="s">
        <v>5480</v>
      </c>
      <c r="AA953" s="27" t="s">
        <v>6946</v>
      </c>
      <c r="AB953" s="27" t="s">
        <v>6947</v>
      </c>
      <c r="AC953" s="37" t="s">
        <v>6948</v>
      </c>
      <c r="AD953" s="38" t="s">
        <v>6949</v>
      </c>
      <c r="AE953" s="36">
        <v>46023</v>
      </c>
      <c r="AF953" s="19" t="s">
        <v>89</v>
      </c>
      <c r="AG953" s="19" t="s">
        <v>90</v>
      </c>
      <c r="AH953" s="19" t="s">
        <v>62</v>
      </c>
      <c r="AI953" s="19" t="s">
        <v>63</v>
      </c>
      <c r="AJ953" s="19" t="s">
        <v>6950</v>
      </c>
      <c r="AK953" s="19"/>
      <c r="AL953" s="19"/>
      <c r="AM953" s="19"/>
      <c r="AN953" s="19" t="s">
        <v>65</v>
      </c>
      <c r="AO953" s="23">
        <v>46039.490972222222</v>
      </c>
      <c r="AP953" s="26">
        <f t="shared" si="32"/>
        <v>28</v>
      </c>
    </row>
    <row r="954" spans="1:42" ht="32.15" hidden="1" customHeight="1">
      <c r="A954" s="19" t="s">
        <v>42</v>
      </c>
      <c r="B954" s="19" t="s">
        <v>1273</v>
      </c>
      <c r="C954" s="19" t="s">
        <v>1274</v>
      </c>
      <c r="D954" s="19" t="s">
        <v>45</v>
      </c>
      <c r="E954" s="19" t="s">
        <v>46</v>
      </c>
      <c r="F954" s="19" t="s">
        <v>6951</v>
      </c>
      <c r="G954" s="19" t="s">
        <v>48</v>
      </c>
      <c r="H954" s="19" t="s">
        <v>49</v>
      </c>
      <c r="I954" s="20">
        <v>46039.520833333343</v>
      </c>
      <c r="K954" s="19"/>
      <c r="L954" s="20">
        <v>46039.524305555547</v>
      </c>
      <c r="M954" s="19"/>
      <c r="N954" s="22">
        <f t="shared" si="34"/>
        <v>3.4722222044365481E-3</v>
      </c>
      <c r="O954" s="19" t="s">
        <v>50</v>
      </c>
      <c r="P954" s="19" t="s">
        <v>6952</v>
      </c>
      <c r="Q954" s="19" t="s">
        <v>6953</v>
      </c>
      <c r="R954" s="19"/>
      <c r="S954" s="19"/>
      <c r="U954" s="19"/>
      <c r="W954" s="19"/>
      <c r="X954" s="19" t="s">
        <v>109</v>
      </c>
      <c r="Y954" s="27" t="s">
        <v>133</v>
      </c>
      <c r="Z954" s="27" t="s">
        <v>259</v>
      </c>
      <c r="AA954" s="27" t="s">
        <v>6954</v>
      </c>
      <c r="AB954" s="27" t="s">
        <v>6955</v>
      </c>
      <c r="AC954" s="37" t="s">
        <v>6956</v>
      </c>
      <c r="AD954" s="38" t="s">
        <v>6957</v>
      </c>
      <c r="AE954" s="36">
        <v>46023</v>
      </c>
      <c r="AF954" s="19" t="s">
        <v>89</v>
      </c>
      <c r="AG954" s="19" t="s">
        <v>90</v>
      </c>
      <c r="AH954" s="19" t="s">
        <v>62</v>
      </c>
      <c r="AI954" s="19" t="s">
        <v>63</v>
      </c>
      <c r="AJ954" s="19" t="s">
        <v>6958</v>
      </c>
      <c r="AK954" s="19"/>
      <c r="AL954" s="19"/>
      <c r="AM954" s="19"/>
      <c r="AN954" s="19" t="s">
        <v>103</v>
      </c>
      <c r="AO954" s="23">
        <v>46039.520833333343</v>
      </c>
      <c r="AP954" s="26">
        <f t="shared" si="32"/>
        <v>5</v>
      </c>
    </row>
    <row r="955" spans="1:42" ht="32.15" hidden="1" customHeight="1">
      <c r="A955" s="19" t="s">
        <v>42</v>
      </c>
      <c r="B955" s="19" t="s">
        <v>2786</v>
      </c>
      <c r="C955" s="19" t="s">
        <v>6959</v>
      </c>
      <c r="D955" s="19" t="s">
        <v>45</v>
      </c>
      <c r="E955" s="19" t="s">
        <v>46</v>
      </c>
      <c r="F955" s="19" t="s">
        <v>6960</v>
      </c>
      <c r="G955" s="19" t="s">
        <v>48</v>
      </c>
      <c r="H955" s="19" t="s">
        <v>49</v>
      </c>
      <c r="I955" s="20">
        <v>46039.666666666657</v>
      </c>
      <c r="K955" s="19"/>
      <c r="L955" s="20">
        <v>46039.694444444453</v>
      </c>
      <c r="M955" s="19"/>
      <c r="N955" s="22">
        <f t="shared" si="34"/>
        <v>2.7777777795563452E-2</v>
      </c>
      <c r="O955" s="19" t="s">
        <v>50</v>
      </c>
      <c r="P955" s="19" t="s">
        <v>6961</v>
      </c>
      <c r="Q955" s="19" t="s">
        <v>6962</v>
      </c>
      <c r="R955" s="19" t="s">
        <v>6963</v>
      </c>
      <c r="S955" s="19" t="s">
        <v>6964</v>
      </c>
      <c r="T955" s="20">
        <v>46039.956388888888</v>
      </c>
      <c r="U955" s="19">
        <v>46049.496527777781</v>
      </c>
      <c r="V955" s="19" t="s">
        <v>157</v>
      </c>
      <c r="W955" s="19"/>
      <c r="X955" s="19" t="s">
        <v>109</v>
      </c>
      <c r="Y955" s="27" t="s">
        <v>54</v>
      </c>
      <c r="Z955" s="27" t="s">
        <v>6965</v>
      </c>
      <c r="AA955" s="27" t="s">
        <v>6966</v>
      </c>
      <c r="AB955" s="27" t="s">
        <v>6967</v>
      </c>
      <c r="AC955" s="37" t="s">
        <v>6968</v>
      </c>
      <c r="AD955" s="38" t="s">
        <v>6969</v>
      </c>
      <c r="AE955" s="36">
        <v>46023</v>
      </c>
      <c r="AF955" s="19" t="s">
        <v>60</v>
      </c>
      <c r="AG955" s="19" t="s">
        <v>556</v>
      </c>
      <c r="AH955" s="19" t="s">
        <v>62</v>
      </c>
      <c r="AI955" s="19" t="s">
        <v>63</v>
      </c>
      <c r="AJ955" s="19" t="s">
        <v>6970</v>
      </c>
      <c r="AK955" s="19"/>
      <c r="AL955" s="19"/>
      <c r="AM955" s="19"/>
      <c r="AN955" s="19" t="s">
        <v>103</v>
      </c>
      <c r="AO955" s="23">
        <v>46039.666666666657</v>
      </c>
      <c r="AP955" s="26">
        <f t="shared" si="32"/>
        <v>40</v>
      </c>
    </row>
    <row r="956" spans="1:42" s="35" customFormat="1" ht="32.25" hidden="1" customHeight="1">
      <c r="A956" s="19" t="s">
        <v>42</v>
      </c>
      <c r="B956" s="19" t="s">
        <v>3809</v>
      </c>
      <c r="C956" s="19" t="s">
        <v>105</v>
      </c>
      <c r="D956" s="19" t="s">
        <v>45</v>
      </c>
      <c r="E956" s="19" t="s">
        <v>46</v>
      </c>
      <c r="F956" s="19" t="s">
        <v>6971</v>
      </c>
      <c r="G956" s="19" t="s">
        <v>48</v>
      </c>
      <c r="H956" s="19" t="s">
        <v>49</v>
      </c>
      <c r="I956" s="20">
        <v>46039.693055555559</v>
      </c>
      <c r="J956" s="20"/>
      <c r="K956" s="19"/>
      <c r="L956" s="20">
        <v>46039.708333333343</v>
      </c>
      <c r="M956" s="19"/>
      <c r="N956" s="22">
        <f t="shared" si="34"/>
        <v>1.527777778392192E-2</v>
      </c>
      <c r="O956" s="19" t="s">
        <v>50</v>
      </c>
      <c r="P956" s="19" t="s">
        <v>6972</v>
      </c>
      <c r="Q956" s="19" t="s">
        <v>6973</v>
      </c>
      <c r="R956" s="19"/>
      <c r="S956" s="19"/>
      <c r="T956" s="20"/>
      <c r="U956" s="19"/>
      <c r="V956" s="19"/>
      <c r="W956" s="19"/>
      <c r="X956" s="19" t="s">
        <v>109</v>
      </c>
      <c r="Y956" s="27" t="s">
        <v>54</v>
      </c>
      <c r="Z956" s="27" t="s">
        <v>988</v>
      </c>
      <c r="AA956" s="27" t="s">
        <v>6974</v>
      </c>
      <c r="AB956" s="27" t="s">
        <v>6975</v>
      </c>
      <c r="AC956" s="37" t="s">
        <v>6976</v>
      </c>
      <c r="AD956" s="38" t="s">
        <v>6977</v>
      </c>
      <c r="AE956" s="36">
        <v>46023</v>
      </c>
      <c r="AF956" s="19" t="s">
        <v>89</v>
      </c>
      <c r="AG956" s="19" t="s">
        <v>90</v>
      </c>
      <c r="AH956" s="19" t="s">
        <v>62</v>
      </c>
      <c r="AI956" s="19" t="s">
        <v>63</v>
      </c>
      <c r="AJ956" s="19" t="s">
        <v>6978</v>
      </c>
      <c r="AK956" s="19"/>
      <c r="AL956" s="19"/>
      <c r="AM956" s="19"/>
      <c r="AN956" s="19" t="s">
        <v>128</v>
      </c>
      <c r="AO956" s="23">
        <v>46039.704861111109</v>
      </c>
      <c r="AP956" s="26">
        <f t="shared" si="32"/>
        <v>22</v>
      </c>
    </row>
    <row r="957" spans="1:42" ht="32.25" hidden="1" customHeight="1">
      <c r="A957" s="19" t="s">
        <v>42</v>
      </c>
      <c r="B957" s="19" t="s">
        <v>2605</v>
      </c>
      <c r="C957" s="19" t="s">
        <v>2606</v>
      </c>
      <c r="D957" s="19" t="s">
        <v>45</v>
      </c>
      <c r="E957" s="19" t="s">
        <v>46</v>
      </c>
      <c r="F957" s="19" t="s">
        <v>6979</v>
      </c>
      <c r="G957" s="19" t="s">
        <v>48</v>
      </c>
      <c r="H957" s="19" t="s">
        <v>49</v>
      </c>
      <c r="I957" s="20">
        <v>46040.024305555547</v>
      </c>
      <c r="K957" s="19"/>
      <c r="L957" s="20">
        <v>46040.076388888891</v>
      </c>
      <c r="M957" s="19"/>
      <c r="N957" s="22">
        <f t="shared" si="34"/>
        <v>5.208333334303461E-2</v>
      </c>
      <c r="O957" s="19" t="s">
        <v>50</v>
      </c>
      <c r="P957" s="19" t="s">
        <v>6980</v>
      </c>
      <c r="Q957" s="19" t="s">
        <v>6981</v>
      </c>
      <c r="R957" s="19"/>
      <c r="S957" s="19"/>
      <c r="U957" s="19"/>
      <c r="W957" s="19"/>
      <c r="X957" s="19" t="s">
        <v>1412</v>
      </c>
      <c r="Y957" s="27" t="s">
        <v>133</v>
      </c>
      <c r="Z957" s="27" t="s">
        <v>361</v>
      </c>
      <c r="AA957" s="27" t="s">
        <v>6982</v>
      </c>
      <c r="AB957" s="27" t="s">
        <v>6983</v>
      </c>
      <c r="AC957" s="37" t="s">
        <v>6984</v>
      </c>
      <c r="AD957" s="38" t="s">
        <v>6985</v>
      </c>
      <c r="AE957" s="36">
        <v>46023</v>
      </c>
      <c r="AF957" s="19" t="s">
        <v>78</v>
      </c>
      <c r="AG957" s="19" t="s">
        <v>78</v>
      </c>
      <c r="AH957" s="19" t="s">
        <v>78</v>
      </c>
      <c r="AI957" s="19" t="s">
        <v>63</v>
      </c>
      <c r="AJ957" s="19" t="s">
        <v>6986</v>
      </c>
      <c r="AK957" s="19"/>
      <c r="AL957" s="19"/>
      <c r="AM957" s="19"/>
      <c r="AN957" s="19" t="s">
        <v>65</v>
      </c>
      <c r="AO957" s="23">
        <v>46040.038888888892</v>
      </c>
      <c r="AP957" s="26">
        <f t="shared" si="32"/>
        <v>75</v>
      </c>
    </row>
    <row r="958" spans="1:42" ht="32.25" hidden="1" customHeight="1">
      <c r="A958" s="19" t="s">
        <v>42</v>
      </c>
      <c r="B958" s="19" t="s">
        <v>6254</v>
      </c>
      <c r="C958" s="19" t="s">
        <v>577</v>
      </c>
      <c r="D958" s="19" t="s">
        <v>45</v>
      </c>
      <c r="E958" s="19" t="s">
        <v>46</v>
      </c>
      <c r="F958" s="19" t="s">
        <v>6987</v>
      </c>
      <c r="G958" s="19" t="s">
        <v>48</v>
      </c>
      <c r="H958" s="19" t="s">
        <v>49</v>
      </c>
      <c r="I958" s="20">
        <v>46040.25</v>
      </c>
      <c r="K958" s="19"/>
      <c r="L958" s="20">
        <v>46040.28125</v>
      </c>
      <c r="M958" s="19"/>
      <c r="N958" s="22">
        <f t="shared" si="34"/>
        <v>3.125E-2</v>
      </c>
      <c r="O958" s="19" t="s">
        <v>63</v>
      </c>
      <c r="P958" s="19" t="s">
        <v>6988</v>
      </c>
      <c r="Q958" s="19" t="s">
        <v>6989</v>
      </c>
      <c r="R958" s="19"/>
      <c r="S958" s="19"/>
      <c r="U958" s="19"/>
      <c r="W958" s="19"/>
      <c r="X958" s="19" t="s">
        <v>191</v>
      </c>
      <c r="Y958" s="27" t="s">
        <v>147</v>
      </c>
      <c r="Z958" s="27" t="s">
        <v>78</v>
      </c>
      <c r="AA958" s="27" t="s">
        <v>78</v>
      </c>
      <c r="AB958" s="27" t="s">
        <v>147</v>
      </c>
      <c r="AC958" s="37" t="s">
        <v>78</v>
      </c>
      <c r="AD958" s="38" t="s">
        <v>78</v>
      </c>
      <c r="AE958" s="36">
        <v>46023</v>
      </c>
      <c r="AF958" s="19" t="s">
        <v>89</v>
      </c>
      <c r="AG958" s="19" t="s">
        <v>90</v>
      </c>
      <c r="AH958" s="19" t="s">
        <v>62</v>
      </c>
      <c r="AI958" s="19" t="s">
        <v>63</v>
      </c>
      <c r="AJ958" s="19" t="s">
        <v>6990</v>
      </c>
      <c r="AK958" s="19"/>
      <c r="AL958" s="19"/>
      <c r="AM958" s="19"/>
      <c r="AN958" s="19" t="s">
        <v>65</v>
      </c>
      <c r="AO958" s="23">
        <v>46040.25</v>
      </c>
      <c r="AP958" s="26">
        <f t="shared" si="32"/>
        <v>45</v>
      </c>
    </row>
    <row r="959" spans="1:42" ht="32.25" hidden="1" customHeight="1">
      <c r="A959" s="19" t="s">
        <v>42</v>
      </c>
      <c r="B959" s="19" t="s">
        <v>2902</v>
      </c>
      <c r="C959" s="19" t="s">
        <v>6991</v>
      </c>
      <c r="D959" s="19" t="s">
        <v>45</v>
      </c>
      <c r="E959" s="19" t="s">
        <v>46</v>
      </c>
      <c r="F959" s="19" t="s">
        <v>6992</v>
      </c>
      <c r="G959" s="19" t="s">
        <v>48</v>
      </c>
      <c r="H959" s="19" t="s">
        <v>49</v>
      </c>
      <c r="I959" s="20">
        <v>46040.331250000003</v>
      </c>
      <c r="K959" s="19"/>
      <c r="L959" s="20">
        <v>46040.385416666657</v>
      </c>
      <c r="M959" s="19"/>
      <c r="N959" s="22">
        <f t="shared" si="34"/>
        <v>5.4166666654055007E-2</v>
      </c>
      <c r="O959" s="19" t="s">
        <v>50</v>
      </c>
      <c r="P959" s="19" t="s">
        <v>6993</v>
      </c>
      <c r="Q959" s="19" t="s">
        <v>6994</v>
      </c>
      <c r="R959" s="19"/>
      <c r="S959" s="19"/>
      <c r="U959" s="19"/>
      <c r="W959" s="19"/>
      <c r="X959" s="19" t="s">
        <v>109</v>
      </c>
      <c r="Y959" s="27" t="s">
        <v>147</v>
      </c>
      <c r="Z959" s="27" t="s">
        <v>78</v>
      </c>
      <c r="AA959" s="27" t="s">
        <v>78</v>
      </c>
      <c r="AB959" s="27" t="s">
        <v>147</v>
      </c>
      <c r="AC959" s="37" t="s">
        <v>78</v>
      </c>
      <c r="AD959" s="38" t="s">
        <v>78</v>
      </c>
      <c r="AE959" s="36">
        <v>46023</v>
      </c>
      <c r="AF959" s="19" t="s">
        <v>99</v>
      </c>
      <c r="AG959" s="19" t="s">
        <v>100</v>
      </c>
      <c r="AH959" s="19" t="s">
        <v>62</v>
      </c>
      <c r="AI959" s="19" t="s">
        <v>63</v>
      </c>
      <c r="AJ959" s="19" t="s">
        <v>6995</v>
      </c>
      <c r="AK959" s="19" t="s">
        <v>6996</v>
      </c>
      <c r="AL959" s="19"/>
      <c r="AM959" s="19"/>
      <c r="AN959" s="19" t="s">
        <v>103</v>
      </c>
      <c r="AO959" s="23">
        <v>46040.331250000003</v>
      </c>
      <c r="AP959" s="26">
        <f t="shared" si="32"/>
        <v>78</v>
      </c>
    </row>
    <row r="960" spans="1:42" ht="32.25" hidden="1" customHeight="1">
      <c r="A960" s="19" t="s">
        <v>116</v>
      </c>
      <c r="B960" s="19" t="s">
        <v>4075</v>
      </c>
      <c r="C960" s="19" t="s">
        <v>336</v>
      </c>
      <c r="D960" s="19" t="s">
        <v>45</v>
      </c>
      <c r="E960" s="19" t="s">
        <v>46</v>
      </c>
      <c r="F960" s="19" t="s">
        <v>6997</v>
      </c>
      <c r="G960" s="19" t="s">
        <v>48</v>
      </c>
      <c r="H960" s="19" t="s">
        <v>49</v>
      </c>
      <c r="I960" s="20">
        <v>46040.368055555547</v>
      </c>
      <c r="K960" s="19"/>
      <c r="L960" s="20">
        <v>46040.379861111112</v>
      </c>
      <c r="M960" s="19"/>
      <c r="N960" s="22">
        <f t="shared" si="34"/>
        <v>1.1805555564933456E-2</v>
      </c>
      <c r="O960" s="19" t="s">
        <v>50</v>
      </c>
      <c r="P960" s="19" t="s">
        <v>6998</v>
      </c>
      <c r="Q960" s="19" t="s">
        <v>6999</v>
      </c>
      <c r="R960" s="19"/>
      <c r="S960" s="19"/>
      <c r="U960" s="19"/>
      <c r="W960" s="19"/>
      <c r="X960" s="19" t="s">
        <v>314</v>
      </c>
      <c r="Y960" s="27" t="s">
        <v>133</v>
      </c>
      <c r="Z960" s="27" t="s">
        <v>694</v>
      </c>
      <c r="AA960" s="27" t="s">
        <v>7000</v>
      </c>
      <c r="AB960" s="27" t="s">
        <v>7001</v>
      </c>
      <c r="AC960" s="37" t="s">
        <v>7002</v>
      </c>
      <c r="AD960" s="38" t="s">
        <v>7003</v>
      </c>
      <c r="AE960" s="36">
        <v>46023</v>
      </c>
      <c r="AF960" s="19" t="s">
        <v>293</v>
      </c>
      <c r="AG960" s="19" t="s">
        <v>294</v>
      </c>
      <c r="AH960" s="19" t="s">
        <v>62</v>
      </c>
      <c r="AI960" s="19" t="s">
        <v>63</v>
      </c>
      <c r="AJ960" s="19" t="s">
        <v>7004</v>
      </c>
      <c r="AK960" s="19"/>
      <c r="AL960" s="19"/>
      <c r="AM960" s="19"/>
      <c r="AN960" s="19" t="s">
        <v>103</v>
      </c>
      <c r="AO960" s="23">
        <v>46040.368055555547</v>
      </c>
      <c r="AP960" s="26">
        <f t="shared" si="32"/>
        <v>17</v>
      </c>
    </row>
    <row r="961" spans="1:42" ht="32.25" hidden="1" customHeight="1">
      <c r="A961" s="19" t="s">
        <v>42</v>
      </c>
      <c r="B961" s="19" t="s">
        <v>1273</v>
      </c>
      <c r="C961" s="19" t="s">
        <v>105</v>
      </c>
      <c r="D961" s="19" t="s">
        <v>45</v>
      </c>
      <c r="E961" s="19" t="s">
        <v>46</v>
      </c>
      <c r="F961" s="19" t="s">
        <v>7005</v>
      </c>
      <c r="G961" s="19" t="s">
        <v>48</v>
      </c>
      <c r="H961" s="19" t="s">
        <v>49</v>
      </c>
      <c r="I961" s="20">
        <v>46040.441666666673</v>
      </c>
      <c r="K961" s="19"/>
      <c r="L961" s="20">
        <v>46040.506944444453</v>
      </c>
      <c r="M961" s="19"/>
      <c r="N961" s="22">
        <f t="shared" si="34"/>
        <v>6.5277777779556345E-2</v>
      </c>
      <c r="O961" s="19" t="s">
        <v>50</v>
      </c>
      <c r="P961" s="19" t="s">
        <v>7006</v>
      </c>
      <c r="Q961" s="19" t="s">
        <v>7007</v>
      </c>
      <c r="R961" s="19"/>
      <c r="S961" s="19"/>
      <c r="U961" s="19"/>
      <c r="W961" s="19"/>
      <c r="X961" s="19" t="s">
        <v>109</v>
      </c>
      <c r="Y961" s="27" t="s">
        <v>54</v>
      </c>
      <c r="Z961" s="27" t="s">
        <v>1852</v>
      </c>
      <c r="AA961" s="27" t="s">
        <v>7008</v>
      </c>
      <c r="AB961" s="27" t="s">
        <v>7009</v>
      </c>
      <c r="AC961" s="37" t="s">
        <v>7010</v>
      </c>
      <c r="AD961" s="38" t="s">
        <v>7011</v>
      </c>
      <c r="AE961" s="36">
        <v>46023</v>
      </c>
      <c r="AF961" s="19" t="s">
        <v>99</v>
      </c>
      <c r="AG961" s="19" t="s">
        <v>100</v>
      </c>
      <c r="AH961" s="19" t="s">
        <v>62</v>
      </c>
      <c r="AI961" s="19" t="s">
        <v>63</v>
      </c>
      <c r="AJ961" s="19" t="s">
        <v>7012</v>
      </c>
      <c r="AK961" s="19" t="s">
        <v>6996</v>
      </c>
      <c r="AL961" s="19"/>
      <c r="AM961" s="19"/>
      <c r="AN961" s="19" t="s">
        <v>103</v>
      </c>
      <c r="AO961" s="23">
        <v>46040.479861111111</v>
      </c>
      <c r="AP961" s="26">
        <f t="shared" si="32"/>
        <v>94</v>
      </c>
    </row>
    <row r="962" spans="1:42" ht="32.25" hidden="1" customHeight="1">
      <c r="A962" s="19" t="s">
        <v>42</v>
      </c>
      <c r="C962" s="19" t="s">
        <v>2093</v>
      </c>
      <c r="D962" s="19" t="s">
        <v>45</v>
      </c>
      <c r="E962" s="19" t="s">
        <v>46</v>
      </c>
      <c r="F962" s="19" t="s">
        <v>7013</v>
      </c>
      <c r="G962" s="19" t="s">
        <v>48</v>
      </c>
      <c r="H962" s="19" t="s">
        <v>49</v>
      </c>
      <c r="I962" s="20">
        <v>46040.916666666657</v>
      </c>
      <c r="K962" s="19"/>
      <c r="L962" s="20">
        <v>46040.958333333343</v>
      </c>
      <c r="M962" s="19"/>
      <c r="N962" s="22">
        <f t="shared" si="34"/>
        <v>4.166666668606922E-2</v>
      </c>
      <c r="O962" s="19" t="s">
        <v>63</v>
      </c>
      <c r="P962" s="19" t="s">
        <v>7014</v>
      </c>
      <c r="Q962" s="19" t="s">
        <v>7015</v>
      </c>
      <c r="R962" s="19"/>
      <c r="S962" s="19"/>
      <c r="U962" s="19"/>
      <c r="W962" s="19"/>
      <c r="X962" s="19" t="s">
        <v>109</v>
      </c>
      <c r="Y962" s="27" t="s">
        <v>54</v>
      </c>
      <c r="Z962" s="27" t="s">
        <v>123</v>
      </c>
      <c r="AA962" s="27" t="s">
        <v>7016</v>
      </c>
      <c r="AB962" s="27" t="s">
        <v>7017</v>
      </c>
      <c r="AC962" s="37">
        <v>46040.911805555559</v>
      </c>
      <c r="AD962" s="38">
        <v>46040.955763888887</v>
      </c>
      <c r="AE962" s="36">
        <v>46023</v>
      </c>
      <c r="AF962" s="19" t="s">
        <v>99</v>
      </c>
      <c r="AG962" s="19" t="s">
        <v>100</v>
      </c>
      <c r="AH962" s="19" t="s">
        <v>62</v>
      </c>
      <c r="AI962" s="19" t="s">
        <v>63</v>
      </c>
      <c r="AJ962" s="19" t="s">
        <v>7018</v>
      </c>
      <c r="AK962" s="19" t="s">
        <v>6996</v>
      </c>
      <c r="AL962" s="19"/>
      <c r="AM962" s="19"/>
      <c r="AN962" s="19" t="s">
        <v>65</v>
      </c>
      <c r="AO962" s="23">
        <v>46040.916666666657</v>
      </c>
      <c r="AP962" s="26">
        <f t="shared" si="32"/>
        <v>60</v>
      </c>
    </row>
    <row r="963" spans="1:42" ht="32.25" hidden="1" customHeight="1">
      <c r="A963" s="19" t="s">
        <v>42</v>
      </c>
      <c r="C963" s="19" t="s">
        <v>3818</v>
      </c>
      <c r="D963" s="19" t="s">
        <v>45</v>
      </c>
      <c r="E963" s="19" t="s">
        <v>46</v>
      </c>
      <c r="F963" s="19" t="s">
        <v>7019</v>
      </c>
      <c r="G963" s="19" t="s">
        <v>48</v>
      </c>
      <c r="H963" s="19" t="s">
        <v>49</v>
      </c>
      <c r="I963" s="20">
        <v>46040.98333333333</v>
      </c>
      <c r="K963" s="19"/>
      <c r="L963" s="20">
        <v>46041.486111111109</v>
      </c>
      <c r="M963" s="19"/>
      <c r="N963" s="22">
        <f t="shared" si="34"/>
        <v>0.50277777777955635</v>
      </c>
      <c r="O963" s="19" t="s">
        <v>50</v>
      </c>
      <c r="P963" s="19" t="s">
        <v>7020</v>
      </c>
      <c r="Q963" s="19" t="s">
        <v>7021</v>
      </c>
      <c r="R963" s="19"/>
      <c r="S963" s="19"/>
      <c r="U963" s="19"/>
      <c r="W963" s="19"/>
      <c r="X963" s="19" t="s">
        <v>1589</v>
      </c>
      <c r="Y963" s="27" t="s">
        <v>147</v>
      </c>
      <c r="Z963" s="27" t="s">
        <v>78</v>
      </c>
      <c r="AA963" s="27" t="s">
        <v>78</v>
      </c>
      <c r="AB963" s="27" t="s">
        <v>147</v>
      </c>
      <c r="AC963" s="37" t="s">
        <v>78</v>
      </c>
      <c r="AD963" s="38" t="s">
        <v>78</v>
      </c>
      <c r="AE963" s="36">
        <v>46023</v>
      </c>
      <c r="AF963" s="19" t="s">
        <v>60</v>
      </c>
      <c r="AG963" s="19" t="s">
        <v>78</v>
      </c>
      <c r="AH963" s="19" t="s">
        <v>62</v>
      </c>
      <c r="AI963" s="19" t="s">
        <v>63</v>
      </c>
      <c r="AJ963" s="19" t="s">
        <v>7022</v>
      </c>
      <c r="AK963" s="19"/>
      <c r="AL963" s="19"/>
      <c r="AM963" s="19"/>
      <c r="AN963" s="19" t="s">
        <v>65</v>
      </c>
      <c r="AO963" s="23">
        <v>46040.98333333333</v>
      </c>
      <c r="AP963" s="26">
        <f t="shared" si="32"/>
        <v>724</v>
      </c>
    </row>
    <row r="964" spans="1:42" ht="32.25" hidden="1" customHeight="1">
      <c r="A964" s="19" t="s">
        <v>42</v>
      </c>
      <c r="C964" s="19" t="s">
        <v>855</v>
      </c>
      <c r="D964" s="19" t="s">
        <v>45</v>
      </c>
      <c r="E964" s="19" t="s">
        <v>46</v>
      </c>
      <c r="F964" s="19" t="s">
        <v>7005</v>
      </c>
      <c r="G964" s="19" t="s">
        <v>226</v>
      </c>
      <c r="H964" s="19" t="s">
        <v>49</v>
      </c>
      <c r="I964" s="20">
        <v>46041.410416666673</v>
      </c>
      <c r="K964" s="19"/>
      <c r="L964" s="20">
        <v>46041.5625</v>
      </c>
      <c r="M964" s="19"/>
      <c r="N964" s="22">
        <f t="shared" si="34"/>
        <v>0.1520833333270275</v>
      </c>
      <c r="O964" s="19" t="s">
        <v>50</v>
      </c>
      <c r="P964" s="19" t="s">
        <v>7023</v>
      </c>
      <c r="Q964" s="19" t="s">
        <v>7024</v>
      </c>
      <c r="R964" s="19"/>
      <c r="S964" s="19"/>
      <c r="U964" s="19"/>
      <c r="W964" s="19"/>
      <c r="X964" s="19" t="s">
        <v>109</v>
      </c>
      <c r="Y964" s="27" t="s">
        <v>54</v>
      </c>
      <c r="Z964" s="27" t="s">
        <v>209</v>
      </c>
      <c r="AA964" s="27" t="s">
        <v>7025</v>
      </c>
      <c r="AB964" s="27" t="s">
        <v>7026</v>
      </c>
      <c r="AC964" s="37">
        <v>46041.486111111109</v>
      </c>
      <c r="AD964" s="38">
        <v>46041.534814814811</v>
      </c>
      <c r="AE964" s="36">
        <v>46023</v>
      </c>
      <c r="AF964" s="19" t="s">
        <v>99</v>
      </c>
      <c r="AG964" s="19" t="s">
        <v>100</v>
      </c>
      <c r="AH964" s="19" t="s">
        <v>62</v>
      </c>
      <c r="AI964" s="19" t="s">
        <v>63</v>
      </c>
      <c r="AJ964" s="19" t="s">
        <v>7027</v>
      </c>
      <c r="AK964" s="19" t="s">
        <v>6996</v>
      </c>
      <c r="AL964" s="19"/>
      <c r="AM964" s="19"/>
      <c r="AN964" s="19" t="s">
        <v>65</v>
      </c>
      <c r="AO964" s="23">
        <v>46041.410416666673</v>
      </c>
      <c r="AP964" s="26">
        <f t="shared" si="32"/>
        <v>219</v>
      </c>
    </row>
    <row r="965" spans="1:42" ht="32.25" hidden="1" customHeight="1">
      <c r="A965" s="19" t="s">
        <v>42</v>
      </c>
      <c r="B965" s="19" t="s">
        <v>3327</v>
      </c>
      <c r="C965" s="19" t="s">
        <v>7028</v>
      </c>
      <c r="D965" s="19" t="s">
        <v>45</v>
      </c>
      <c r="E965" s="19" t="s">
        <v>46</v>
      </c>
      <c r="F965" s="19" t="s">
        <v>7029</v>
      </c>
      <c r="G965" s="19" t="s">
        <v>48</v>
      </c>
      <c r="H965" s="19" t="s">
        <v>49</v>
      </c>
      <c r="I965" s="20">
        <v>46041.493055555547</v>
      </c>
      <c r="K965" s="19"/>
      <c r="L965" s="20">
        <v>46041.538194444453</v>
      </c>
      <c r="M965" s="19"/>
      <c r="N965" s="22">
        <f t="shared" si="34"/>
        <v>4.5138888905057684E-2</v>
      </c>
      <c r="O965" s="19" t="s">
        <v>63</v>
      </c>
      <c r="P965" s="19" t="s">
        <v>5551</v>
      </c>
      <c r="Q965" s="19" t="s">
        <v>7030</v>
      </c>
      <c r="R965" s="19" t="s">
        <v>7031</v>
      </c>
      <c r="S965" s="19" t="s">
        <v>7032</v>
      </c>
      <c r="T965" s="20">
        <v>46042.58216435185</v>
      </c>
      <c r="U965" s="19">
        <v>46044.728472222218</v>
      </c>
      <c r="V965" s="19" t="s">
        <v>157</v>
      </c>
      <c r="W965" s="19"/>
      <c r="X965" s="19" t="s">
        <v>7033</v>
      </c>
      <c r="Y965" s="27" t="s">
        <v>133</v>
      </c>
      <c r="Z965" s="27" t="s">
        <v>7034</v>
      </c>
      <c r="AA965" s="27" t="s">
        <v>7035</v>
      </c>
      <c r="AB965" s="27" t="s">
        <v>7036</v>
      </c>
      <c r="AC965" s="37" t="s">
        <v>7037</v>
      </c>
      <c r="AD965" s="38" t="s">
        <v>7038</v>
      </c>
      <c r="AE965" s="36">
        <v>46023</v>
      </c>
      <c r="AF965" s="19" t="s">
        <v>293</v>
      </c>
      <c r="AG965" s="19" t="s">
        <v>556</v>
      </c>
      <c r="AH965" s="19" t="s">
        <v>62</v>
      </c>
      <c r="AI965" s="19" t="s">
        <v>63</v>
      </c>
      <c r="AJ965" s="19" t="s">
        <v>7039</v>
      </c>
      <c r="AK965" s="19"/>
      <c r="AL965" s="19"/>
      <c r="AM965" s="19"/>
      <c r="AN965" s="19" t="s">
        <v>103</v>
      </c>
      <c r="AO965" s="23">
        <v>46041.508333333331</v>
      </c>
      <c r="AP965" s="26">
        <f t="shared" si="32"/>
        <v>65</v>
      </c>
    </row>
    <row r="966" spans="1:42" ht="32.25" hidden="1" customHeight="1">
      <c r="A966" s="19" t="s">
        <v>42</v>
      </c>
      <c r="B966" s="19" t="s">
        <v>2605</v>
      </c>
      <c r="C966" s="19" t="s">
        <v>7040</v>
      </c>
      <c r="D966" s="19" t="s">
        <v>45</v>
      </c>
      <c r="E966" s="19" t="s">
        <v>46</v>
      </c>
      <c r="F966" s="19" t="s">
        <v>7041</v>
      </c>
      <c r="G966" s="19" t="s">
        <v>48</v>
      </c>
      <c r="H966" s="19" t="s">
        <v>49</v>
      </c>
      <c r="I966" s="20">
        <v>46042.404861111107</v>
      </c>
      <c r="K966" s="19"/>
      <c r="L966" s="20">
        <v>46042.428472222222</v>
      </c>
      <c r="M966" s="19"/>
      <c r="N966" s="22">
        <f t="shared" si="34"/>
        <v>2.3611111115314998E-2</v>
      </c>
      <c r="O966" s="19" t="s">
        <v>50</v>
      </c>
      <c r="P966" s="19" t="s">
        <v>7042</v>
      </c>
      <c r="Q966" s="19" t="s">
        <v>7043</v>
      </c>
      <c r="R966" s="19"/>
      <c r="S966" s="19"/>
      <c r="U966" s="19"/>
      <c r="W966" s="19"/>
      <c r="X966" s="19" t="s">
        <v>7044</v>
      </c>
      <c r="Y966" s="27" t="s">
        <v>133</v>
      </c>
      <c r="Z966" s="27" t="s">
        <v>7045</v>
      </c>
      <c r="AA966" s="27" t="s">
        <v>7046</v>
      </c>
      <c r="AB966" s="27" t="s">
        <v>7047</v>
      </c>
      <c r="AC966" s="37" t="s">
        <v>7048</v>
      </c>
      <c r="AD966" s="38" t="s">
        <v>7049</v>
      </c>
      <c r="AE966" s="36">
        <v>46023</v>
      </c>
      <c r="AF966" s="19" t="s">
        <v>89</v>
      </c>
      <c r="AG966" s="19" t="s">
        <v>90</v>
      </c>
      <c r="AH966" s="19" t="s">
        <v>62</v>
      </c>
      <c r="AI966" s="19" t="s">
        <v>63</v>
      </c>
      <c r="AJ966" s="19" t="s">
        <v>7050</v>
      </c>
      <c r="AK966" s="19"/>
      <c r="AL966" s="19"/>
      <c r="AM966" s="19"/>
      <c r="AN966" s="19" t="s">
        <v>65</v>
      </c>
      <c r="AO966" s="23">
        <v>46042.404861111107</v>
      </c>
      <c r="AP966" s="26">
        <f t="shared" si="32"/>
        <v>34</v>
      </c>
    </row>
    <row r="967" spans="1:42" ht="32.25" customHeight="1">
      <c r="A967" s="19" t="s">
        <v>42</v>
      </c>
      <c r="B967" s="19" t="s">
        <v>3843</v>
      </c>
      <c r="C967" s="19" t="s">
        <v>7051</v>
      </c>
      <c r="D967" s="19" t="s">
        <v>45</v>
      </c>
      <c r="E967" s="19" t="s">
        <v>46</v>
      </c>
      <c r="F967" s="19" t="s">
        <v>7052</v>
      </c>
      <c r="G967" s="19" t="s">
        <v>48</v>
      </c>
      <c r="H967" s="19" t="s">
        <v>152</v>
      </c>
      <c r="I967" s="20">
        <v>46042.384722222218</v>
      </c>
      <c r="K967" s="19"/>
      <c r="L967" s="20">
        <v>46042.431944444441</v>
      </c>
      <c r="M967" s="19"/>
      <c r="N967" s="22">
        <f t="shared" si="34"/>
        <v>4.7222222223354038E-2</v>
      </c>
      <c r="O967" s="19" t="s">
        <v>50</v>
      </c>
      <c r="P967" s="19" t="s">
        <v>7053</v>
      </c>
      <c r="Q967" s="19" t="s">
        <v>7054</v>
      </c>
      <c r="R967" s="19" t="s">
        <v>7055</v>
      </c>
      <c r="S967" s="19" t="s">
        <v>7056</v>
      </c>
      <c r="T967" s="20">
        <v>46042.645162037043</v>
      </c>
      <c r="U967" s="19">
        <v>46045.527083333327</v>
      </c>
      <c r="V967" s="19" t="s">
        <v>157</v>
      </c>
      <c r="W967" s="19"/>
      <c r="X967" s="19" t="s">
        <v>7057</v>
      </c>
      <c r="Y967" s="27" t="s">
        <v>54</v>
      </c>
      <c r="Z967" s="27" t="s">
        <v>7058</v>
      </c>
      <c r="AA967" s="27" t="s">
        <v>7059</v>
      </c>
      <c r="AB967" s="27" t="s">
        <v>7060</v>
      </c>
      <c r="AC967" s="37" t="s">
        <v>7061</v>
      </c>
      <c r="AD967" s="38" t="s">
        <v>7062</v>
      </c>
      <c r="AE967" s="36">
        <v>46023</v>
      </c>
      <c r="AF967" s="19" t="s">
        <v>78</v>
      </c>
      <c r="AG967" s="19" t="s">
        <v>78</v>
      </c>
      <c r="AH967" s="19" t="s">
        <v>78</v>
      </c>
      <c r="AI967" s="19" t="s">
        <v>63</v>
      </c>
      <c r="AJ967" s="19" t="s">
        <v>7063</v>
      </c>
      <c r="AK967" s="19" t="s">
        <v>7064</v>
      </c>
      <c r="AL967" s="19"/>
      <c r="AM967" s="19"/>
      <c r="AN967" s="19" t="s">
        <v>103</v>
      </c>
      <c r="AO967" s="23">
        <v>46042.384722222218</v>
      </c>
      <c r="AP967" s="26">
        <f t="shared" si="32"/>
        <v>68</v>
      </c>
    </row>
    <row r="968" spans="1:42" ht="32.25" hidden="1" customHeight="1">
      <c r="A968" s="19" t="s">
        <v>42</v>
      </c>
      <c r="B968" s="19" t="s">
        <v>3327</v>
      </c>
      <c r="C968" s="19" t="s">
        <v>7028</v>
      </c>
      <c r="D968" s="19" t="s">
        <v>45</v>
      </c>
      <c r="E968" s="19" t="s">
        <v>46</v>
      </c>
      <c r="F968" s="19" t="s">
        <v>7029</v>
      </c>
      <c r="G968" s="19" t="s">
        <v>226</v>
      </c>
      <c r="H968" s="19" t="s">
        <v>49</v>
      </c>
      <c r="I968" s="20">
        <v>46042.520833333343</v>
      </c>
      <c r="K968" s="19"/>
      <c r="L968" s="20">
        <v>46042.533333333333</v>
      </c>
      <c r="M968" s="19"/>
      <c r="N968" s="22">
        <f t="shared" si="34"/>
        <v>1.2499999989813659E-2</v>
      </c>
      <c r="O968" s="19" t="s">
        <v>63</v>
      </c>
      <c r="P968" s="19" t="s">
        <v>5551</v>
      </c>
      <c r="Q968" s="19" t="s">
        <v>7065</v>
      </c>
      <c r="R968" s="19" t="s">
        <v>7031</v>
      </c>
      <c r="S968" s="19" t="s">
        <v>7032</v>
      </c>
      <c r="T968" s="20">
        <v>46042.58216435185</v>
      </c>
      <c r="U968" s="19">
        <v>46044.728472222218</v>
      </c>
      <c r="V968" s="19" t="s">
        <v>157</v>
      </c>
      <c r="W968" s="19"/>
      <c r="X968" s="19" t="s">
        <v>7033</v>
      </c>
      <c r="Y968" s="27" t="s">
        <v>133</v>
      </c>
      <c r="Z968" s="27" t="s">
        <v>7066</v>
      </c>
      <c r="AA968" s="27" t="s">
        <v>7067</v>
      </c>
      <c r="AB968" s="27" t="s">
        <v>7068</v>
      </c>
      <c r="AC968" s="37" t="s">
        <v>7069</v>
      </c>
      <c r="AD968" s="38" t="s">
        <v>7070</v>
      </c>
      <c r="AE968" s="36">
        <v>46023</v>
      </c>
      <c r="AF968" s="19" t="s">
        <v>293</v>
      </c>
      <c r="AG968" s="19" t="s">
        <v>556</v>
      </c>
      <c r="AH968" s="19" t="s">
        <v>62</v>
      </c>
      <c r="AI968" s="19" t="s">
        <v>63</v>
      </c>
      <c r="AJ968" s="19" t="s">
        <v>7071</v>
      </c>
      <c r="AK968" s="19"/>
      <c r="AL968" s="19"/>
      <c r="AM968" s="19"/>
      <c r="AN968" s="19" t="s">
        <v>103</v>
      </c>
      <c r="AO968" s="23">
        <v>46042.520833333343</v>
      </c>
      <c r="AP968" s="26">
        <f t="shared" si="32"/>
        <v>18</v>
      </c>
    </row>
    <row r="969" spans="1:42" ht="32.25" hidden="1" customHeight="1">
      <c r="A969" s="19" t="s">
        <v>42</v>
      </c>
      <c r="B969" s="19" t="s">
        <v>5248</v>
      </c>
      <c r="C969" s="19" t="s">
        <v>2101</v>
      </c>
      <c r="D969" s="19" t="s">
        <v>45</v>
      </c>
      <c r="E969" s="19" t="s">
        <v>46</v>
      </c>
      <c r="F969" s="19" t="s">
        <v>7072</v>
      </c>
      <c r="G969" s="19" t="s">
        <v>48</v>
      </c>
      <c r="H969" s="19" t="s">
        <v>49</v>
      </c>
      <c r="I969" s="20">
        <v>46042.574999999997</v>
      </c>
      <c r="K969" s="19"/>
      <c r="L969" s="20">
        <v>46042.578472222223</v>
      </c>
      <c r="M969" s="19"/>
      <c r="N969" s="22">
        <f t="shared" si="34"/>
        <v>3.4722222262644209E-3</v>
      </c>
      <c r="O969" s="19" t="s">
        <v>50</v>
      </c>
      <c r="P969" s="19" t="s">
        <v>5979</v>
      </c>
      <c r="Q969" s="19" t="s">
        <v>7073</v>
      </c>
      <c r="R969" s="19"/>
      <c r="S969" s="19"/>
      <c r="U969" s="19"/>
      <c r="W969" s="19"/>
      <c r="X969" s="19" t="s">
        <v>314</v>
      </c>
      <c r="Y969" s="27" t="s">
        <v>133</v>
      </c>
      <c r="Z969" s="27" t="s">
        <v>7074</v>
      </c>
      <c r="AA969" s="27" t="s">
        <v>7075</v>
      </c>
      <c r="AB969" s="27" t="s">
        <v>7076</v>
      </c>
      <c r="AC969" s="37" t="s">
        <v>7077</v>
      </c>
      <c r="AD969" s="38" t="s">
        <v>7078</v>
      </c>
      <c r="AE969" s="36">
        <v>46023</v>
      </c>
      <c r="AF969" s="19" t="s">
        <v>89</v>
      </c>
      <c r="AG969" s="19" t="s">
        <v>90</v>
      </c>
      <c r="AH969" s="19" t="s">
        <v>62</v>
      </c>
      <c r="AI969" s="19" t="s">
        <v>63</v>
      </c>
      <c r="AJ969" s="19" t="s">
        <v>7079</v>
      </c>
      <c r="AK969" s="19"/>
      <c r="AL969" s="19"/>
      <c r="AM969" s="19"/>
      <c r="AN969" s="19" t="s">
        <v>103</v>
      </c>
      <c r="AO969" s="23">
        <v>46042.574999999997</v>
      </c>
      <c r="AP969" s="26">
        <f t="shared" si="32"/>
        <v>5</v>
      </c>
    </row>
    <row r="970" spans="1:42" ht="32.25" hidden="1" customHeight="1">
      <c r="A970" s="19" t="s">
        <v>42</v>
      </c>
      <c r="B970" s="19" t="s">
        <v>3327</v>
      </c>
      <c r="C970" s="19" t="s">
        <v>658</v>
      </c>
      <c r="D970" s="19" t="s">
        <v>45</v>
      </c>
      <c r="E970" s="19" t="s">
        <v>46</v>
      </c>
      <c r="F970" s="19" t="s">
        <v>7080</v>
      </c>
      <c r="G970" s="19" t="s">
        <v>48</v>
      </c>
      <c r="H970" s="19" t="s">
        <v>49</v>
      </c>
      <c r="I970" s="20">
        <v>46042.679861111108</v>
      </c>
      <c r="K970" s="19"/>
      <c r="L970" s="20">
        <v>46042.686805555553</v>
      </c>
      <c r="M970" s="19"/>
      <c r="N970" s="22">
        <f t="shared" si="34"/>
        <v>6.9444444452528842E-3</v>
      </c>
      <c r="O970" s="19" t="s">
        <v>63</v>
      </c>
      <c r="P970" s="19" t="s">
        <v>7081</v>
      </c>
      <c r="Q970" s="19" t="s">
        <v>7082</v>
      </c>
      <c r="R970" s="19"/>
      <c r="S970" s="19"/>
      <c r="U970" s="19"/>
      <c r="W970" s="19"/>
      <c r="X970" s="19" t="s">
        <v>1069</v>
      </c>
      <c r="Y970" s="27" t="s">
        <v>54</v>
      </c>
      <c r="Z970" s="27" t="s">
        <v>7083</v>
      </c>
      <c r="AA970" s="27" t="s">
        <v>7084</v>
      </c>
      <c r="AB970" s="27" t="s">
        <v>7085</v>
      </c>
      <c r="AC970" s="37" t="s">
        <v>7086</v>
      </c>
      <c r="AD970" s="38" t="s">
        <v>7087</v>
      </c>
      <c r="AE970" s="36">
        <v>46023</v>
      </c>
      <c r="AF970" s="19" t="s">
        <v>89</v>
      </c>
      <c r="AG970" s="19" t="s">
        <v>90</v>
      </c>
      <c r="AH970" s="19" t="s">
        <v>62</v>
      </c>
      <c r="AI970" s="19" t="s">
        <v>63</v>
      </c>
      <c r="AJ970" s="19" t="s">
        <v>5855</v>
      </c>
      <c r="AK970" s="19"/>
      <c r="AL970" s="19"/>
      <c r="AM970" s="19"/>
      <c r="AN970" s="19" t="s">
        <v>103</v>
      </c>
      <c r="AO970" s="23">
        <v>46042.679861111108</v>
      </c>
      <c r="AP970" s="26">
        <f t="shared" si="32"/>
        <v>10</v>
      </c>
    </row>
    <row r="971" spans="1:42" ht="32.25" hidden="1" customHeight="1">
      <c r="A971" s="19" t="s">
        <v>116</v>
      </c>
      <c r="B971" s="19" t="s">
        <v>5509</v>
      </c>
      <c r="C971" s="19" t="s">
        <v>7088</v>
      </c>
      <c r="D971" s="19" t="s">
        <v>45</v>
      </c>
      <c r="E971" s="19" t="s">
        <v>46</v>
      </c>
      <c r="F971" s="19" t="s">
        <v>7089</v>
      </c>
      <c r="G971" s="19" t="s">
        <v>48</v>
      </c>
      <c r="H971" s="19" t="s">
        <v>49</v>
      </c>
      <c r="I971" s="20">
        <v>46042.717361111107</v>
      </c>
      <c r="K971" s="19"/>
      <c r="L971" s="20">
        <v>46042.732638888891</v>
      </c>
      <c r="M971" s="19"/>
      <c r="N971" s="22">
        <f t="shared" si="34"/>
        <v>1.527777778392192E-2</v>
      </c>
      <c r="O971" s="19" t="s">
        <v>50</v>
      </c>
      <c r="P971" s="19" t="s">
        <v>7090</v>
      </c>
      <c r="Q971" s="19" t="s">
        <v>7091</v>
      </c>
      <c r="R971" s="19"/>
      <c r="S971" s="19"/>
      <c r="U971" s="19"/>
      <c r="W971" s="19"/>
      <c r="X971" s="19" t="s">
        <v>269</v>
      </c>
      <c r="Y971" s="27" t="s">
        <v>133</v>
      </c>
      <c r="Z971" s="27" t="s">
        <v>7092</v>
      </c>
      <c r="AA971" s="27" t="s">
        <v>7093</v>
      </c>
      <c r="AB971" s="27" t="s">
        <v>7094</v>
      </c>
      <c r="AC971" s="37" t="s">
        <v>7095</v>
      </c>
      <c r="AD971" s="38" t="s">
        <v>7096</v>
      </c>
      <c r="AE971" s="36">
        <v>46023</v>
      </c>
      <c r="AF971" s="19" t="s">
        <v>89</v>
      </c>
      <c r="AG971" s="19" t="s">
        <v>90</v>
      </c>
      <c r="AH971" s="19" t="s">
        <v>62</v>
      </c>
      <c r="AI971" s="19" t="s">
        <v>63</v>
      </c>
      <c r="AJ971" s="19" t="s">
        <v>7097</v>
      </c>
      <c r="AK971" s="19"/>
      <c r="AL971" s="19"/>
      <c r="AM971" s="19"/>
      <c r="AN971" s="19" t="s">
        <v>103</v>
      </c>
      <c r="AO971" s="23">
        <v>46042.717361111107</v>
      </c>
      <c r="AP971" s="26">
        <f t="shared" si="32"/>
        <v>22</v>
      </c>
    </row>
    <row r="972" spans="1:42" ht="32.25" customHeight="1">
      <c r="A972" s="19" t="s">
        <v>42</v>
      </c>
      <c r="B972" s="19" t="s">
        <v>7098</v>
      </c>
      <c r="C972" s="19" t="s">
        <v>6959</v>
      </c>
      <c r="D972" s="19" t="s">
        <v>45</v>
      </c>
      <c r="E972" s="19" t="s">
        <v>46</v>
      </c>
      <c r="F972" s="19" t="s">
        <v>7099</v>
      </c>
      <c r="G972" s="19" t="s">
        <v>48</v>
      </c>
      <c r="H972" s="19" t="s">
        <v>69</v>
      </c>
      <c r="I972" s="20">
        <v>46042.822916666657</v>
      </c>
      <c r="J972" s="20">
        <v>46042.833333333343</v>
      </c>
      <c r="K972" s="19">
        <v>46042.84375</v>
      </c>
      <c r="L972" s="20">
        <v>46042.847222222219</v>
      </c>
      <c r="M972" s="19"/>
      <c r="N972" s="22">
        <f t="shared" si="34"/>
        <v>2.4305555562023073E-2</v>
      </c>
      <c r="O972" s="19" t="s">
        <v>50</v>
      </c>
      <c r="P972" s="19" t="s">
        <v>7100</v>
      </c>
      <c r="Q972" s="19" t="s">
        <v>7101</v>
      </c>
      <c r="R972" s="19" t="s">
        <v>7102</v>
      </c>
      <c r="S972" s="19" t="s">
        <v>7103</v>
      </c>
      <c r="T972" s="20">
        <v>46043.499305555553</v>
      </c>
      <c r="U972" s="19">
        <v>46045.761111111111</v>
      </c>
      <c r="V972" s="19" t="s">
        <v>157</v>
      </c>
      <c r="W972" s="19"/>
      <c r="X972" s="19" t="s">
        <v>109</v>
      </c>
      <c r="Y972" s="27" t="s">
        <v>54</v>
      </c>
      <c r="Z972" s="27" t="s">
        <v>7104</v>
      </c>
      <c r="AA972" s="27" t="s">
        <v>7105</v>
      </c>
      <c r="AB972" s="27" t="s">
        <v>7106</v>
      </c>
      <c r="AC972" s="37" t="s">
        <v>7107</v>
      </c>
      <c r="AD972" s="38" t="s">
        <v>7108</v>
      </c>
      <c r="AE972" s="36">
        <v>46023</v>
      </c>
      <c r="AF972" s="19" t="s">
        <v>89</v>
      </c>
      <c r="AG972" s="19" t="s">
        <v>656</v>
      </c>
      <c r="AH972" s="19" t="s">
        <v>62</v>
      </c>
      <c r="AI972" s="19" t="s">
        <v>63</v>
      </c>
      <c r="AJ972" s="19" t="s">
        <v>7109</v>
      </c>
      <c r="AK972" s="19"/>
      <c r="AL972" s="19"/>
      <c r="AM972" s="19"/>
      <c r="AN972" s="19" t="s">
        <v>103</v>
      </c>
      <c r="AO972" s="23">
        <v>46042.82916666667</v>
      </c>
      <c r="AP972" s="26">
        <f t="shared" si="32"/>
        <v>35</v>
      </c>
    </row>
    <row r="973" spans="1:42" ht="32.25" hidden="1" customHeight="1">
      <c r="A973" s="19" t="s">
        <v>42</v>
      </c>
      <c r="B973" s="19" t="s">
        <v>309</v>
      </c>
      <c r="C973" s="19" t="s">
        <v>310</v>
      </c>
      <c r="D973" s="19" t="s">
        <v>45</v>
      </c>
      <c r="E973" s="19" t="s">
        <v>46</v>
      </c>
      <c r="F973" s="19" t="s">
        <v>7110</v>
      </c>
      <c r="G973" s="19" t="s">
        <v>48</v>
      </c>
      <c r="H973" s="19" t="s">
        <v>49</v>
      </c>
      <c r="I973" s="20">
        <v>46043.63958333333</v>
      </c>
      <c r="K973" s="19"/>
      <c r="L973" s="20">
        <v>46043.708333333343</v>
      </c>
      <c r="M973" s="19"/>
      <c r="N973" s="22">
        <f t="shared" si="34"/>
        <v>6.8750000013096724E-2</v>
      </c>
      <c r="O973" s="19" t="s">
        <v>63</v>
      </c>
      <c r="P973" s="19" t="s">
        <v>7111</v>
      </c>
      <c r="Q973" s="19" t="s">
        <v>7112</v>
      </c>
      <c r="R973" s="19"/>
      <c r="S973" s="19"/>
      <c r="U973" s="19"/>
      <c r="W973" s="19"/>
      <c r="X973" s="19" t="s">
        <v>314</v>
      </c>
      <c r="Y973" s="27" t="s">
        <v>147</v>
      </c>
      <c r="Z973" s="27" t="s">
        <v>78</v>
      </c>
      <c r="AA973" s="27" t="s">
        <v>78</v>
      </c>
      <c r="AB973" s="27" t="s">
        <v>147</v>
      </c>
      <c r="AC973" s="37" t="s">
        <v>78</v>
      </c>
      <c r="AD973" s="38" t="s">
        <v>78</v>
      </c>
      <c r="AE973" s="36">
        <v>46023</v>
      </c>
      <c r="AF973" s="19" t="s">
        <v>99</v>
      </c>
      <c r="AG973" s="19" t="s">
        <v>100</v>
      </c>
      <c r="AH973" s="19" t="s">
        <v>62</v>
      </c>
      <c r="AI973" s="19" t="s">
        <v>63</v>
      </c>
      <c r="AJ973" s="19" t="s">
        <v>7113</v>
      </c>
      <c r="AK973" s="19" t="s">
        <v>7114</v>
      </c>
      <c r="AL973" s="19"/>
      <c r="AM973" s="19"/>
      <c r="AN973" s="19" t="s">
        <v>103</v>
      </c>
      <c r="AO973" s="23">
        <v>46043.618750000001</v>
      </c>
      <c r="AP973" s="26">
        <f t="shared" si="32"/>
        <v>99</v>
      </c>
    </row>
    <row r="974" spans="1:42" ht="32.25" hidden="1" customHeight="1">
      <c r="A974" s="19" t="s">
        <v>116</v>
      </c>
      <c r="B974" s="19" t="s">
        <v>1523</v>
      </c>
      <c r="C974" s="19" t="s">
        <v>118</v>
      </c>
      <c r="D974" s="19" t="s">
        <v>45</v>
      </c>
      <c r="E974" s="19" t="s">
        <v>46</v>
      </c>
      <c r="F974" s="19" t="s">
        <v>7115</v>
      </c>
      <c r="G974" s="19" t="s">
        <v>48</v>
      </c>
      <c r="H974" s="19" t="s">
        <v>49</v>
      </c>
      <c r="I974" s="20">
        <v>46044.748611111107</v>
      </c>
      <c r="K974" s="19"/>
      <c r="L974" s="20">
        <v>46044.758333333331</v>
      </c>
      <c r="M974" s="19"/>
      <c r="N974" s="22">
        <f t="shared" si="34"/>
        <v>9.7222222248092294E-3</v>
      </c>
      <c r="O974" s="19" t="s">
        <v>50</v>
      </c>
      <c r="P974" s="19" t="s">
        <v>7116</v>
      </c>
      <c r="Q974" s="19" t="s">
        <v>7117</v>
      </c>
      <c r="R974" s="19"/>
      <c r="S974" s="19"/>
      <c r="U974" s="19"/>
      <c r="W974" s="19"/>
      <c r="X974" s="19" t="s">
        <v>122</v>
      </c>
      <c r="Y974" s="27" t="s">
        <v>133</v>
      </c>
      <c r="Z974" s="27" t="s">
        <v>7118</v>
      </c>
      <c r="AA974" s="27" t="s">
        <v>7119</v>
      </c>
      <c r="AB974" s="27" t="s">
        <v>7120</v>
      </c>
      <c r="AC974" s="37" t="s">
        <v>7121</v>
      </c>
      <c r="AD974" s="38" t="s">
        <v>7122</v>
      </c>
      <c r="AE974" s="36">
        <v>46023</v>
      </c>
      <c r="AF974" s="19" t="s">
        <v>89</v>
      </c>
      <c r="AG974" s="19" t="s">
        <v>90</v>
      </c>
      <c r="AH974" s="19" t="s">
        <v>62</v>
      </c>
      <c r="AI974" s="19" t="s">
        <v>63</v>
      </c>
      <c r="AJ974" s="19" t="s">
        <v>7123</v>
      </c>
      <c r="AK974" s="19"/>
      <c r="AL974" s="19"/>
      <c r="AM974" s="19"/>
      <c r="AN974" s="19" t="s">
        <v>128</v>
      </c>
      <c r="AO974" s="23">
        <v>46044.748611111107</v>
      </c>
      <c r="AP974" s="26">
        <f t="shared" si="32"/>
        <v>14</v>
      </c>
    </row>
    <row r="975" spans="1:42" ht="32.25" hidden="1" customHeight="1">
      <c r="A975" s="19" t="s">
        <v>42</v>
      </c>
      <c r="B975" s="19" t="s">
        <v>3843</v>
      </c>
      <c r="C975" s="19" t="s">
        <v>336</v>
      </c>
      <c r="D975" s="19" t="s">
        <v>45</v>
      </c>
      <c r="E975" s="19" t="s">
        <v>46</v>
      </c>
      <c r="F975" s="19" t="s">
        <v>7124</v>
      </c>
      <c r="G975" s="19" t="s">
        <v>48</v>
      </c>
      <c r="H975" s="19" t="s">
        <v>49</v>
      </c>
      <c r="I975" s="20">
        <v>46044.863194444442</v>
      </c>
      <c r="K975" s="19"/>
      <c r="L975" s="20">
        <v>46044.868750000001</v>
      </c>
      <c r="M975" s="19"/>
      <c r="N975" s="22">
        <f t="shared" si="34"/>
        <v>5.5555555591126904E-3</v>
      </c>
      <c r="O975" s="19" t="s">
        <v>50</v>
      </c>
      <c r="P975" s="19" t="s">
        <v>6567</v>
      </c>
      <c r="Q975" s="19" t="s">
        <v>5677</v>
      </c>
      <c r="R975" s="19"/>
      <c r="S975" s="19"/>
      <c r="U975" s="19"/>
      <c r="W975" s="19"/>
      <c r="X975" s="19" t="s">
        <v>314</v>
      </c>
      <c r="Y975" s="27" t="s">
        <v>54</v>
      </c>
      <c r="Z975" s="27" t="s">
        <v>414</v>
      </c>
      <c r="AA975" s="27" t="s">
        <v>7125</v>
      </c>
      <c r="AB975" s="27" t="s">
        <v>7126</v>
      </c>
      <c r="AC975" s="37">
        <v>46044.855555555558</v>
      </c>
      <c r="AD975" s="38">
        <v>46044.890277777777</v>
      </c>
      <c r="AE975" s="36">
        <v>46023</v>
      </c>
      <c r="AF975" s="19" t="s">
        <v>89</v>
      </c>
      <c r="AG975" s="19" t="s">
        <v>90</v>
      </c>
      <c r="AH975" s="19" t="s">
        <v>62</v>
      </c>
      <c r="AI975" s="19" t="s">
        <v>50</v>
      </c>
      <c r="AJ975" s="19" t="s">
        <v>7127</v>
      </c>
      <c r="AK975" s="19"/>
      <c r="AL975" s="19"/>
      <c r="AM975" s="19"/>
      <c r="AN975" s="19" t="s">
        <v>103</v>
      </c>
      <c r="AO975" s="23">
        <v>46044.864583333343</v>
      </c>
      <c r="AP975" s="26">
        <f t="shared" si="32"/>
        <v>8</v>
      </c>
    </row>
    <row r="976" spans="1:42" ht="32.25" hidden="1" customHeight="1">
      <c r="A976" s="19" t="s">
        <v>42</v>
      </c>
      <c r="B976" s="19" t="s">
        <v>7128</v>
      </c>
      <c r="C976" s="19" t="s">
        <v>336</v>
      </c>
      <c r="D976" s="19" t="s">
        <v>45</v>
      </c>
      <c r="E976" s="19" t="s">
        <v>46</v>
      </c>
      <c r="F976" s="19" t="s">
        <v>7129</v>
      </c>
      <c r="G976" s="19" t="s">
        <v>48</v>
      </c>
      <c r="H976" s="19" t="s">
        <v>49</v>
      </c>
      <c r="I976" s="20">
        <v>46045.354166666657</v>
      </c>
      <c r="K976" s="19"/>
      <c r="L976" s="20">
        <v>46045.387499999997</v>
      </c>
      <c r="M976" s="19"/>
      <c r="N976" s="22">
        <f t="shared" si="34"/>
        <v>3.3333333340124227E-2</v>
      </c>
      <c r="O976" s="19" t="s">
        <v>50</v>
      </c>
      <c r="P976" s="19" t="s">
        <v>7130</v>
      </c>
      <c r="Q976" s="19" t="s">
        <v>7131</v>
      </c>
      <c r="R976" s="19"/>
      <c r="S976" s="19"/>
      <c r="U976" s="19"/>
      <c r="W976" s="19"/>
      <c r="X976" s="19" t="s">
        <v>314</v>
      </c>
      <c r="Y976" s="27" t="s">
        <v>147</v>
      </c>
      <c r="Z976" s="27" t="s">
        <v>78</v>
      </c>
      <c r="AA976" s="27" t="s">
        <v>78</v>
      </c>
      <c r="AB976" s="27" t="s">
        <v>147</v>
      </c>
      <c r="AC976" s="37" t="s">
        <v>78</v>
      </c>
      <c r="AD976" s="38" t="s">
        <v>78</v>
      </c>
      <c r="AE976" s="36">
        <v>46023</v>
      </c>
      <c r="AF976" s="19" t="s">
        <v>89</v>
      </c>
      <c r="AG976" s="19" t="s">
        <v>90</v>
      </c>
      <c r="AH976" s="19" t="s">
        <v>62</v>
      </c>
      <c r="AI976" s="19" t="s">
        <v>63</v>
      </c>
      <c r="AJ976" s="19" t="s">
        <v>7132</v>
      </c>
      <c r="AK976" s="19"/>
      <c r="AL976" s="19"/>
      <c r="AM976" s="19"/>
      <c r="AN976" s="19" t="s">
        <v>103</v>
      </c>
      <c r="AO976" s="23">
        <v>46045.354166666657</v>
      </c>
      <c r="AP976" s="26">
        <f t="shared" ref="AP976:AP999" si="35">((HOUR(N976)*60)+MINUTE(N976)+(SECOND(N976)/60))</f>
        <v>48</v>
      </c>
    </row>
    <row r="977" spans="1:42" ht="32.25" hidden="1" customHeight="1">
      <c r="A977" s="19" t="s">
        <v>116</v>
      </c>
      <c r="B977" s="19" t="s">
        <v>93</v>
      </c>
      <c r="C977" s="19" t="s">
        <v>834</v>
      </c>
      <c r="D977" s="19" t="s">
        <v>45</v>
      </c>
      <c r="E977" s="19" t="s">
        <v>46</v>
      </c>
      <c r="F977" s="19" t="s">
        <v>7133</v>
      </c>
      <c r="G977" s="19" t="s">
        <v>48</v>
      </c>
      <c r="H977" s="19" t="s">
        <v>49</v>
      </c>
      <c r="I977" s="20">
        <v>46045.375</v>
      </c>
      <c r="K977" s="19"/>
      <c r="L977" s="20">
        <v>46045.399305555547</v>
      </c>
      <c r="M977" s="19"/>
      <c r="N977" s="22">
        <f t="shared" si="34"/>
        <v>2.4305555547471158E-2</v>
      </c>
      <c r="O977" s="19" t="s">
        <v>50</v>
      </c>
      <c r="P977" s="19" t="s">
        <v>7134</v>
      </c>
      <c r="Q977" s="19" t="s">
        <v>7135</v>
      </c>
      <c r="R977" s="19"/>
      <c r="S977" s="19"/>
      <c r="U977" s="19"/>
      <c r="W977" s="19"/>
      <c r="X977" s="19" t="s">
        <v>98</v>
      </c>
      <c r="Y977" s="27" t="s">
        <v>147</v>
      </c>
      <c r="Z977" s="27" t="s">
        <v>78</v>
      </c>
      <c r="AA977" s="27" t="s">
        <v>78</v>
      </c>
      <c r="AB977" s="27" t="s">
        <v>147</v>
      </c>
      <c r="AC977" s="37" t="s">
        <v>78</v>
      </c>
      <c r="AD977" s="38" t="s">
        <v>78</v>
      </c>
      <c r="AE977" s="36">
        <v>46023</v>
      </c>
      <c r="AF977" s="19" t="s">
        <v>89</v>
      </c>
      <c r="AG977" s="19" t="s">
        <v>90</v>
      </c>
      <c r="AH977" s="19" t="s">
        <v>62</v>
      </c>
      <c r="AI977" s="19" t="s">
        <v>63</v>
      </c>
      <c r="AJ977" s="19" t="s">
        <v>7136</v>
      </c>
      <c r="AK977" s="19"/>
      <c r="AL977" s="19"/>
      <c r="AM977" s="19"/>
      <c r="AN977" s="19" t="s">
        <v>65</v>
      </c>
      <c r="AO977" s="23">
        <v>46045.393750000003</v>
      </c>
      <c r="AP977" s="26">
        <f t="shared" si="35"/>
        <v>35</v>
      </c>
    </row>
    <row r="978" spans="1:42" ht="32.25" hidden="1" customHeight="1">
      <c r="A978" s="19" t="s">
        <v>42</v>
      </c>
      <c r="C978" s="19" t="s">
        <v>105</v>
      </c>
      <c r="D978" s="19" t="s">
        <v>45</v>
      </c>
      <c r="E978" s="19" t="s">
        <v>46</v>
      </c>
      <c r="F978" s="19" t="s">
        <v>7137</v>
      </c>
      <c r="G978" s="19" t="s">
        <v>48</v>
      </c>
      <c r="H978" s="19" t="s">
        <v>49</v>
      </c>
      <c r="I978" s="20">
        <v>46045.708333333343</v>
      </c>
      <c r="K978" s="19"/>
      <c r="L978" s="20">
        <v>46045.770833333343</v>
      </c>
      <c r="M978" s="19"/>
      <c r="N978" s="22">
        <f t="shared" si="34"/>
        <v>6.25E-2</v>
      </c>
      <c r="O978" s="19" t="s">
        <v>63</v>
      </c>
      <c r="P978" s="19" t="s">
        <v>7138</v>
      </c>
      <c r="Q978" s="19" t="s">
        <v>7139</v>
      </c>
      <c r="R978" s="19"/>
      <c r="S978" s="19"/>
      <c r="U978" s="19"/>
      <c r="W978" s="19"/>
      <c r="X978" s="19" t="s">
        <v>109</v>
      </c>
      <c r="Y978" s="27" t="s">
        <v>147</v>
      </c>
      <c r="Z978" s="27" t="s">
        <v>78</v>
      </c>
      <c r="AA978" s="27" t="s">
        <v>78</v>
      </c>
      <c r="AB978" s="27" t="s">
        <v>147</v>
      </c>
      <c r="AC978" s="37" t="s">
        <v>78</v>
      </c>
      <c r="AD978" s="38" t="s">
        <v>78</v>
      </c>
      <c r="AE978" s="36">
        <v>46023</v>
      </c>
      <c r="AF978" s="19" t="s">
        <v>60</v>
      </c>
      <c r="AG978" s="19" t="s">
        <v>78</v>
      </c>
      <c r="AH978" s="19" t="s">
        <v>78</v>
      </c>
      <c r="AI978" s="19" t="s">
        <v>63</v>
      </c>
      <c r="AJ978" s="19" t="s">
        <v>7140</v>
      </c>
      <c r="AK978" s="19"/>
      <c r="AL978" s="19"/>
      <c r="AM978" s="19"/>
      <c r="AN978" s="19" t="s">
        <v>103</v>
      </c>
      <c r="AO978" s="23">
        <v>46045.736111111109</v>
      </c>
      <c r="AP978" s="26">
        <f t="shared" si="35"/>
        <v>90</v>
      </c>
    </row>
    <row r="979" spans="1:42" ht="32.25" hidden="1" customHeight="1">
      <c r="A979" s="19" t="s">
        <v>285</v>
      </c>
      <c r="B979" s="19" t="s">
        <v>6254</v>
      </c>
      <c r="C979" s="19" t="s">
        <v>577</v>
      </c>
      <c r="D979" s="19" t="s">
        <v>45</v>
      </c>
      <c r="E979" s="19" t="s">
        <v>46</v>
      </c>
      <c r="F979" s="19" t="s">
        <v>7141</v>
      </c>
      <c r="G979" s="19" t="s">
        <v>48</v>
      </c>
      <c r="H979" s="19" t="s">
        <v>49</v>
      </c>
      <c r="I979" s="20">
        <v>46046.304861111108</v>
      </c>
      <c r="K979" s="19"/>
      <c r="L979" s="20">
        <v>46046.447916666657</v>
      </c>
      <c r="M979" s="19"/>
      <c r="N979" s="22">
        <f t="shared" si="34"/>
        <v>0.14305555554892635</v>
      </c>
      <c r="O979" s="19" t="s">
        <v>63</v>
      </c>
      <c r="P979" s="19" t="s">
        <v>7142</v>
      </c>
      <c r="Q979" s="19" t="s">
        <v>7143</v>
      </c>
      <c r="R979" s="19"/>
      <c r="S979" s="19"/>
      <c r="U979" s="19"/>
      <c r="W979" s="19"/>
      <c r="X979" s="19" t="s">
        <v>191</v>
      </c>
      <c r="Y979" s="27" t="s">
        <v>147</v>
      </c>
      <c r="Z979" s="27" t="s">
        <v>78</v>
      </c>
      <c r="AA979" s="27" t="s">
        <v>78</v>
      </c>
      <c r="AB979" s="27" t="s">
        <v>147</v>
      </c>
      <c r="AC979" s="37" t="s">
        <v>78</v>
      </c>
      <c r="AD979" s="38" t="s">
        <v>78</v>
      </c>
      <c r="AE979" s="36">
        <v>46023</v>
      </c>
      <c r="AF979" s="19" t="s">
        <v>89</v>
      </c>
      <c r="AG979" s="19" t="s">
        <v>90</v>
      </c>
      <c r="AH979" s="19" t="s">
        <v>62</v>
      </c>
      <c r="AI979" s="19" t="s">
        <v>63</v>
      </c>
      <c r="AJ979" s="19" t="s">
        <v>7144</v>
      </c>
      <c r="AK979" s="19"/>
      <c r="AL979" s="19"/>
      <c r="AM979" s="19"/>
      <c r="AN979" s="19" t="s">
        <v>65</v>
      </c>
      <c r="AO979" s="23">
        <v>46046.304861111108</v>
      </c>
      <c r="AP979" s="26">
        <f t="shared" si="35"/>
        <v>206</v>
      </c>
    </row>
    <row r="980" spans="1:42" ht="25.5" hidden="1" customHeight="1">
      <c r="A980" s="19" t="s">
        <v>42</v>
      </c>
      <c r="B980" s="19" t="s">
        <v>3388</v>
      </c>
      <c r="C980" s="19" t="s">
        <v>1971</v>
      </c>
      <c r="D980" s="19" t="s">
        <v>45</v>
      </c>
      <c r="E980" s="19" t="s">
        <v>46</v>
      </c>
      <c r="F980" s="19" t="s">
        <v>7145</v>
      </c>
      <c r="G980" s="19" t="s">
        <v>48</v>
      </c>
      <c r="H980" s="19" t="s">
        <v>49</v>
      </c>
      <c r="I980" s="20">
        <v>46046.65347222222</v>
      </c>
      <c r="K980" s="19"/>
      <c r="L980" s="20">
        <v>46046.660416666673</v>
      </c>
      <c r="M980" s="19"/>
      <c r="N980" s="22">
        <f t="shared" si="34"/>
        <v>6.9444444525288418E-3</v>
      </c>
      <c r="O980" s="19" t="s">
        <v>50</v>
      </c>
      <c r="P980" s="19" t="s">
        <v>4765</v>
      </c>
      <c r="Q980" s="19" t="s">
        <v>7146</v>
      </c>
      <c r="R980" s="19"/>
      <c r="S980" s="19"/>
      <c r="U980" s="19"/>
      <c r="W980" s="19"/>
      <c r="X980" s="19" t="s">
        <v>53</v>
      </c>
      <c r="Y980" s="27" t="s">
        <v>54</v>
      </c>
      <c r="Z980" s="27" t="s">
        <v>414</v>
      </c>
      <c r="AA980" s="27" t="s">
        <v>7147</v>
      </c>
      <c r="AB980" s="27" t="s">
        <v>7148</v>
      </c>
      <c r="AC980" s="37">
        <v>46046.653564814813</v>
      </c>
      <c r="AD980" s="38">
        <v>46046.667453703703</v>
      </c>
      <c r="AE980" s="36">
        <v>46023</v>
      </c>
      <c r="AF980" s="19" t="s">
        <v>89</v>
      </c>
      <c r="AG980" s="19" t="s">
        <v>90</v>
      </c>
      <c r="AH980" s="19" t="s">
        <v>62</v>
      </c>
      <c r="AI980" s="19" t="s">
        <v>50</v>
      </c>
      <c r="AJ980" s="19" t="s">
        <v>7149</v>
      </c>
      <c r="AK980" s="19"/>
      <c r="AL980" s="19"/>
      <c r="AM980" s="19"/>
      <c r="AN980" s="19" t="s">
        <v>65</v>
      </c>
      <c r="AO980" s="23">
        <v>46046.65347222222</v>
      </c>
      <c r="AP980" s="26">
        <f t="shared" si="35"/>
        <v>10</v>
      </c>
    </row>
    <row r="981" spans="1:42" ht="32.25" hidden="1" customHeight="1">
      <c r="A981" s="19" t="s">
        <v>285</v>
      </c>
      <c r="B981" s="19" t="s">
        <v>6254</v>
      </c>
      <c r="C981" s="19" t="s">
        <v>577</v>
      </c>
      <c r="D981" s="19" t="s">
        <v>45</v>
      </c>
      <c r="E981" s="19" t="s">
        <v>46</v>
      </c>
      <c r="F981" s="19" t="s">
        <v>7150</v>
      </c>
      <c r="G981" s="19" t="s">
        <v>48</v>
      </c>
      <c r="H981" s="19" t="s">
        <v>49</v>
      </c>
      <c r="I981" s="20">
        <v>46047.34375</v>
      </c>
      <c r="K981" s="19"/>
      <c r="L981" s="20">
        <v>46047.363888888889</v>
      </c>
      <c r="M981" s="19"/>
      <c r="N981" s="22">
        <f t="shared" si="34"/>
        <v>2.0138888889050577E-2</v>
      </c>
      <c r="O981" s="19" t="s">
        <v>63</v>
      </c>
      <c r="P981" s="19" t="s">
        <v>6988</v>
      </c>
      <c r="Q981" s="19" t="s">
        <v>7151</v>
      </c>
      <c r="R981" s="19"/>
      <c r="S981" s="19"/>
      <c r="U981" s="19"/>
      <c r="W981" s="19"/>
      <c r="X981" s="19" t="s">
        <v>191</v>
      </c>
      <c r="Y981" s="27" t="s">
        <v>147</v>
      </c>
      <c r="Z981" s="27" t="s">
        <v>78</v>
      </c>
      <c r="AA981" s="27" t="s">
        <v>78</v>
      </c>
      <c r="AB981" s="27" t="s">
        <v>147</v>
      </c>
      <c r="AC981" s="37" t="s">
        <v>78</v>
      </c>
      <c r="AD981" s="38" t="s">
        <v>78</v>
      </c>
      <c r="AE981" s="36">
        <v>46023</v>
      </c>
      <c r="AF981" s="19" t="s">
        <v>89</v>
      </c>
      <c r="AG981" s="19" t="s">
        <v>90</v>
      </c>
      <c r="AH981" s="19" t="s">
        <v>62</v>
      </c>
      <c r="AI981" s="19" t="s">
        <v>63</v>
      </c>
      <c r="AJ981" s="19" t="s">
        <v>6990</v>
      </c>
      <c r="AK981" s="19"/>
      <c r="AL981" s="19"/>
      <c r="AM981" s="19"/>
      <c r="AN981" s="19" t="s">
        <v>65</v>
      </c>
      <c r="AO981" s="23">
        <v>46047.34375</v>
      </c>
      <c r="AP981" s="26">
        <f t="shared" si="35"/>
        <v>29</v>
      </c>
    </row>
    <row r="982" spans="1:42" ht="32.25" hidden="1" customHeight="1">
      <c r="A982" s="19" t="s">
        <v>42</v>
      </c>
      <c r="B982" s="19" t="s">
        <v>7152</v>
      </c>
      <c r="C982" s="19" t="s">
        <v>3725</v>
      </c>
      <c r="D982" s="19" t="s">
        <v>45</v>
      </c>
      <c r="E982" s="19" t="s">
        <v>46</v>
      </c>
      <c r="F982" s="19" t="s">
        <v>7153</v>
      </c>
      <c r="G982" s="19" t="s">
        <v>48</v>
      </c>
      <c r="H982" s="19" t="s">
        <v>49</v>
      </c>
      <c r="I982" s="20">
        <v>46047.560416666667</v>
      </c>
      <c r="K982" s="19"/>
      <c r="L982" s="20">
        <v>46047.569444444453</v>
      </c>
      <c r="M982" s="19"/>
      <c r="N982" s="22">
        <f t="shared" si="34"/>
        <v>9.0277777853771113E-3</v>
      </c>
      <c r="O982" s="19" t="s">
        <v>50</v>
      </c>
      <c r="P982" s="19" t="s">
        <v>7154</v>
      </c>
      <c r="Q982" s="19" t="s">
        <v>7155</v>
      </c>
      <c r="R982" s="19"/>
      <c r="S982" s="19"/>
      <c r="U982" s="19"/>
      <c r="W982" s="19"/>
      <c r="X982" s="19" t="s">
        <v>109</v>
      </c>
      <c r="Y982" s="27" t="s">
        <v>54</v>
      </c>
      <c r="Z982" s="27" t="s">
        <v>414</v>
      </c>
      <c r="AA982" s="27" t="s">
        <v>7147</v>
      </c>
      <c r="AB982" s="27" t="s">
        <v>7148</v>
      </c>
      <c r="AC982" s="37">
        <v>46046.653564814813</v>
      </c>
      <c r="AD982" s="38">
        <v>46046.667453703703</v>
      </c>
      <c r="AE982" s="36">
        <v>46023</v>
      </c>
      <c r="AF982" s="19" t="s">
        <v>89</v>
      </c>
      <c r="AG982" s="19" t="s">
        <v>90</v>
      </c>
      <c r="AH982" s="19" t="s">
        <v>62</v>
      </c>
      <c r="AI982" s="19" t="s">
        <v>63</v>
      </c>
      <c r="AJ982" s="19" t="s">
        <v>7156</v>
      </c>
      <c r="AK982" s="19"/>
      <c r="AL982" s="19"/>
      <c r="AM982" s="19"/>
      <c r="AN982" s="19" t="s">
        <v>65</v>
      </c>
      <c r="AO982" s="23">
        <v>46047.560416666667</v>
      </c>
      <c r="AP982" s="26">
        <f t="shared" si="35"/>
        <v>13</v>
      </c>
    </row>
    <row r="983" spans="1:42" ht="32.25" hidden="1" customHeight="1">
      <c r="A983" s="19" t="s">
        <v>42</v>
      </c>
      <c r="B983" s="19" t="s">
        <v>7157</v>
      </c>
      <c r="C983" s="19" t="s">
        <v>336</v>
      </c>
      <c r="D983" s="19" t="s">
        <v>45</v>
      </c>
      <c r="E983" s="19" t="s">
        <v>46</v>
      </c>
      <c r="F983" s="19" t="s">
        <v>7158</v>
      </c>
      <c r="G983" s="19" t="s">
        <v>48</v>
      </c>
      <c r="H983" s="19" t="s">
        <v>49</v>
      </c>
      <c r="I983" s="20">
        <v>46047.878472222219</v>
      </c>
      <c r="K983" s="19"/>
      <c r="L983" s="20">
        <v>46047.885416666657</v>
      </c>
      <c r="M983" s="19"/>
      <c r="N983" s="22">
        <f t="shared" ref="N983:N999" si="36">L983-I983</f>
        <v>6.9444444379769266E-3</v>
      </c>
      <c r="O983" s="19" t="s">
        <v>50</v>
      </c>
      <c r="P983" s="19" t="s">
        <v>7159</v>
      </c>
      <c r="Q983" s="19" t="s">
        <v>7160</v>
      </c>
      <c r="R983" s="19"/>
      <c r="S983" s="19"/>
      <c r="U983" s="19"/>
      <c r="W983" s="19"/>
      <c r="X983" s="19" t="s">
        <v>314</v>
      </c>
      <c r="Y983" s="27" t="s">
        <v>54</v>
      </c>
      <c r="Z983" s="27" t="s">
        <v>1691</v>
      </c>
      <c r="AA983" s="27" t="s">
        <v>7161</v>
      </c>
      <c r="AB983" s="27" t="s">
        <v>7162</v>
      </c>
      <c r="AC983" s="37" t="s">
        <v>7163</v>
      </c>
      <c r="AD983" s="38" t="s">
        <v>7164</v>
      </c>
      <c r="AE983" s="36">
        <v>46023</v>
      </c>
      <c r="AF983" s="19" t="s">
        <v>99</v>
      </c>
      <c r="AG983" s="19" t="s">
        <v>971</v>
      </c>
      <c r="AH983" s="19" t="s">
        <v>62</v>
      </c>
      <c r="AI983" s="19" t="s">
        <v>63</v>
      </c>
      <c r="AJ983" s="19" t="s">
        <v>7165</v>
      </c>
      <c r="AK983" s="19" t="s">
        <v>7166</v>
      </c>
      <c r="AL983" s="19"/>
      <c r="AM983" s="19"/>
      <c r="AN983" s="19" t="s">
        <v>103</v>
      </c>
      <c r="AO983" s="23">
        <v>46047.878472222219</v>
      </c>
      <c r="AP983" s="26">
        <f t="shared" si="35"/>
        <v>10</v>
      </c>
    </row>
    <row r="984" spans="1:42" ht="32.25" hidden="1" customHeight="1">
      <c r="A984" s="19" t="s">
        <v>42</v>
      </c>
      <c r="B984" s="19" t="s">
        <v>7167</v>
      </c>
      <c r="C984" s="19" t="s">
        <v>7168</v>
      </c>
      <c r="D984" s="19" t="s">
        <v>45</v>
      </c>
      <c r="E984" s="19" t="s">
        <v>46</v>
      </c>
      <c r="F984" s="19" t="s">
        <v>7158</v>
      </c>
      <c r="G984" s="19" t="s">
        <v>226</v>
      </c>
      <c r="H984" s="19" t="s">
        <v>49</v>
      </c>
      <c r="I984" s="20">
        <v>46047.906944444447</v>
      </c>
      <c r="K984" s="19"/>
      <c r="L984" s="20">
        <v>46047.979166666657</v>
      </c>
      <c r="M984" s="19"/>
      <c r="N984" s="22">
        <f t="shared" si="36"/>
        <v>7.2222222210257314E-2</v>
      </c>
      <c r="O984" s="19" t="s">
        <v>50</v>
      </c>
      <c r="P984" s="19" t="s">
        <v>7169</v>
      </c>
      <c r="Q984" s="19" t="s">
        <v>7170</v>
      </c>
      <c r="R984" s="19"/>
      <c r="S984" s="19"/>
      <c r="U984" s="19"/>
      <c r="W984" s="19"/>
      <c r="X984" s="19" t="s">
        <v>314</v>
      </c>
      <c r="Y984" s="27" t="s">
        <v>147</v>
      </c>
      <c r="Z984" s="27" t="s">
        <v>78</v>
      </c>
      <c r="AA984" s="27" t="s">
        <v>78</v>
      </c>
      <c r="AB984" s="27" t="s">
        <v>147</v>
      </c>
      <c r="AC984" s="37" t="s">
        <v>78</v>
      </c>
      <c r="AD984" s="38" t="s">
        <v>78</v>
      </c>
      <c r="AE984" s="36">
        <v>46023</v>
      </c>
      <c r="AF984" s="19" t="s">
        <v>99</v>
      </c>
      <c r="AG984" s="19" t="s">
        <v>768</v>
      </c>
      <c r="AH984" s="19" t="s">
        <v>62</v>
      </c>
      <c r="AI984" s="19" t="s">
        <v>50</v>
      </c>
      <c r="AJ984" s="19" t="s">
        <v>7171</v>
      </c>
      <c r="AK984" s="19" t="s">
        <v>7166</v>
      </c>
      <c r="AL984" s="19"/>
      <c r="AM984" s="19"/>
      <c r="AN984" s="19" t="s">
        <v>103</v>
      </c>
      <c r="AO984" s="23">
        <v>46047.906944444447</v>
      </c>
      <c r="AP984" s="26">
        <f t="shared" si="35"/>
        <v>104</v>
      </c>
    </row>
    <row r="985" spans="1:42" ht="32.25" hidden="1" customHeight="1">
      <c r="A985" s="19" t="s">
        <v>42</v>
      </c>
      <c r="B985" s="19" t="s">
        <v>93</v>
      </c>
      <c r="C985" s="19" t="s">
        <v>3504</v>
      </c>
      <c r="D985" s="19" t="s">
        <v>45</v>
      </c>
      <c r="E985" s="19" t="s">
        <v>46</v>
      </c>
      <c r="F985" s="19" t="s">
        <v>7172</v>
      </c>
      <c r="G985" s="19" t="s">
        <v>48</v>
      </c>
      <c r="H985" s="19" t="s">
        <v>49</v>
      </c>
      <c r="I985" s="20">
        <v>46048.592361111107</v>
      </c>
      <c r="K985" s="19"/>
      <c r="L985" s="20">
        <v>46048.600694444453</v>
      </c>
      <c r="M985" s="19"/>
      <c r="N985" s="22">
        <f t="shared" si="36"/>
        <v>8.3333333459449932E-3</v>
      </c>
      <c r="O985" s="19" t="s">
        <v>63</v>
      </c>
      <c r="P985" s="19" t="s">
        <v>7173</v>
      </c>
      <c r="Q985" s="19" t="s">
        <v>7174</v>
      </c>
      <c r="R985" s="19"/>
      <c r="S985" s="19"/>
      <c r="U985" s="19"/>
      <c r="W985" s="19"/>
      <c r="X985" s="19" t="s">
        <v>314</v>
      </c>
      <c r="Y985" s="27" t="s">
        <v>147</v>
      </c>
      <c r="Z985" s="27" t="s">
        <v>78</v>
      </c>
      <c r="AA985" s="27" t="s">
        <v>78</v>
      </c>
      <c r="AB985" s="27" t="s">
        <v>147</v>
      </c>
      <c r="AC985" s="37" t="s">
        <v>78</v>
      </c>
      <c r="AD985" s="38" t="s">
        <v>78</v>
      </c>
      <c r="AE985" s="36">
        <v>46023</v>
      </c>
      <c r="AF985" s="19" t="s">
        <v>89</v>
      </c>
      <c r="AG985" s="19" t="s">
        <v>90</v>
      </c>
      <c r="AH985" s="19" t="s">
        <v>62</v>
      </c>
      <c r="AI985" s="19" t="s">
        <v>63</v>
      </c>
      <c r="AJ985" s="19" t="s">
        <v>3508</v>
      </c>
      <c r="AK985" s="19"/>
      <c r="AL985" s="19"/>
      <c r="AM985" s="19"/>
      <c r="AN985" s="19" t="s">
        <v>103</v>
      </c>
      <c r="AO985" s="23">
        <v>46048.592361111107</v>
      </c>
      <c r="AP985" s="26">
        <f t="shared" si="35"/>
        <v>12</v>
      </c>
    </row>
    <row r="986" spans="1:42" ht="32.25" hidden="1" customHeight="1">
      <c r="A986" s="19" t="s">
        <v>42</v>
      </c>
      <c r="B986" s="19" t="s">
        <v>7175</v>
      </c>
      <c r="C986" s="19" t="s">
        <v>7176</v>
      </c>
      <c r="D986" s="19" t="s">
        <v>45</v>
      </c>
      <c r="E986" s="19" t="s">
        <v>46</v>
      </c>
      <c r="F986" s="19" t="s">
        <v>7177</v>
      </c>
      <c r="G986" s="19" t="s">
        <v>48</v>
      </c>
      <c r="H986" s="19" t="s">
        <v>49</v>
      </c>
      <c r="I986" s="20">
        <v>46048.347916666673</v>
      </c>
      <c r="K986" s="19"/>
      <c r="L986" s="20">
        <v>46048.368055555547</v>
      </c>
      <c r="M986" s="19"/>
      <c r="N986" s="22">
        <f t="shared" si="36"/>
        <v>2.0138888874498662E-2</v>
      </c>
      <c r="O986" s="19" t="s">
        <v>63</v>
      </c>
      <c r="P986" s="19" t="s">
        <v>7178</v>
      </c>
      <c r="Q986" s="19" t="s">
        <v>7179</v>
      </c>
      <c r="R986" s="19"/>
      <c r="S986" s="19"/>
      <c r="U986" s="19"/>
      <c r="W986" s="19"/>
      <c r="X986" s="19" t="s">
        <v>537</v>
      </c>
      <c r="Y986" s="27" t="s">
        <v>54</v>
      </c>
      <c r="Z986" s="27" t="s">
        <v>414</v>
      </c>
      <c r="AA986" s="27" t="s">
        <v>7180</v>
      </c>
      <c r="AB986" s="27" t="s">
        <v>7181</v>
      </c>
      <c r="AC986" s="37">
        <v>46048.364583333343</v>
      </c>
      <c r="AD986" s="38">
        <v>46048.368055555547</v>
      </c>
      <c r="AE986" s="36">
        <v>46023</v>
      </c>
      <c r="AF986" s="19" t="s">
        <v>89</v>
      </c>
      <c r="AG986" s="19" t="s">
        <v>90</v>
      </c>
      <c r="AH986" s="19" t="s">
        <v>62</v>
      </c>
      <c r="AI986" s="19" t="s">
        <v>63</v>
      </c>
      <c r="AJ986" s="19" t="s">
        <v>5855</v>
      </c>
      <c r="AK986" s="19"/>
      <c r="AL986" s="19"/>
      <c r="AM986" s="19"/>
      <c r="AN986" s="19" t="s">
        <v>65</v>
      </c>
      <c r="AO986" s="23">
        <v>46048.352083333331</v>
      </c>
      <c r="AP986" s="26">
        <f t="shared" si="35"/>
        <v>29</v>
      </c>
    </row>
    <row r="987" spans="1:42" ht="32.25" hidden="1" customHeight="1">
      <c r="A987" s="19" t="s">
        <v>42</v>
      </c>
      <c r="B987" s="19" t="s">
        <v>7182</v>
      </c>
      <c r="C987" s="19" t="s">
        <v>2196</v>
      </c>
      <c r="D987" s="19" t="s">
        <v>45</v>
      </c>
      <c r="E987" s="19" t="s">
        <v>46</v>
      </c>
      <c r="F987" s="19" t="s">
        <v>7183</v>
      </c>
      <c r="G987" s="19" t="s">
        <v>48</v>
      </c>
      <c r="H987" s="19" t="s">
        <v>49</v>
      </c>
      <c r="I987" s="20">
        <v>46048.402777777781</v>
      </c>
      <c r="K987" s="19"/>
      <c r="L987" s="20">
        <v>46048.40625</v>
      </c>
      <c r="M987" s="19"/>
      <c r="N987" s="22">
        <f t="shared" si="36"/>
        <v>3.4722222189884633E-3</v>
      </c>
      <c r="O987" s="19" t="s">
        <v>50</v>
      </c>
      <c r="P987" s="19" t="s">
        <v>7184</v>
      </c>
      <c r="Q987" s="19" t="s">
        <v>7185</v>
      </c>
      <c r="R987" s="19"/>
      <c r="S987" s="19"/>
      <c r="U987" s="19"/>
      <c r="W987" s="19"/>
      <c r="X987" s="19" t="s">
        <v>1589</v>
      </c>
      <c r="Y987" s="27" t="s">
        <v>147</v>
      </c>
      <c r="Z987" s="27" t="s">
        <v>78</v>
      </c>
      <c r="AA987" s="27" t="s">
        <v>78</v>
      </c>
      <c r="AB987" s="27" t="s">
        <v>147</v>
      </c>
      <c r="AC987" s="37" t="s">
        <v>78</v>
      </c>
      <c r="AD987" s="38" t="s">
        <v>78</v>
      </c>
      <c r="AE987" s="36">
        <v>46023</v>
      </c>
      <c r="AF987" s="19" t="s">
        <v>89</v>
      </c>
      <c r="AG987" s="19" t="s">
        <v>90</v>
      </c>
      <c r="AH987" s="19" t="s">
        <v>62</v>
      </c>
      <c r="AI987" s="19" t="s">
        <v>63</v>
      </c>
      <c r="AJ987" s="19" t="s">
        <v>5855</v>
      </c>
      <c r="AK987" s="19"/>
      <c r="AL987" s="19"/>
      <c r="AM987" s="19"/>
      <c r="AN987" s="19" t="s">
        <v>65</v>
      </c>
      <c r="AO987" s="23">
        <v>46048.402777777781</v>
      </c>
      <c r="AP987" s="26">
        <f t="shared" si="35"/>
        <v>5</v>
      </c>
    </row>
    <row r="988" spans="1:42" ht="32.25" hidden="1" customHeight="1">
      <c r="A988" s="19" t="s">
        <v>285</v>
      </c>
      <c r="B988" s="19" t="s">
        <v>6254</v>
      </c>
      <c r="C988" s="19" t="s">
        <v>886</v>
      </c>
      <c r="D988" s="19" t="s">
        <v>45</v>
      </c>
      <c r="E988" s="19" t="s">
        <v>46</v>
      </c>
      <c r="F988" s="19" t="s">
        <v>7186</v>
      </c>
      <c r="G988" s="19" t="s">
        <v>48</v>
      </c>
      <c r="H988" s="19" t="s">
        <v>49</v>
      </c>
      <c r="I988" s="20">
        <v>46048.765972222223</v>
      </c>
      <c r="K988" s="19"/>
      <c r="L988" s="20">
        <v>46048.85</v>
      </c>
      <c r="M988" s="19"/>
      <c r="N988" s="22">
        <f t="shared" si="36"/>
        <v>8.4027777775190771E-2</v>
      </c>
      <c r="O988" s="19" t="s">
        <v>63</v>
      </c>
      <c r="P988" s="19" t="s">
        <v>7187</v>
      </c>
      <c r="Q988" s="19" t="s">
        <v>7188</v>
      </c>
      <c r="R988" s="19"/>
      <c r="S988" s="19"/>
      <c r="U988" s="19"/>
      <c r="W988" s="19"/>
      <c r="X988" s="19" t="s">
        <v>191</v>
      </c>
      <c r="Y988" s="27" t="s">
        <v>147</v>
      </c>
      <c r="Z988" s="27" t="s">
        <v>78</v>
      </c>
      <c r="AA988" s="27" t="s">
        <v>78</v>
      </c>
      <c r="AB988" s="27" t="s">
        <v>147</v>
      </c>
      <c r="AC988" s="37" t="s">
        <v>78</v>
      </c>
      <c r="AD988" s="38" t="s">
        <v>78</v>
      </c>
      <c r="AE988" s="36">
        <v>46023</v>
      </c>
      <c r="AF988" s="19" t="s">
        <v>293</v>
      </c>
      <c r="AG988" s="19" t="s">
        <v>307</v>
      </c>
      <c r="AH988" s="19" t="s">
        <v>164</v>
      </c>
      <c r="AI988" s="19" t="s">
        <v>63</v>
      </c>
      <c r="AJ988" s="19" t="s">
        <v>7189</v>
      </c>
      <c r="AK988" s="19"/>
      <c r="AL988" s="19"/>
      <c r="AM988" s="19"/>
      <c r="AN988" s="19" t="s">
        <v>65</v>
      </c>
      <c r="AO988" s="23">
        <v>46048.765972222223</v>
      </c>
      <c r="AP988" s="26">
        <f t="shared" si="35"/>
        <v>121</v>
      </c>
    </row>
    <row r="989" spans="1:42" ht="32.25" hidden="1" customHeight="1">
      <c r="A989" s="19" t="s">
        <v>42</v>
      </c>
      <c r="B989" s="19" t="s">
        <v>5248</v>
      </c>
      <c r="C989" s="19" t="s">
        <v>2101</v>
      </c>
      <c r="D989" s="19" t="s">
        <v>45</v>
      </c>
      <c r="E989" s="19" t="s">
        <v>46</v>
      </c>
      <c r="F989" s="19" t="s">
        <v>7190</v>
      </c>
      <c r="G989" s="19" t="s">
        <v>48</v>
      </c>
      <c r="H989" s="19" t="s">
        <v>49</v>
      </c>
      <c r="I989" s="20">
        <v>46049.644444444442</v>
      </c>
      <c r="K989" s="19"/>
      <c r="L989" s="20">
        <v>46049.649305555547</v>
      </c>
      <c r="M989" s="19"/>
      <c r="N989" s="22">
        <f t="shared" si="36"/>
        <v>4.8611111051286571E-3</v>
      </c>
      <c r="O989" s="19" t="s">
        <v>50</v>
      </c>
      <c r="P989" s="19" t="s">
        <v>5979</v>
      </c>
      <c r="Q989" s="19" t="s">
        <v>7191</v>
      </c>
      <c r="R989" s="19"/>
      <c r="S989" s="19"/>
      <c r="U989" s="19"/>
      <c r="W989" s="19"/>
      <c r="X989" s="19" t="s">
        <v>314</v>
      </c>
      <c r="Y989" s="27" t="s">
        <v>133</v>
      </c>
      <c r="Z989" s="27" t="s">
        <v>414</v>
      </c>
      <c r="AA989" s="27" t="s">
        <v>7192</v>
      </c>
      <c r="AB989" s="27" t="s">
        <v>7193</v>
      </c>
      <c r="AC989" s="37">
        <v>46049.644444444442</v>
      </c>
      <c r="AD989" s="38">
        <v>46049.654861111107</v>
      </c>
      <c r="AE989" s="36">
        <v>46023</v>
      </c>
      <c r="AF989" s="19" t="s">
        <v>89</v>
      </c>
      <c r="AG989" s="19" t="s">
        <v>90</v>
      </c>
      <c r="AH989" s="19" t="s">
        <v>62</v>
      </c>
      <c r="AI989" s="19" t="s">
        <v>63</v>
      </c>
      <c r="AJ989" s="19" t="s">
        <v>7194</v>
      </c>
      <c r="AK989" s="19"/>
      <c r="AL989" s="19"/>
      <c r="AM989" s="19"/>
      <c r="AN989" s="19" t="s">
        <v>103</v>
      </c>
      <c r="AO989" s="23">
        <v>46049.644444444442</v>
      </c>
      <c r="AP989" s="26">
        <f t="shared" si="35"/>
        <v>7</v>
      </c>
    </row>
    <row r="990" spans="1:42" ht="32.25" hidden="1" customHeight="1">
      <c r="A990" s="19" t="s">
        <v>42</v>
      </c>
      <c r="B990" s="19" t="s">
        <v>93</v>
      </c>
      <c r="C990" s="19" t="s">
        <v>94</v>
      </c>
      <c r="D990" s="19" t="s">
        <v>45</v>
      </c>
      <c r="E990" s="19" t="s">
        <v>46</v>
      </c>
      <c r="F990" s="19" t="s">
        <v>7195</v>
      </c>
      <c r="G990" s="19" t="s">
        <v>48</v>
      </c>
      <c r="H990" s="19" t="s">
        <v>49</v>
      </c>
      <c r="I990" s="20">
        <v>46049.67083333333</v>
      </c>
      <c r="K990" s="19"/>
      <c r="L990" s="20">
        <v>46049.786805555559</v>
      </c>
      <c r="M990" s="19"/>
      <c r="N990" s="22">
        <f t="shared" si="36"/>
        <v>0.1159722222291748</v>
      </c>
      <c r="O990" s="19" t="s">
        <v>63</v>
      </c>
      <c r="P990" s="19" t="s">
        <v>7196</v>
      </c>
      <c r="Q990" s="19" t="s">
        <v>7197</v>
      </c>
      <c r="R990" s="19"/>
      <c r="S990" s="19"/>
      <c r="U990" s="19"/>
      <c r="W990" s="19"/>
      <c r="X990" s="19" t="s">
        <v>98</v>
      </c>
      <c r="Y990" s="27" t="s">
        <v>54</v>
      </c>
      <c r="Z990" s="27" t="s">
        <v>209</v>
      </c>
      <c r="AA990" s="27" t="s">
        <v>7198</v>
      </c>
      <c r="AB990" s="27" t="s">
        <v>7199</v>
      </c>
      <c r="AC990" s="37">
        <v>46049.654027777768</v>
      </c>
      <c r="AD990" s="38">
        <v>46049.79824074074</v>
      </c>
      <c r="AE990" s="36">
        <v>46023</v>
      </c>
      <c r="AF990" s="19" t="s">
        <v>89</v>
      </c>
      <c r="AG990" s="19" t="s">
        <v>90</v>
      </c>
      <c r="AH990" s="19" t="s">
        <v>62</v>
      </c>
      <c r="AI990" s="19" t="s">
        <v>63</v>
      </c>
      <c r="AJ990" s="19" t="s">
        <v>7200</v>
      </c>
      <c r="AK990" s="19"/>
      <c r="AL990" s="19"/>
      <c r="AM990" s="19"/>
      <c r="AN990" s="19" t="s">
        <v>65</v>
      </c>
      <c r="AO990" s="23">
        <v>46049.67083333333</v>
      </c>
      <c r="AP990" s="26">
        <f t="shared" si="35"/>
        <v>167</v>
      </c>
    </row>
    <row r="991" spans="1:42" ht="32.25" hidden="1" customHeight="1">
      <c r="A991" s="19" t="s">
        <v>285</v>
      </c>
      <c r="B991" s="19" t="s">
        <v>6254</v>
      </c>
      <c r="C991" s="19" t="s">
        <v>577</v>
      </c>
      <c r="D991" s="19" t="s">
        <v>45</v>
      </c>
      <c r="E991" s="19" t="s">
        <v>46</v>
      </c>
      <c r="F991" s="19" t="s">
        <v>7201</v>
      </c>
      <c r="G991" s="19" t="s">
        <v>48</v>
      </c>
      <c r="H991" s="19" t="s">
        <v>49</v>
      </c>
      <c r="I991" s="20">
        <v>46050.488194444442</v>
      </c>
      <c r="K991" s="19"/>
      <c r="L991" s="20">
        <v>46050.496527777781</v>
      </c>
      <c r="M991" s="19"/>
      <c r="N991" s="22">
        <f t="shared" si="36"/>
        <v>8.3333333386690356E-3</v>
      </c>
      <c r="O991" s="19" t="s">
        <v>50</v>
      </c>
      <c r="P991" s="19" t="s">
        <v>7202</v>
      </c>
      <c r="Q991" s="19" t="s">
        <v>7203</v>
      </c>
      <c r="R991" s="19"/>
      <c r="S991" s="19"/>
      <c r="U991" s="19"/>
      <c r="W991" s="19"/>
      <c r="X991" s="19" t="s">
        <v>191</v>
      </c>
      <c r="Y991" s="27" t="s">
        <v>54</v>
      </c>
      <c r="Z991" s="27" t="s">
        <v>123</v>
      </c>
      <c r="AA991" s="27" t="s">
        <v>7204</v>
      </c>
      <c r="AB991" s="27" t="s">
        <v>7205</v>
      </c>
      <c r="AC991" s="37">
        <v>46050.473611111112</v>
      </c>
      <c r="AD991" s="38">
        <v>46050.478472222218</v>
      </c>
      <c r="AE991" s="36">
        <v>46023</v>
      </c>
      <c r="AF991" s="19" t="s">
        <v>89</v>
      </c>
      <c r="AG991" s="19" t="s">
        <v>656</v>
      </c>
      <c r="AH991" s="19" t="s">
        <v>62</v>
      </c>
      <c r="AI991" s="19" t="s">
        <v>63</v>
      </c>
      <c r="AJ991" s="19" t="s">
        <v>7206</v>
      </c>
      <c r="AK991" s="19"/>
      <c r="AL991" s="19"/>
      <c r="AM991" s="19"/>
      <c r="AN991" s="19" t="s">
        <v>65</v>
      </c>
      <c r="AO991" s="23">
        <v>46050.488194444442</v>
      </c>
      <c r="AP991" s="26">
        <f t="shared" si="35"/>
        <v>12</v>
      </c>
    </row>
    <row r="992" spans="1:42" ht="32.25" hidden="1" customHeight="1">
      <c r="A992" s="19" t="s">
        <v>42</v>
      </c>
      <c r="B992" s="19" t="s">
        <v>5073</v>
      </c>
      <c r="C992" s="19" t="s">
        <v>2677</v>
      </c>
      <c r="D992" s="19" t="s">
        <v>45</v>
      </c>
      <c r="E992" s="19" t="s">
        <v>46</v>
      </c>
      <c r="F992" s="19" t="s">
        <v>7207</v>
      </c>
      <c r="G992" s="19" t="s">
        <v>48</v>
      </c>
      <c r="H992" s="19" t="s">
        <v>49</v>
      </c>
      <c r="I992" s="20">
        <v>46050.702777777777</v>
      </c>
      <c r="K992" s="19"/>
      <c r="L992" s="20">
        <v>46050.761805555558</v>
      </c>
      <c r="M992" s="19"/>
      <c r="N992" s="22">
        <f t="shared" si="36"/>
        <v>5.9027777781011537E-2</v>
      </c>
      <c r="O992" s="19" t="s">
        <v>63</v>
      </c>
      <c r="P992" s="19" t="s">
        <v>7208</v>
      </c>
      <c r="Q992" s="19" t="s">
        <v>7209</v>
      </c>
      <c r="R992" s="19"/>
      <c r="S992" s="19"/>
      <c r="U992" s="19"/>
      <c r="W992" s="19"/>
      <c r="X992" s="19" t="s">
        <v>314</v>
      </c>
      <c r="Y992" s="27" t="s">
        <v>147</v>
      </c>
      <c r="Z992" s="27" t="s">
        <v>78</v>
      </c>
      <c r="AA992" s="27" t="s">
        <v>78</v>
      </c>
      <c r="AB992" s="27" t="s">
        <v>147</v>
      </c>
      <c r="AC992" s="37" t="s">
        <v>78</v>
      </c>
      <c r="AD992" s="38" t="s">
        <v>78</v>
      </c>
      <c r="AE992" s="36">
        <v>46023</v>
      </c>
      <c r="AF992" s="19" t="s">
        <v>89</v>
      </c>
      <c r="AG992" s="19" t="s">
        <v>90</v>
      </c>
      <c r="AH992" s="19" t="s">
        <v>62</v>
      </c>
      <c r="AI992" s="19" t="s">
        <v>63</v>
      </c>
      <c r="AJ992" s="19" t="s">
        <v>7210</v>
      </c>
      <c r="AK992" s="19"/>
      <c r="AL992" s="19"/>
      <c r="AM992" s="19"/>
      <c r="AN992" s="19" t="s">
        <v>103</v>
      </c>
      <c r="AO992" s="23">
        <v>46050.702777777777</v>
      </c>
      <c r="AP992" s="26">
        <f t="shared" si="35"/>
        <v>85</v>
      </c>
    </row>
    <row r="993" spans="1:42" ht="32.25" hidden="1" customHeight="1">
      <c r="A993" s="19" t="s">
        <v>42</v>
      </c>
      <c r="C993" s="19" t="s">
        <v>7211</v>
      </c>
      <c r="D993" s="19" t="s">
        <v>45</v>
      </c>
      <c r="E993" s="19" t="s">
        <v>46</v>
      </c>
      <c r="F993" s="19" t="s">
        <v>2239</v>
      </c>
      <c r="G993" s="19" t="s">
        <v>48</v>
      </c>
      <c r="H993" s="19" t="s">
        <v>49</v>
      </c>
      <c r="I993" s="20">
        <v>46050.499305555553</v>
      </c>
      <c r="K993" s="19"/>
      <c r="L993" s="20">
        <v>46050.833333333343</v>
      </c>
      <c r="M993" s="19"/>
      <c r="N993" s="22">
        <f t="shared" si="36"/>
        <v>0.33402777778974269</v>
      </c>
      <c r="O993" s="19" t="s">
        <v>63</v>
      </c>
      <c r="P993" s="19" t="s">
        <v>7212</v>
      </c>
      <c r="Q993" s="19" t="s">
        <v>7213</v>
      </c>
      <c r="R993" s="19"/>
      <c r="S993" s="19"/>
      <c r="U993" s="19"/>
      <c r="W993" s="19"/>
      <c r="X993" s="19" t="s">
        <v>6578</v>
      </c>
      <c r="Y993" s="27" t="s">
        <v>147</v>
      </c>
      <c r="Z993" s="27" t="s">
        <v>78</v>
      </c>
      <c r="AA993" s="27" t="s">
        <v>78</v>
      </c>
      <c r="AB993" s="27" t="s">
        <v>147</v>
      </c>
      <c r="AC993" s="37" t="s">
        <v>78</v>
      </c>
      <c r="AD993" s="38" t="s">
        <v>78</v>
      </c>
      <c r="AE993" s="36">
        <v>46023</v>
      </c>
      <c r="AF993" s="19" t="s">
        <v>99</v>
      </c>
      <c r="AG993" s="19" t="s">
        <v>100</v>
      </c>
      <c r="AH993" s="19" t="s">
        <v>62</v>
      </c>
      <c r="AI993" s="19" t="s">
        <v>63</v>
      </c>
      <c r="AJ993" s="19" t="s">
        <v>7214</v>
      </c>
      <c r="AK993" s="19" t="s">
        <v>7215</v>
      </c>
      <c r="AL993" s="19"/>
      <c r="AM993" s="19"/>
      <c r="AN993" s="19" t="s">
        <v>622</v>
      </c>
      <c r="AO993" s="23">
        <v>46050.499305555553</v>
      </c>
      <c r="AP993" s="26">
        <f t="shared" si="35"/>
        <v>481</v>
      </c>
    </row>
    <row r="994" spans="1:42" ht="32.25" hidden="1" customHeight="1">
      <c r="A994" s="19" t="s">
        <v>42</v>
      </c>
      <c r="B994" s="19" t="s">
        <v>7216</v>
      </c>
      <c r="C994" s="19" t="s">
        <v>129</v>
      </c>
      <c r="D994" s="19" t="s">
        <v>45</v>
      </c>
      <c r="E994" s="19" t="s">
        <v>46</v>
      </c>
      <c r="F994" s="19" t="s">
        <v>7217</v>
      </c>
      <c r="G994" s="19" t="s">
        <v>48</v>
      </c>
      <c r="H994" s="19" t="s">
        <v>49</v>
      </c>
      <c r="I994" s="20">
        <v>46051.381944444453</v>
      </c>
      <c r="K994" s="19"/>
      <c r="L994" s="20">
        <v>46051.433333333327</v>
      </c>
      <c r="M994" s="19"/>
      <c r="N994" s="22">
        <f t="shared" si="36"/>
        <v>5.1388888874498662E-2</v>
      </c>
      <c r="O994" s="19" t="s">
        <v>50</v>
      </c>
      <c r="P994" s="19" t="s">
        <v>5654</v>
      </c>
      <c r="Q994" s="19" t="s">
        <v>7218</v>
      </c>
      <c r="R994" s="19" t="s">
        <v>7219</v>
      </c>
      <c r="S994" s="19" t="s">
        <v>7220</v>
      </c>
      <c r="T994" s="20">
        <v>46051.494733796288</v>
      </c>
      <c r="U994" s="19">
        <v>46057.569444444453</v>
      </c>
      <c r="V994" s="19" t="s">
        <v>157</v>
      </c>
      <c r="W994" s="19"/>
      <c r="X994" s="19" t="s">
        <v>109</v>
      </c>
      <c r="Y994" s="27" t="s">
        <v>54</v>
      </c>
      <c r="Z994" s="27" t="s">
        <v>694</v>
      </c>
      <c r="AA994" s="27" t="s">
        <v>7221</v>
      </c>
      <c r="AB994" s="27" t="s">
        <v>7222</v>
      </c>
      <c r="AC994" s="37" t="s">
        <v>7223</v>
      </c>
      <c r="AD994" s="38" t="s">
        <v>7224</v>
      </c>
      <c r="AE994" s="36">
        <v>46023</v>
      </c>
      <c r="AF994" s="19" t="s">
        <v>293</v>
      </c>
      <c r="AG994" s="19" t="s">
        <v>556</v>
      </c>
      <c r="AH994" s="19" t="s">
        <v>62</v>
      </c>
      <c r="AI994" s="19" t="s">
        <v>63</v>
      </c>
      <c r="AJ994" s="19" t="s">
        <v>7225</v>
      </c>
      <c r="AK994" s="19"/>
      <c r="AL994" s="19"/>
      <c r="AM994" s="19"/>
      <c r="AN994" s="19" t="s">
        <v>103</v>
      </c>
      <c r="AO994" s="23">
        <v>46051.384027777778</v>
      </c>
      <c r="AP994" s="26">
        <f t="shared" si="35"/>
        <v>74</v>
      </c>
    </row>
    <row r="995" spans="1:42" ht="32.25" hidden="1" customHeight="1">
      <c r="A995" s="19" t="s">
        <v>42</v>
      </c>
      <c r="B995" s="19" t="s">
        <v>3843</v>
      </c>
      <c r="C995" s="19" t="s">
        <v>336</v>
      </c>
      <c r="D995" s="19" t="s">
        <v>45</v>
      </c>
      <c r="E995" s="19" t="s">
        <v>46</v>
      </c>
      <c r="F995" s="19" t="s">
        <v>7226</v>
      </c>
      <c r="G995" s="19" t="s">
        <v>48</v>
      </c>
      <c r="H995" s="19" t="s">
        <v>49</v>
      </c>
      <c r="I995" s="20">
        <v>46052.378472222219</v>
      </c>
      <c r="K995" s="19"/>
      <c r="L995" s="20">
        <v>46052.384722222218</v>
      </c>
      <c r="M995" s="19"/>
      <c r="N995" s="22">
        <f t="shared" si="36"/>
        <v>6.2499999985448085E-3</v>
      </c>
      <c r="O995" s="19" t="s">
        <v>50</v>
      </c>
      <c r="P995" s="19" t="s">
        <v>6567</v>
      </c>
      <c r="Q995" s="19" t="s">
        <v>5677</v>
      </c>
      <c r="R995" s="19"/>
      <c r="S995" s="19"/>
      <c r="U995" s="19"/>
      <c r="W995" s="19"/>
      <c r="X995" s="19" t="s">
        <v>314</v>
      </c>
      <c r="Y995" s="27" t="s">
        <v>54</v>
      </c>
      <c r="Z995" s="27" t="s">
        <v>414</v>
      </c>
      <c r="AA995" s="27" t="s">
        <v>7227</v>
      </c>
      <c r="AB995" s="27" t="s">
        <v>7228</v>
      </c>
      <c r="AC995" s="37" t="s">
        <v>7229</v>
      </c>
      <c r="AD995" s="38" t="s">
        <v>7230</v>
      </c>
      <c r="AE995" s="36">
        <v>46023</v>
      </c>
      <c r="AF995" s="19" t="s">
        <v>89</v>
      </c>
      <c r="AG995" s="19" t="s">
        <v>90</v>
      </c>
      <c r="AH995" s="19" t="s">
        <v>62</v>
      </c>
      <c r="AI995" s="19" t="s">
        <v>50</v>
      </c>
      <c r="AJ995" s="19" t="s">
        <v>7231</v>
      </c>
      <c r="AK995" s="19"/>
      <c r="AL995" s="19"/>
      <c r="AM995" s="19"/>
      <c r="AN995" s="19" t="s">
        <v>103</v>
      </c>
      <c r="AO995" s="23">
        <v>46052.378472222219</v>
      </c>
      <c r="AP995" s="26">
        <f t="shared" si="35"/>
        <v>9</v>
      </c>
    </row>
    <row r="996" spans="1:42" ht="32.25" hidden="1" customHeight="1">
      <c r="A996" s="19" t="s">
        <v>285</v>
      </c>
      <c r="B996" s="19" t="s">
        <v>1407</v>
      </c>
      <c r="C996" s="19" t="s">
        <v>1408</v>
      </c>
      <c r="D996" s="19" t="s">
        <v>45</v>
      </c>
      <c r="E996" s="19" t="s">
        <v>46</v>
      </c>
      <c r="F996" s="19" t="s">
        <v>7232</v>
      </c>
      <c r="G996" s="19" t="s">
        <v>48</v>
      </c>
      <c r="H996" s="19" t="s">
        <v>49</v>
      </c>
      <c r="I996" s="20">
        <v>46052.504166666673</v>
      </c>
      <c r="K996" s="19"/>
      <c r="L996" s="20">
        <v>46053.416666666657</v>
      </c>
      <c r="M996" s="19"/>
      <c r="N996" s="22">
        <f t="shared" si="36"/>
        <v>0.91249999998399289</v>
      </c>
      <c r="O996" s="19" t="s">
        <v>50</v>
      </c>
      <c r="P996" s="19" t="s">
        <v>7233</v>
      </c>
      <c r="Q996" s="19" t="s">
        <v>7234</v>
      </c>
      <c r="R996" s="19"/>
      <c r="S996" s="19"/>
      <c r="U996" s="19"/>
      <c r="W996" s="19"/>
      <c r="X996" s="19" t="s">
        <v>1412</v>
      </c>
      <c r="Y996" s="27" t="s">
        <v>54</v>
      </c>
      <c r="Z996" s="27" t="s">
        <v>209</v>
      </c>
      <c r="AA996" s="27" t="s">
        <v>7235</v>
      </c>
      <c r="AB996" s="27" t="s">
        <v>7236</v>
      </c>
      <c r="AC996" s="37">
        <v>46052.492361111108</v>
      </c>
      <c r="AD996" s="38" t="s">
        <v>1116</v>
      </c>
      <c r="AE996" s="36">
        <v>46023</v>
      </c>
      <c r="AF996" s="19" t="s">
        <v>293</v>
      </c>
      <c r="AG996" s="19" t="s">
        <v>294</v>
      </c>
      <c r="AH996" s="19" t="s">
        <v>78</v>
      </c>
      <c r="AI996" s="19" t="s">
        <v>63</v>
      </c>
      <c r="AJ996" s="19" t="s">
        <v>7237</v>
      </c>
      <c r="AK996" s="19"/>
      <c r="AL996" s="19"/>
      <c r="AM996" s="19"/>
      <c r="AN996" s="19" t="s">
        <v>65</v>
      </c>
      <c r="AO996" s="23">
        <v>46052.504166666673</v>
      </c>
      <c r="AP996" s="26">
        <f t="shared" si="35"/>
        <v>1314</v>
      </c>
    </row>
    <row r="997" spans="1:42" ht="32.25" hidden="1" customHeight="1">
      <c r="A997" s="19" t="s">
        <v>42</v>
      </c>
      <c r="B997" s="19" t="s">
        <v>3843</v>
      </c>
      <c r="C997" s="19" t="s">
        <v>5917</v>
      </c>
      <c r="D997" s="19" t="s">
        <v>45</v>
      </c>
      <c r="E997" s="19" t="s">
        <v>46</v>
      </c>
      <c r="F997" s="19" t="s">
        <v>7238</v>
      </c>
      <c r="G997" s="19" t="s">
        <v>48</v>
      </c>
      <c r="H997" s="19" t="s">
        <v>49</v>
      </c>
      <c r="I997" s="20">
        <v>46052.569444444453</v>
      </c>
      <c r="K997" s="19"/>
      <c r="L997" s="20">
        <v>46052.580555555563</v>
      </c>
      <c r="M997" s="19"/>
      <c r="N997" s="22">
        <f t="shared" si="36"/>
        <v>1.1111111110949423E-2</v>
      </c>
      <c r="O997" s="19" t="s">
        <v>63</v>
      </c>
      <c r="P997" s="19" t="s">
        <v>7239</v>
      </c>
      <c r="Q997" s="19" t="s">
        <v>7240</v>
      </c>
      <c r="R997" s="19"/>
      <c r="S997" s="19"/>
      <c r="U997" s="19"/>
      <c r="W997" s="19"/>
      <c r="X997" s="19" t="s">
        <v>314</v>
      </c>
      <c r="Y997" s="27" t="s">
        <v>54</v>
      </c>
      <c r="Z997" s="27" t="s">
        <v>259</v>
      </c>
      <c r="AA997" s="27" t="s">
        <v>7241</v>
      </c>
      <c r="AB997" s="27" t="s">
        <v>7242</v>
      </c>
      <c r="AC997" s="37" t="s">
        <v>7243</v>
      </c>
      <c r="AD997" s="38" t="s">
        <v>7244</v>
      </c>
      <c r="AE997" s="36">
        <v>46023</v>
      </c>
      <c r="AF997" s="19" t="s">
        <v>89</v>
      </c>
      <c r="AG997" s="19" t="s">
        <v>90</v>
      </c>
      <c r="AH997" s="19" t="s">
        <v>62</v>
      </c>
      <c r="AI997" s="19" t="s">
        <v>50</v>
      </c>
      <c r="AJ997" s="19" t="s">
        <v>7245</v>
      </c>
      <c r="AK997" s="19"/>
      <c r="AL997" s="19"/>
      <c r="AM997" s="19"/>
      <c r="AN997" s="19" t="s">
        <v>103</v>
      </c>
      <c r="AO997" s="23">
        <v>46052.569444444453</v>
      </c>
      <c r="AP997" s="26">
        <f t="shared" si="35"/>
        <v>16</v>
      </c>
    </row>
    <row r="998" spans="1:42" ht="32.25" hidden="1" customHeight="1">
      <c r="A998" s="19" t="s">
        <v>42</v>
      </c>
      <c r="B998" s="19" t="s">
        <v>3843</v>
      </c>
      <c r="C998" s="19" t="s">
        <v>5917</v>
      </c>
      <c r="D998" s="19" t="s">
        <v>45</v>
      </c>
      <c r="E998" s="19" t="s">
        <v>46</v>
      </c>
      <c r="F998" s="19" t="s">
        <v>7238</v>
      </c>
      <c r="G998" s="19" t="s">
        <v>226</v>
      </c>
      <c r="H998" s="19" t="s">
        <v>49</v>
      </c>
      <c r="I998" s="20">
        <v>46052.591666666667</v>
      </c>
      <c r="K998" s="19"/>
      <c r="L998" s="20">
        <v>46052.62222222222</v>
      </c>
      <c r="M998" s="19"/>
      <c r="N998" s="22">
        <f t="shared" si="36"/>
        <v>3.0555555553291924E-2</v>
      </c>
      <c r="O998" s="19" t="s">
        <v>63</v>
      </c>
      <c r="P998" s="19" t="s">
        <v>7239</v>
      </c>
      <c r="Q998" s="19" t="s">
        <v>7246</v>
      </c>
      <c r="R998" s="19"/>
      <c r="S998" s="19"/>
      <c r="U998" s="19"/>
      <c r="W998" s="19"/>
      <c r="X998" s="19" t="s">
        <v>314</v>
      </c>
      <c r="Y998" s="27" t="s">
        <v>54</v>
      </c>
      <c r="Z998" s="27" t="s">
        <v>414</v>
      </c>
      <c r="AA998" s="27" t="s">
        <v>7247</v>
      </c>
      <c r="AB998" s="27" t="s">
        <v>7248</v>
      </c>
      <c r="AC998" s="37" t="s">
        <v>7249</v>
      </c>
      <c r="AD998" s="38" t="s">
        <v>7250</v>
      </c>
      <c r="AE998" s="36">
        <v>46023</v>
      </c>
      <c r="AF998" s="19" t="s">
        <v>99</v>
      </c>
      <c r="AG998" s="19" t="s">
        <v>139</v>
      </c>
      <c r="AH998" s="19" t="s">
        <v>62</v>
      </c>
      <c r="AI998" s="19" t="s">
        <v>50</v>
      </c>
      <c r="AJ998" s="19" t="s">
        <v>7245</v>
      </c>
      <c r="AK998" s="19" t="s">
        <v>7251</v>
      </c>
      <c r="AL998" s="19"/>
      <c r="AM998" s="19"/>
      <c r="AN998" s="19" t="s">
        <v>103</v>
      </c>
      <c r="AO998" s="23">
        <v>46052.591666666667</v>
      </c>
      <c r="AP998" s="26">
        <f t="shared" si="35"/>
        <v>44</v>
      </c>
    </row>
    <row r="999" spans="1:42" ht="32.25" hidden="1" customHeight="1">
      <c r="A999" s="19" t="s">
        <v>42</v>
      </c>
      <c r="B999" s="19" t="s">
        <v>309</v>
      </c>
      <c r="C999" s="19" t="s">
        <v>310</v>
      </c>
      <c r="D999" s="19" t="s">
        <v>45</v>
      </c>
      <c r="E999" s="19" t="s">
        <v>46</v>
      </c>
      <c r="F999" s="19" t="s">
        <v>7252</v>
      </c>
      <c r="G999" s="19" t="s">
        <v>48</v>
      </c>
      <c r="H999" s="19" t="s">
        <v>49</v>
      </c>
      <c r="I999" s="20">
        <v>46053.027777777781</v>
      </c>
      <c r="K999" s="19"/>
      <c r="L999" s="20">
        <v>46053.10833333333</v>
      </c>
      <c r="M999" s="19"/>
      <c r="N999" s="22">
        <f t="shared" si="36"/>
        <v>8.055555554892635E-2</v>
      </c>
      <c r="O999" s="19" t="s">
        <v>63</v>
      </c>
      <c r="P999" s="19" t="s">
        <v>7253</v>
      </c>
      <c r="Q999" s="19" t="s">
        <v>7254</v>
      </c>
      <c r="R999" s="19"/>
      <c r="S999" s="19"/>
      <c r="U999" s="19"/>
      <c r="W999" s="19"/>
      <c r="X999" s="19" t="s">
        <v>314</v>
      </c>
      <c r="Y999" s="27" t="s">
        <v>54</v>
      </c>
      <c r="Z999" s="27" t="s">
        <v>259</v>
      </c>
      <c r="AA999" s="27" t="s">
        <v>7255</v>
      </c>
      <c r="AB999" s="27" t="s">
        <v>7256</v>
      </c>
      <c r="AC999" s="37" t="s">
        <v>7257</v>
      </c>
      <c r="AD999" s="38" t="s">
        <v>7258</v>
      </c>
      <c r="AE999" s="36">
        <v>46023</v>
      </c>
      <c r="AF999" s="19" t="s">
        <v>89</v>
      </c>
      <c r="AG999" s="19" t="s">
        <v>90</v>
      </c>
      <c r="AH999" s="19" t="s">
        <v>62</v>
      </c>
      <c r="AI999" s="19" t="s">
        <v>50</v>
      </c>
      <c r="AJ999" s="19" t="s">
        <v>7259</v>
      </c>
      <c r="AK999" s="19"/>
      <c r="AL999" s="19"/>
      <c r="AM999" s="19"/>
      <c r="AN999" s="19" t="s">
        <v>65</v>
      </c>
      <c r="AO999" s="23">
        <v>46053.027777777781</v>
      </c>
      <c r="AP999" s="26">
        <f t="shared" si="35"/>
        <v>116</v>
      </c>
    </row>
  </sheetData>
  <autoFilter ref="A1:AP999" xr:uid="{00000000-0009-0000-0000-000000000000}">
    <filterColumn colId="7">
      <filters>
        <filter val="SDN"/>
        <filter val="Sev1"/>
        <filter val="Sev2"/>
      </filters>
    </filterColumn>
  </autoFilter>
  <conditionalFormatting sqref="F2">
    <cfRule type="duplicateValues" dxfId="180" priority="331"/>
    <cfRule type="duplicateValues" dxfId="179" priority="332"/>
    <cfRule type="duplicateValues" dxfId="178" priority="333" stopIfTrue="1"/>
    <cfRule type="duplicateValues" dxfId="177" priority="334"/>
    <cfRule type="duplicateValues" dxfId="176" priority="335"/>
  </conditionalFormatting>
  <conditionalFormatting sqref="F3:F999">
    <cfRule type="duplicateValues" dxfId="175" priority="11"/>
    <cfRule type="duplicateValues" dxfId="174" priority="12"/>
    <cfRule type="duplicateValues" dxfId="173" priority="13" stopIfTrue="1"/>
    <cfRule type="duplicateValues" dxfId="172" priority="14"/>
    <cfRule type="duplicateValues" dxfId="171" priority="15"/>
  </conditionalFormatting>
  <dataValidations count="20">
    <dataValidation type="list" allowBlank="1" showInputMessage="1" showErrorMessage="1" sqref="AF713 AF942:AG942 AG2:AG668 AG670:AG755 AG758:AG823 AG826:AG903 AG906:AG936 AG944:AG959 AG961:AG1048576 AH912 AH914" xr:uid="{00000000-0002-0000-0000-000000000000}">
      <formula1>INDIRECT(SUBSTITUTE(AE2," ",""))</formula1>
    </dataValidation>
    <dataValidation type="list" allowBlank="1" showInputMessage="1" showErrorMessage="1" sqref="AF2:AF668 AF670:AF712 AF714:AF755 AF758:AF876 AF879:AF941 AF943:AF1048576" xr:uid="{00000000-0002-0000-0000-000001000000}">
      <formula1>Category</formula1>
    </dataValidation>
    <dataValidation type="list" allowBlank="1" showInputMessage="1" showErrorMessage="1" sqref="B679 B687 B689 B695 B700 B704 B713 B715 B717 B719:B720 B722:B724 B726 B728 B731 B738 B743 B745 B747 B749:B750 B757 B763:B767 B769:B770 B775:B776 B780:B781 B788 B791:B792 B795 B799 B802 B804:B805 B807 B811:B812 B815:B816 B819 B822 B824 B826:B827 B832:B834 B838 B841:B842 B844:B845 B850:B851 B855:B856 B859:B860 B871:B873 B902:B903 B907 B910:B911 B915:B916 B925 B927 B930 B935 B937 B942 B946:B949 B952:B957 B959:B978 B982:B987 B989:B990 B992:B993 B995:B1048576" xr:uid="{00000000-0002-0000-0000-000002000000}">
      <formula1>ImpactedBusinessService</formula1>
    </dataValidation>
    <dataValidation type="list" allowBlank="1" showInputMessage="1" showErrorMessage="1" sqref="X2:X668 X670:X691 X693:X714 X716 X718:X721 X723 X725 X727:X742 X744:X755 X757:X778 X780:X874 X876:X882 X884:X885 X887:X901 X902 X905:X937 X938:X946 X947:X956 X956:X957 X958 X959:X965 X967:X974 X975:X1048576" xr:uid="{00000000-0002-0000-0000-000003000000}">
      <formula1>ImpactingLOB</formula1>
    </dataValidation>
    <dataValidation type="list" allowBlank="1" showInputMessage="1" showErrorMessage="1" sqref="O2:O668 O670:O882 O890:O902 O904:O925 O927:O937 O947:O949 O953:O972 O974:O1048576" xr:uid="{00000000-0002-0000-0000-000004000000}">
      <formula1>PriorityMatrix</formula1>
    </dataValidation>
    <dataValidation type="list" allowBlank="1" showInputMessage="1" showErrorMessage="1" sqref="E2:E668 E670:E882 E890:E902 E908:E925 E929:E940 E943:E947 E949:E956 E958:E1048576" xr:uid="{00000000-0002-0000-0000-000005000000}">
      <formula1>Location</formula1>
    </dataValidation>
    <dataValidation type="list" allowBlank="1" showInputMessage="1" showErrorMessage="1" sqref="H2:H668 H678:H755 H758:H788 H822 H876:H878 H935:H936 H980:H994" xr:uid="{00000000-0002-0000-0000-000006000000}">
      <formula1>Sev</formula1>
    </dataValidation>
    <dataValidation type="list" allowBlank="1" showInputMessage="1" showErrorMessage="1" sqref="C2:C668 C678 C680 C698 C718 C720 C737 C757 C765 C835 C852:C853 C858 C862 C866:C867 C876:C877 C917 C919 C922 C980" xr:uid="{00000000-0002-0000-0000-000007000000}">
      <formula1>LOB</formula1>
    </dataValidation>
    <dataValidation type="list" allowBlank="1" showInputMessage="1" showErrorMessage="1" sqref="H670:H672 H674:H675 H677 H744:H755 H758:H764 H769:H782 H788 H822 H935:H936 H955" xr:uid="{00000000-0002-0000-0000-000008000000}">
      <formula1>Severity</formula1>
    </dataValidation>
    <dataValidation type="list" allowBlank="1" showInputMessage="1" showErrorMessage="1" sqref="H673 H676 H789:H821 H823:H875 H879:H882 H890:H903 H906:H925 H927:H934 H937:H954 H956:H972 H975:H979 H995:H1048576" xr:uid="{00000000-0002-0000-0000-000009000000}">
      <formula1>SeverityType</formula1>
    </dataValidation>
    <dataValidation type="list" allowBlank="1" showInputMessage="1" showErrorMessage="1" sqref="V670:V679 V681:V742 V744:V755 V758:V764 V766:V770 V773:V778 V780:V782 V784 V786 V788:V791 V793:V870 V874 V879 V884 V890:V891 V909:V911 V913 V927 V932 V934:V935 V937:V947 V949:V963 V965 V967:V968 V972 V975 V994:V995" xr:uid="{00000000-0002-0000-0000-00000A000000}">
      <formula1>RCAStatus</formula1>
    </dataValidation>
    <dataValidation type="list" allowBlank="1" showInputMessage="1" showErrorMessage="1" sqref="C670:C677 C679 C681:C691 C693:C697 C699:C714 C716 C719 C721:C736 C738:C755 C758:C764 C766:C834 C836:C851 C854:C857 C859:C861 C863:C865 C868:C874 C878:C890 C892:C903 C905:C916 C918 C920:C921 C923:C937 C939:C940 C943:C959 C961:C966 C968:C979 C981:C1048576" xr:uid="{00000000-0002-0000-0000-00000B000000}">
      <formula1>ApplicationName</formula1>
    </dataValidation>
    <dataValidation type="list" allowBlank="1" showInputMessage="1" showErrorMessage="1" sqref="AB696:AB699 AE2:AE1048576" xr:uid="{00000000-0002-0000-0000-00000C000000}">
      <formula1>Month</formula1>
    </dataValidation>
    <dataValidation type="list" allowBlank="1" showInputMessage="1" showErrorMessage="1" sqref="B2:B678 B680:B682 B684:B686 B688 B690:B691 B693:B694 B696:B699 B701:B703 B705:B712 B714 B716 B718 B721 B725 B727 B729:B730 B732:B737 B739:B742 B744 B746 B748 B751:B755 B758:B762 B768 B770:B774 B777:B778 B782:B790 B793:B794 B796:B798 B800:B801 B803 B805:B810 B813:B814 B817:B823 B825:B826 B828:B831 B835:B837 B839:B840 B842:B843 B846:B849 B852:B854 B857:B858 B860:B862 B865:B867 B869:B870 B874 B876:B878 B894:B900 B904 B906 B908:B909 B912:B914 B917 B919:B923 B929 B931:B934 B939:B940 B943 B950 B958 B969 B979:B981 B988:B989 B991" xr:uid="{00000000-0002-0000-0000-00000D000000}">
      <formula1>Servicepath</formula1>
    </dataValidation>
    <dataValidation type="list" allowBlank="1" showInputMessage="1" showErrorMessage="1" sqref="AH2:AH903 AH909:AH911 AH913 AH915:AH937 AH939:AH941 AH943:AH947 AH949:AH950 AH953:AH956 AH958:AH1048576" xr:uid="{00000000-0002-0000-0000-00000E000000}">
      <formula1>IssueType</formula1>
    </dataValidation>
    <dataValidation type="list" allowBlank="1" showInputMessage="1" showErrorMessage="1" sqref="AI2:AI899 AI901:AI903 AI906:AI972 AI975:AI1048576" xr:uid="{00000000-0002-0000-0000-00000F000000}">
      <formula1>RepeatIssue</formula1>
    </dataValidation>
    <dataValidation type="list" allowBlank="1" showInputMessage="1" showErrorMessage="1" sqref="D2:D871 D874:D893 D901:D903 D909:D947 D949:D1048576" xr:uid="{00000000-0002-0000-0000-000010000000}">
      <formula1>Status</formula1>
    </dataValidation>
    <dataValidation type="list" allowBlank="1" showInputMessage="1" showErrorMessage="1" sqref="G2:G882 G890:G903 G906:G925 G929:G1048576" xr:uid="{00000000-0002-0000-0000-000011000000}">
      <formula1>IncidentType</formula1>
    </dataValidation>
    <dataValidation type="list" allowBlank="1" showInputMessage="1" showErrorMessage="1" sqref="AG937:AG941 AG943" xr:uid="{00000000-0002-0000-0000-000012000000}">
      <formula1>INDIRECT(SUBSTITUTE(AF938," ",""))</formula1>
    </dataValidation>
    <dataValidation type="list" errorStyle="warning" allowBlank="1" showInputMessage="1" showErrorMessage="1" sqref="A2:A1048576" xr:uid="{00000000-0002-0000-0000-000013000000}">
      <formula1>SupportingPartner</formula1>
    </dataValidation>
  </dataValidations>
  <hyperlinks>
    <hyperlink ref="Q23" r:id="rId1" display="https://10.223.131.90/" xr:uid="{00000000-0004-0000-0000-000000000000}"/>
    <hyperlink ref="F76" r:id="rId2" display="tg://search_hashtag/?hashtag=INC13949102" xr:uid="{00000000-0004-0000-0000-000001000000}"/>
    <hyperlink ref="Q139" r:id="rId3" display="https://10.14.113.174/" xr:uid="{00000000-0004-0000-0000-000002000000}"/>
    <hyperlink ref="Q151" r:id="rId4" tooltip="https://10.92.219.223/" display="https://10.92.219.223/" xr:uid="{00000000-0004-0000-0000-000003000000}"/>
    <hyperlink ref="Q172" r:id="rId5" display="http://10.14.120.73:8441/SIEBEL/V1.0/SERVICE/DTHSERVICES/TASKUPDATE" xr:uid="{00000000-0004-0000-0000-000004000000}"/>
    <hyperlink ref="Q175" r:id="rId6" display="https://10.1.7.54/" xr:uid="{00000000-0004-0000-0000-000005000000}"/>
    <hyperlink ref="Q199" r:id="rId7" display="https://10.56.133.181/" xr:uid="{00000000-0004-0000-0000-000006000000}"/>
    <hyperlink ref="Q200" r:id="rId8" display="https://10.248.40.223/" xr:uid="{00000000-0004-0000-0000-000007000000}"/>
    <hyperlink ref="AK368" r:id="rId9" display="https://jira.airtel.com/browse/ARW-219664" xr:uid="{00000000-0004-0000-0000-000008000000}"/>
    <hyperlink ref="Q376" r:id="rId10" display="https://10.14.59.84/" xr:uid="{00000000-0004-0000-0000-000009000000}"/>
    <hyperlink ref="Q468" r:id="rId11" display="https://10.58.76.157/" xr:uid="{00000000-0004-0000-0000-00000A000000}"/>
    <hyperlink ref="Q593" r:id="rId12" tooltip="https://10.242.136.145/" display="https://10.242.136.145/" xr:uid="{00000000-0004-0000-0000-00000B000000}"/>
    <hyperlink ref="Q606" r:id="rId13" display="https://10.241.254.215/" xr:uid="{00000000-0004-0000-0000-00000C000000}"/>
    <hyperlink ref="Q630" r:id="rId14" display="https://10.5.133.203/" xr:uid="{00000000-0004-0000-0000-00000D000000}"/>
    <hyperlink ref="Q673" r:id="rId15" tooltip="https://10.242.136.145/" display="https://10.242.136.145/" xr:uid="{00000000-0004-0000-0000-00000E000000}"/>
    <hyperlink ref="Q767" r:id="rId16" display="https://care-manager-gtm.airtel.com/" xr:uid="{00000000-0004-0000-0000-00000F000000}"/>
    <hyperlink ref="Q772" r:id="rId17" display="https://10.5.9.81/" xr:uid="{00000000-0004-0000-0000-000010000000}"/>
    <hyperlink ref="Q806" r:id="rId18" display="https://payments.int.airtelbank.com:5051/airtel/auth/api/v2/payments/options/fetch" xr:uid="{00000000-0004-0000-0000-000011000000}"/>
    <hyperlink ref="F828" r:id="rId19" display="tg://search_hashtag/?hashtag=Awaited" xr:uid="{00000000-0004-0000-0000-000012000000}"/>
    <hyperlink ref="Q829" r:id="rId20" display="https://10.227.204.81/" xr:uid="{00000000-0004-0000-0000-000013000000}"/>
    <hyperlink ref="AK876" r:id="rId21" display="https://evolvingsystems.atlassian.net/browse/EVOL-98201" xr:uid="{00000000-0004-0000-0000-000014000000}"/>
    <hyperlink ref="Q936" r:id="rId22" display="https://10.3.128.140:10035/" xr:uid="{00000000-0004-0000-0000-000015000000}"/>
    <hyperlink ref="Q950" r:id="rId23" display="https://10.5.76.97/" xr:uid="{00000000-0004-0000-0000-000016000000}"/>
    <hyperlink ref="Q991" r:id="rId24" display="https://10.5.232.51/" xr:uid="{00000000-0004-0000-0000-000017000000}"/>
  </hyperlinks>
  <pageMargins left="0.7" right="0.7" top="0.75" bottom="0.75" header="0.3" footer="0.3"/>
  <pageSetup orientation="portrait"/>
  <legacyDrawing r:id="rId2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
  <sheetViews>
    <sheetView workbookViewId="0"/>
  </sheetViews>
  <sheetFormatPr defaultColWidth="8.453125" defaultRowHeight="14.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J533"/>
  <sheetViews>
    <sheetView topLeftCell="A312" workbookViewId="0">
      <selection activeCell="A323" sqref="A1:A1048576"/>
    </sheetView>
  </sheetViews>
  <sheetFormatPr defaultColWidth="8.453125" defaultRowHeight="14.5"/>
  <cols>
    <col min="1" max="1" width="36.453125" style="1" bestFit="1" customWidth="1"/>
    <col min="2" max="2" width="23.453125" bestFit="1" customWidth="1"/>
    <col min="3" max="3" width="17.453125" customWidth="1"/>
    <col min="4" max="4" width="20.453125" bestFit="1" customWidth="1"/>
    <col min="6" max="6" width="12.453125" bestFit="1" customWidth="1"/>
    <col min="7" max="7" width="15.453125" bestFit="1" customWidth="1"/>
    <col min="8" max="8" width="35.453125" style="1" bestFit="1" customWidth="1"/>
    <col min="9" max="9" width="16.453125" bestFit="1" customWidth="1"/>
    <col min="10" max="10" width="16.453125" customWidth="1"/>
    <col min="11" max="11" width="18" bestFit="1" customWidth="1"/>
    <col min="12" max="12" width="24.453125" style="1" bestFit="1" customWidth="1"/>
    <col min="13" max="13" width="24.453125" style="1" customWidth="1"/>
    <col min="14" max="14" width="22.453125" style="1" customWidth="1"/>
    <col min="15" max="15" width="28.453125" style="1" bestFit="1" customWidth="1"/>
    <col min="16" max="16" width="34" bestFit="1" customWidth="1"/>
    <col min="17" max="17" width="16.453125" bestFit="1" customWidth="1"/>
    <col min="18" max="18" width="15.453125" customWidth="1"/>
    <col min="19" max="19" width="19.453125" customWidth="1"/>
    <col min="20" max="20" width="18.453125" customWidth="1"/>
    <col min="21" max="21" width="27.453125" bestFit="1" customWidth="1"/>
    <col min="22" max="22" width="21.453125" bestFit="1" customWidth="1"/>
    <col min="23" max="24" width="15.453125" customWidth="1"/>
    <col min="25" max="25" width="18.453125" customWidth="1"/>
    <col min="26" max="26" width="15.453125" customWidth="1"/>
    <col min="27" max="27" width="16.453125" customWidth="1"/>
    <col min="28" max="28" width="14.453125" customWidth="1"/>
    <col min="29" max="34" width="18.453125" customWidth="1"/>
    <col min="35" max="35" width="15.453125" customWidth="1"/>
    <col min="36" max="36" width="34.453125" customWidth="1"/>
    <col min="37" max="37" width="51.453125" customWidth="1"/>
    <col min="38" max="38" width="18.453125" customWidth="1"/>
    <col min="39" max="39" width="21.453125" hidden="1" customWidth="1"/>
    <col min="40" max="40" width="21.453125" style="1" hidden="1" customWidth="1"/>
    <col min="41" max="41" width="23.453125" style="1" hidden="1" customWidth="1"/>
    <col min="42" max="42" width="46.453125" customWidth="1"/>
    <col min="43" max="43" width="29.453125" customWidth="1"/>
    <col min="44" max="44" width="13.453125" bestFit="1" customWidth="1"/>
    <col min="45" max="45" width="22.453125" customWidth="1"/>
    <col min="46" max="46" width="23.453125" hidden="1" customWidth="1"/>
    <col min="47" max="52" width="23.453125" customWidth="1"/>
    <col min="53" max="53" width="21.453125" customWidth="1"/>
    <col min="54" max="54" width="13" customWidth="1"/>
    <col min="55" max="55" width="14.453125" customWidth="1"/>
    <col min="56" max="56" width="16.453125" customWidth="1"/>
    <col min="57" max="57" width="16" customWidth="1"/>
    <col min="58" max="58" width="25.453125" customWidth="1"/>
    <col min="62" max="62" width="30.453125" customWidth="1"/>
  </cols>
  <sheetData>
    <row r="1" spans="1:62" s="6" customFormat="1">
      <c r="A1" s="3" t="s">
        <v>7260</v>
      </c>
      <c r="B1" s="3" t="s">
        <v>7261</v>
      </c>
      <c r="D1" s="3" t="s">
        <v>7262</v>
      </c>
      <c r="F1" s="3" t="s">
        <v>509</v>
      </c>
      <c r="G1" s="3" t="s">
        <v>6578</v>
      </c>
      <c r="H1" s="3" t="s">
        <v>191</v>
      </c>
      <c r="I1" s="3" t="s">
        <v>7263</v>
      </c>
      <c r="J1" s="3" t="s">
        <v>7264</v>
      </c>
      <c r="K1" s="3" t="s">
        <v>721</v>
      </c>
      <c r="L1" s="3" t="s">
        <v>7265</v>
      </c>
      <c r="M1" s="3" t="s">
        <v>7266</v>
      </c>
      <c r="N1" s="3" t="s">
        <v>7267</v>
      </c>
      <c r="O1" s="3" t="s">
        <v>7268</v>
      </c>
      <c r="P1" s="3" t="s">
        <v>7269</v>
      </c>
      <c r="Q1" s="3" t="s">
        <v>662</v>
      </c>
      <c r="R1" s="3" t="s">
        <v>1296</v>
      </c>
      <c r="S1" s="3" t="s">
        <v>7270</v>
      </c>
      <c r="T1" s="3" t="s">
        <v>491</v>
      </c>
      <c r="U1" s="3" t="s">
        <v>675</v>
      </c>
      <c r="V1" s="3" t="s">
        <v>7271</v>
      </c>
      <c r="W1" s="3" t="s">
        <v>122</v>
      </c>
      <c r="X1" s="3" t="s">
        <v>1589</v>
      </c>
      <c r="Y1" s="3" t="s">
        <v>7272</v>
      </c>
      <c r="Z1" s="3" t="s">
        <v>98</v>
      </c>
      <c r="AA1" s="3" t="s">
        <v>434</v>
      </c>
      <c r="AB1" s="3" t="s">
        <v>7273</v>
      </c>
      <c r="AC1" s="3" t="s">
        <v>7274</v>
      </c>
      <c r="AD1" s="13" t="s">
        <v>7275</v>
      </c>
      <c r="AE1" s="13" t="s">
        <v>7276</v>
      </c>
      <c r="AF1" s="3" t="s">
        <v>7277</v>
      </c>
      <c r="AG1" s="3" t="s">
        <v>7278</v>
      </c>
      <c r="AH1" s="3" t="s">
        <v>1069</v>
      </c>
      <c r="AI1" s="7" t="s">
        <v>7279</v>
      </c>
      <c r="AJ1" s="7" t="s">
        <v>7280</v>
      </c>
      <c r="AK1" s="7" t="s">
        <v>7281</v>
      </c>
      <c r="AL1" s="8" t="s">
        <v>4</v>
      </c>
      <c r="AM1" s="2" t="s">
        <v>23</v>
      </c>
      <c r="AN1" s="2" t="s">
        <v>7282</v>
      </c>
      <c r="AO1" s="2" t="s">
        <v>7283</v>
      </c>
      <c r="AP1" s="9" t="s">
        <v>7284</v>
      </c>
      <c r="AQ1" s="7" t="s">
        <v>7285</v>
      </c>
      <c r="AR1" s="7" t="s">
        <v>30</v>
      </c>
      <c r="AS1" s="8" t="s">
        <v>7286</v>
      </c>
      <c r="AT1" s="14" t="s">
        <v>7287</v>
      </c>
      <c r="AU1" s="11" t="s">
        <v>7288</v>
      </c>
      <c r="AV1" s="1" t="s">
        <v>99</v>
      </c>
      <c r="AW1" s="11" t="s">
        <v>293</v>
      </c>
      <c r="AX1" s="1" t="s">
        <v>1555</v>
      </c>
      <c r="AY1" s="1" t="s">
        <v>60</v>
      </c>
      <c r="AZ1" s="1" t="s">
        <v>78</v>
      </c>
      <c r="BA1" s="9" t="s">
        <v>7289</v>
      </c>
      <c r="BB1" s="9" t="s">
        <v>7290</v>
      </c>
      <c r="BC1" s="4" t="s">
        <v>7291</v>
      </c>
      <c r="BD1" s="4" t="s">
        <v>3</v>
      </c>
      <c r="BE1" s="5" t="s">
        <v>7292</v>
      </c>
      <c r="BF1" s="12" t="s">
        <v>7293</v>
      </c>
    </row>
    <row r="2" spans="1:62">
      <c r="A2" s="1">
        <v>121</v>
      </c>
      <c r="B2" s="1" t="s">
        <v>7294</v>
      </c>
      <c r="D2" s="1" t="s">
        <v>509</v>
      </c>
      <c r="F2" s="1" t="s">
        <v>7295</v>
      </c>
      <c r="G2" t="s">
        <v>7296</v>
      </c>
      <c r="H2" s="1" t="s">
        <v>7297</v>
      </c>
      <c r="I2" t="s">
        <v>7298</v>
      </c>
      <c r="J2" s="1" t="s">
        <v>7299</v>
      </c>
      <c r="K2" s="3" t="s">
        <v>7300</v>
      </c>
      <c r="L2" s="3" t="s">
        <v>7300</v>
      </c>
      <c r="M2" s="1" t="s">
        <v>7301</v>
      </c>
      <c r="N2" s="1" t="s">
        <v>7302</v>
      </c>
      <c r="O2" s="1" t="s">
        <v>7303</v>
      </c>
      <c r="P2" s="1" t="s">
        <v>7304</v>
      </c>
      <c r="Q2" s="1" t="s">
        <v>7299</v>
      </c>
      <c r="R2" s="1" t="s">
        <v>7305</v>
      </c>
      <c r="S2" s="1" t="s">
        <v>7306</v>
      </c>
      <c r="T2" s="1" t="s">
        <v>7307</v>
      </c>
      <c r="U2" s="1" t="s">
        <v>7308</v>
      </c>
      <c r="V2" s="1" t="s">
        <v>7309</v>
      </c>
      <c r="W2" s="1" t="s">
        <v>7310</v>
      </c>
      <c r="X2" s="1" t="s">
        <v>7299</v>
      </c>
      <c r="Y2" s="1" t="s">
        <v>7311</v>
      </c>
      <c r="Z2" s="1" t="s">
        <v>7310</v>
      </c>
      <c r="AA2" s="1" t="s">
        <v>7312</v>
      </c>
      <c r="AB2" t="s">
        <v>7313</v>
      </c>
      <c r="AC2" s="1" t="s">
        <v>7314</v>
      </c>
      <c r="AD2" s="1" t="s">
        <v>7315</v>
      </c>
      <c r="AE2" s="1" t="s">
        <v>7316</v>
      </c>
      <c r="AF2" s="1" t="s">
        <v>7317</v>
      </c>
      <c r="AG2" s="1" t="s">
        <v>7314</v>
      </c>
      <c r="AH2" s="1" t="s">
        <v>7318</v>
      </c>
      <c r="AI2" s="1" t="s">
        <v>144</v>
      </c>
      <c r="AJ2" s="1" t="s">
        <v>861</v>
      </c>
      <c r="AK2" s="1" t="s">
        <v>309</v>
      </c>
      <c r="AL2" s="1" t="s">
        <v>46</v>
      </c>
      <c r="AM2" s="1" t="s">
        <v>509</v>
      </c>
      <c r="AN2" s="1" t="s">
        <v>509</v>
      </c>
      <c r="AO2" s="1" t="s">
        <v>7319</v>
      </c>
      <c r="AP2" s="1" t="s">
        <v>147</v>
      </c>
      <c r="AQ2" s="1" t="s">
        <v>7320</v>
      </c>
      <c r="AR2" s="39">
        <v>44287</v>
      </c>
      <c r="AS2" s="1" t="s">
        <v>89</v>
      </c>
      <c r="AT2" s="1" t="s">
        <v>7321</v>
      </c>
      <c r="AU2" s="15" t="s">
        <v>90</v>
      </c>
      <c r="AV2" s="15" t="s">
        <v>100</v>
      </c>
      <c r="AW2" s="15" t="s">
        <v>307</v>
      </c>
      <c r="AX2" s="15" t="s">
        <v>1556</v>
      </c>
      <c r="AY2" s="1" t="s">
        <v>61</v>
      </c>
      <c r="AZ2" s="1" t="s">
        <v>78</v>
      </c>
      <c r="BA2" s="1" t="s">
        <v>42</v>
      </c>
      <c r="BB2" s="1" t="s">
        <v>62</v>
      </c>
      <c r="BC2" s="1" t="s">
        <v>50</v>
      </c>
      <c r="BD2" s="1" t="s">
        <v>45</v>
      </c>
      <c r="BE2" s="1" t="s">
        <v>50</v>
      </c>
      <c r="BF2" s="11" t="s">
        <v>226</v>
      </c>
      <c r="BH2" s="18"/>
      <c r="BJ2" t="str">
        <f t="array" ref="BJ2">_xlfn._xlws.FILTER(Table35[SupportingPartner],ISNUMBER(SEARCH(List!BA1,Table35[SupportingPartner])),"NOT FOUND")</f>
        <v>NOT FOUND</v>
      </c>
    </row>
    <row r="3" spans="1:62">
      <c r="A3" s="1" t="s">
        <v>7322</v>
      </c>
      <c r="B3" s="1" t="s">
        <v>7323</v>
      </c>
      <c r="D3" s="1" t="s">
        <v>6578</v>
      </c>
      <c r="H3" s="1" t="s">
        <v>7324</v>
      </c>
      <c r="P3" s="1" t="s">
        <v>7325</v>
      </c>
      <c r="U3" s="1" t="s">
        <v>7326</v>
      </c>
      <c r="AE3" s="1" t="s">
        <v>7327</v>
      </c>
      <c r="AI3" s="1" t="s">
        <v>69</v>
      </c>
      <c r="AJ3" s="1" t="s">
        <v>157</v>
      </c>
      <c r="AK3" s="1" t="s">
        <v>7328</v>
      </c>
      <c r="AL3" s="1" t="s">
        <v>356</v>
      </c>
      <c r="AM3" s="1" t="s">
        <v>191</v>
      </c>
      <c r="AN3" s="1" t="s">
        <v>191</v>
      </c>
      <c r="AO3" s="1" t="s">
        <v>7329</v>
      </c>
      <c r="AP3" s="1" t="s">
        <v>54</v>
      </c>
      <c r="AQ3" s="1" t="s">
        <v>7330</v>
      </c>
      <c r="AR3" s="39">
        <v>44317</v>
      </c>
      <c r="AS3" s="1" t="s">
        <v>99</v>
      </c>
      <c r="AT3" s="1" t="s">
        <v>7331</v>
      </c>
      <c r="AU3" s="15" t="s">
        <v>126</v>
      </c>
      <c r="AV3" s="15" t="s">
        <v>1159</v>
      </c>
      <c r="AW3" s="15" t="s">
        <v>556</v>
      </c>
      <c r="AX3" s="16" t="s">
        <v>5810</v>
      </c>
      <c r="AY3" s="1" t="s">
        <v>126</v>
      </c>
      <c r="AZ3" s="1"/>
      <c r="BA3" s="1" t="s">
        <v>285</v>
      </c>
      <c r="BB3" s="1" t="s">
        <v>164</v>
      </c>
      <c r="BC3" s="1" t="s">
        <v>63</v>
      </c>
      <c r="BD3" s="1" t="s">
        <v>7332</v>
      </c>
      <c r="BE3" s="1" t="s">
        <v>63</v>
      </c>
      <c r="BF3" s="11" t="s">
        <v>7333</v>
      </c>
      <c r="BJ3" t="str">
        <f t="array" ref="BJ3">_xlfn._xlws.FILTER(Table35[SupportingPartner],ISNUMBER(SEARCH(List!BA2,Table35[SupportingPartner])),"NOT FOUND")</f>
        <v>NovaTel</v>
      </c>
    </row>
    <row r="4" spans="1:62">
      <c r="A4" s="1" t="s">
        <v>7334</v>
      </c>
      <c r="B4" s="1" t="s">
        <v>7335</v>
      </c>
      <c r="D4" s="1" t="s">
        <v>7336</v>
      </c>
      <c r="H4" s="1" t="s">
        <v>7337</v>
      </c>
      <c r="P4" s="1" t="s">
        <v>7338</v>
      </c>
      <c r="AI4" s="1" t="s">
        <v>152</v>
      </c>
      <c r="AJ4" s="1" t="s">
        <v>78</v>
      </c>
      <c r="AK4" s="1" t="s">
        <v>7339</v>
      </c>
      <c r="AL4" s="1" t="s">
        <v>967</v>
      </c>
      <c r="AM4" s="1" t="s">
        <v>7263</v>
      </c>
      <c r="AN4" s="1" t="s">
        <v>7263</v>
      </c>
      <c r="AP4" s="1" t="s">
        <v>133</v>
      </c>
      <c r="AQ4" s="1" t="s">
        <v>7340</v>
      </c>
      <c r="AR4" s="39">
        <v>44348</v>
      </c>
      <c r="AS4" s="1" t="s">
        <v>293</v>
      </c>
      <c r="AT4" s="1" t="s">
        <v>7341</v>
      </c>
      <c r="AU4" s="16" t="s">
        <v>656</v>
      </c>
      <c r="AV4" s="15" t="s">
        <v>971</v>
      </c>
      <c r="AW4" s="16" t="s">
        <v>4484</v>
      </c>
      <c r="AX4" s="1"/>
      <c r="AY4" s="1" t="s">
        <v>656</v>
      </c>
      <c r="AZ4" s="1"/>
      <c r="BA4" s="1" t="s">
        <v>92</v>
      </c>
      <c r="BB4" s="1" t="s">
        <v>78</v>
      </c>
      <c r="BF4" s="11" t="s">
        <v>48</v>
      </c>
      <c r="BJ4" t="str">
        <f t="array" ref="BJ4">_xlfn._xlws.FILTER(Table35[SupportingPartner],ISNUMBER(SEARCH(List!BA3,Table35[SupportingPartner])),"NOT FOUND")</f>
        <v>Accenture-DCMS</v>
      </c>
    </row>
    <row r="5" spans="1:62">
      <c r="A5" s="1" t="s">
        <v>7342</v>
      </c>
      <c r="B5" s="1" t="s">
        <v>7343</v>
      </c>
      <c r="D5" s="1" t="s">
        <v>191</v>
      </c>
      <c r="H5" s="1" t="s">
        <v>7344</v>
      </c>
      <c r="P5" s="1"/>
      <c r="AI5" s="1" t="s">
        <v>49</v>
      </c>
      <c r="AK5" s="1" t="s">
        <v>7345</v>
      </c>
      <c r="AL5" s="1" t="s">
        <v>405</v>
      </c>
      <c r="AM5" s="1" t="s">
        <v>721</v>
      </c>
      <c r="AN5" s="1" t="s">
        <v>721</v>
      </c>
      <c r="AO5" s="1" t="s">
        <v>7346</v>
      </c>
      <c r="AQ5" s="1" t="s">
        <v>7347</v>
      </c>
      <c r="AR5" s="39">
        <v>44378</v>
      </c>
      <c r="AS5" s="1" t="s">
        <v>1555</v>
      </c>
      <c r="AT5" s="1" t="s">
        <v>294</v>
      </c>
      <c r="AU5" s="1"/>
      <c r="AV5" s="15" t="s">
        <v>139</v>
      </c>
      <c r="AW5" s="17" t="s">
        <v>294</v>
      </c>
      <c r="AX5" s="1"/>
      <c r="AY5" s="1" t="s">
        <v>768</v>
      </c>
      <c r="AZ5" s="1"/>
      <c r="BA5" s="1" t="s">
        <v>116</v>
      </c>
      <c r="BB5" s="1"/>
      <c r="BJ5" t="str">
        <f t="array" ref="BJ5">_xlfn._xlws.FILTER(Table35[SupportingPartner],ISNUMBER(SEARCH(List!BA4,Table35[SupportingPartner])),"NOT FOUND")</f>
        <v>Accenture-DCMS</v>
      </c>
    </row>
    <row r="6" spans="1:62">
      <c r="A6" s="1" t="s">
        <v>7348</v>
      </c>
      <c r="B6" s="1" t="s">
        <v>7349</v>
      </c>
      <c r="D6" s="1" t="s">
        <v>98</v>
      </c>
      <c r="AK6" s="1" t="s">
        <v>2048</v>
      </c>
      <c r="AL6" s="1" t="s">
        <v>225</v>
      </c>
      <c r="AM6" s="1" t="s">
        <v>2659</v>
      </c>
      <c r="AN6" s="1" t="s">
        <v>2659</v>
      </c>
      <c r="AO6" s="1" t="s">
        <v>7300</v>
      </c>
      <c r="AR6" s="39">
        <v>44409</v>
      </c>
      <c r="AS6" s="1" t="s">
        <v>60</v>
      </c>
      <c r="AT6" s="1" t="s">
        <v>7350</v>
      </c>
      <c r="AU6" s="1"/>
      <c r="AV6" s="16" t="s">
        <v>768</v>
      </c>
      <c r="AW6" s="1"/>
      <c r="AX6" s="1"/>
      <c r="AY6" s="1" t="s">
        <v>307</v>
      </c>
      <c r="AZ6" s="1"/>
      <c r="BA6" s="1" t="s">
        <v>7351</v>
      </c>
      <c r="BJ6" t="str">
        <f t="array" ref="BJ6">_xlfn._xlws.FILTER(Table35[SupportingPartner],ISNUMBER(SEARCH(List!BA5,Table35[SupportingPartner])),"NOT FOUND")</f>
        <v>Amdocs</v>
      </c>
    </row>
    <row r="7" spans="1:62">
      <c r="A7" s="1" t="s">
        <v>7352</v>
      </c>
      <c r="B7" s="1" t="s">
        <v>7353</v>
      </c>
      <c r="D7" s="1" t="s">
        <v>6023</v>
      </c>
      <c r="AK7" s="1" t="s">
        <v>7354</v>
      </c>
      <c r="AL7" s="1" t="s">
        <v>7355</v>
      </c>
      <c r="AM7" s="1" t="s">
        <v>7356</v>
      </c>
      <c r="AN7" s="1" t="s">
        <v>7356</v>
      </c>
      <c r="AO7" s="1" t="s">
        <v>7357</v>
      </c>
      <c r="AR7" s="39">
        <v>44440</v>
      </c>
      <c r="AS7" s="1" t="s">
        <v>78</v>
      </c>
      <c r="AT7" s="1" t="s">
        <v>78</v>
      </c>
      <c r="AU7" s="1"/>
      <c r="AV7" s="1"/>
      <c r="AW7" s="1"/>
      <c r="AX7" s="1"/>
      <c r="AY7" s="1" t="s">
        <v>556</v>
      </c>
      <c r="AZ7" s="1"/>
      <c r="BJ7" t="str">
        <f t="array" ref="BJ7">_xlfn._xlws.FILTER(Table35[SupportingPartner],ISNUMBER(SEARCH(List!BA6,Table35[SupportingPartner])),"NOT FOUND")</f>
        <v>OEM</v>
      </c>
    </row>
    <row r="8" spans="1:62">
      <c r="A8" s="1" t="s">
        <v>7358</v>
      </c>
      <c r="B8" s="11" t="s">
        <v>7359</v>
      </c>
      <c r="D8" s="1" t="s">
        <v>7263</v>
      </c>
      <c r="AK8" s="1" t="s">
        <v>7360</v>
      </c>
      <c r="AM8" s="1" t="s">
        <v>2053</v>
      </c>
      <c r="AN8" s="1" t="s">
        <v>2053</v>
      </c>
      <c r="AO8" s="1" t="s">
        <v>7361</v>
      </c>
      <c r="AR8" s="39">
        <v>44470</v>
      </c>
      <c r="AS8" s="1"/>
      <c r="AT8" s="1" t="s">
        <v>7362</v>
      </c>
      <c r="AU8" s="1"/>
      <c r="AV8" s="1"/>
      <c r="AW8" s="1"/>
      <c r="AX8" s="1"/>
      <c r="AY8" s="1" t="s">
        <v>4484</v>
      </c>
      <c r="AZ8" s="1"/>
    </row>
    <row r="9" spans="1:62">
      <c r="A9" s="1" t="s">
        <v>7363</v>
      </c>
      <c r="B9" s="1" t="s">
        <v>7364</v>
      </c>
      <c r="D9" s="1" t="s">
        <v>7365</v>
      </c>
      <c r="AK9" s="1" t="s">
        <v>1338</v>
      </c>
      <c r="AM9" s="1" t="s">
        <v>314</v>
      </c>
      <c r="AN9" s="1" t="s">
        <v>314</v>
      </c>
      <c r="AO9" s="1" t="s">
        <v>7366</v>
      </c>
      <c r="AR9" s="39">
        <v>44501</v>
      </c>
      <c r="AS9" s="1"/>
      <c r="AT9" s="1" t="s">
        <v>7367</v>
      </c>
      <c r="AU9" s="1"/>
      <c r="AV9" s="1"/>
      <c r="AW9" s="1"/>
      <c r="AX9" s="1"/>
      <c r="AY9" s="1" t="s">
        <v>7368</v>
      </c>
      <c r="AZ9" s="1"/>
    </row>
    <row r="10" spans="1:62">
      <c r="A10" s="1" t="s">
        <v>7369</v>
      </c>
      <c r="B10" s="1" t="s">
        <v>7370</v>
      </c>
      <c r="D10" s="11" t="s">
        <v>7371</v>
      </c>
      <c r="AK10" s="1" t="s">
        <v>410</v>
      </c>
      <c r="AM10" s="1" t="s">
        <v>662</v>
      </c>
      <c r="AN10" s="1" t="s">
        <v>662</v>
      </c>
      <c r="AO10" s="1" t="s">
        <v>7372</v>
      </c>
      <c r="AR10" s="39">
        <v>44531</v>
      </c>
      <c r="AS10" s="1"/>
      <c r="AU10" s="1"/>
      <c r="AV10" s="1"/>
      <c r="AW10" s="1"/>
      <c r="AX10" s="1"/>
      <c r="AY10" s="1" t="s">
        <v>7373</v>
      </c>
      <c r="AZ10" s="1"/>
    </row>
    <row r="11" spans="1:62">
      <c r="A11" s="1" t="s">
        <v>7374</v>
      </c>
      <c r="B11" s="1" t="s">
        <v>7375</v>
      </c>
      <c r="D11" s="1" t="s">
        <v>721</v>
      </c>
      <c r="AK11" s="1" t="s">
        <v>7376</v>
      </c>
      <c r="AM11" s="1" t="s">
        <v>1296</v>
      </c>
      <c r="AN11" s="1" t="s">
        <v>1296</v>
      </c>
      <c r="AO11" s="1" t="s">
        <v>7377</v>
      </c>
      <c r="AR11" s="39">
        <v>44562</v>
      </c>
      <c r="AS11" s="1"/>
      <c r="AU11" s="1"/>
      <c r="AV11" s="1"/>
      <c r="AW11" s="1"/>
      <c r="AX11" s="1"/>
      <c r="AY11" s="1" t="s">
        <v>4484</v>
      </c>
      <c r="AZ11" s="1"/>
    </row>
    <row r="12" spans="1:62">
      <c r="A12" s="11" t="s">
        <v>7378</v>
      </c>
      <c r="B12" s="1" t="s">
        <v>577</v>
      </c>
      <c r="D12" s="1" t="s">
        <v>2659</v>
      </c>
      <c r="AK12" s="3" t="s">
        <v>7379</v>
      </c>
      <c r="AM12" s="1" t="s">
        <v>7270</v>
      </c>
      <c r="AN12" s="1" t="s">
        <v>7270</v>
      </c>
      <c r="AO12" s="1" t="s">
        <v>7380</v>
      </c>
      <c r="AR12" s="39">
        <v>44593</v>
      </c>
      <c r="AS12" s="1"/>
      <c r="AU12" s="1"/>
      <c r="AV12" s="1"/>
      <c r="AW12" s="1"/>
      <c r="AX12" s="1"/>
      <c r="AY12" s="1" t="s">
        <v>2436</v>
      </c>
      <c r="AZ12" s="1"/>
    </row>
    <row r="13" spans="1:62">
      <c r="A13" s="1" t="s">
        <v>7381</v>
      </c>
      <c r="B13" s="1" t="s">
        <v>7382</v>
      </c>
      <c r="D13" s="1" t="s">
        <v>7383</v>
      </c>
      <c r="AK13" s="1" t="s">
        <v>242</v>
      </c>
      <c r="AM13" s="1" t="s">
        <v>491</v>
      </c>
      <c r="AN13" s="1" t="s">
        <v>491</v>
      </c>
      <c r="AO13" s="1" t="s">
        <v>7307</v>
      </c>
      <c r="AR13" s="40">
        <v>44621</v>
      </c>
      <c r="AS13" s="1"/>
      <c r="AY13" s="1" t="s">
        <v>78</v>
      </c>
    </row>
    <row r="14" spans="1:62">
      <c r="A14" s="1" t="s">
        <v>7384</v>
      </c>
      <c r="B14" s="1" t="s">
        <v>7385</v>
      </c>
      <c r="D14" s="1" t="s">
        <v>109</v>
      </c>
      <c r="AK14" s="1" t="s">
        <v>4875</v>
      </c>
      <c r="AM14" s="1" t="s">
        <v>675</v>
      </c>
      <c r="AN14" s="1" t="s">
        <v>675</v>
      </c>
      <c r="AO14" s="1" t="s">
        <v>7303</v>
      </c>
      <c r="AR14" s="39">
        <v>44652</v>
      </c>
      <c r="AS14" s="1"/>
    </row>
    <row r="15" spans="1:62">
      <c r="A15" s="1" t="s">
        <v>7386</v>
      </c>
      <c r="B15" s="1" t="s">
        <v>7387</v>
      </c>
      <c r="D15" s="1" t="s">
        <v>2053</v>
      </c>
      <c r="AK15" s="1" t="s">
        <v>7388</v>
      </c>
      <c r="AM15" s="1" t="s">
        <v>7389</v>
      </c>
      <c r="AN15" s="1" t="s">
        <v>7390</v>
      </c>
      <c r="AR15" s="39">
        <v>44682</v>
      </c>
      <c r="AS15" s="1"/>
    </row>
    <row r="16" spans="1:62">
      <c r="A16" s="1" t="s">
        <v>7391</v>
      </c>
      <c r="B16" s="1" t="s">
        <v>7392</v>
      </c>
      <c r="D16" s="1" t="s">
        <v>314</v>
      </c>
      <c r="AK16" s="1" t="s">
        <v>5443</v>
      </c>
      <c r="AM16" s="1" t="s">
        <v>122</v>
      </c>
      <c r="AN16" s="1" t="s">
        <v>122</v>
      </c>
      <c r="AO16" s="1" t="s">
        <v>7310</v>
      </c>
      <c r="AR16" s="39">
        <v>44713</v>
      </c>
      <c r="AS16" s="1"/>
    </row>
    <row r="17" spans="1:45">
      <c r="A17" s="1" t="s">
        <v>7393</v>
      </c>
      <c r="B17" s="1" t="s">
        <v>7394</v>
      </c>
      <c r="D17" s="1" t="s">
        <v>662</v>
      </c>
      <c r="AK17" s="1" t="s">
        <v>4163</v>
      </c>
      <c r="AM17" s="1" t="s">
        <v>1589</v>
      </c>
      <c r="AN17" s="1" t="s">
        <v>1589</v>
      </c>
      <c r="AO17" s="1" t="s">
        <v>7395</v>
      </c>
      <c r="AR17" s="39">
        <v>44743</v>
      </c>
      <c r="AS17" s="1"/>
    </row>
    <row r="18" spans="1:45">
      <c r="A18" s="1" t="s">
        <v>2342</v>
      </c>
      <c r="B18" s="1" t="s">
        <v>7396</v>
      </c>
      <c r="D18" s="1" t="s">
        <v>1296</v>
      </c>
      <c r="AK18" s="1" t="s">
        <v>4486</v>
      </c>
      <c r="AM18" s="1" t="s">
        <v>7272</v>
      </c>
      <c r="AN18" s="1" t="s">
        <v>7272</v>
      </c>
      <c r="AO18" s="1" t="s">
        <v>7311</v>
      </c>
      <c r="AR18" s="39">
        <v>44774</v>
      </c>
      <c r="AS18" s="1"/>
    </row>
    <row r="19" spans="1:45">
      <c r="A19" s="1" t="s">
        <v>1637</v>
      </c>
      <c r="B19" s="1" t="s">
        <v>7397</v>
      </c>
      <c r="D19" s="1" t="s">
        <v>7270</v>
      </c>
      <c r="AK19" s="1" t="s">
        <v>93</v>
      </c>
      <c r="AM19" s="1" t="s">
        <v>7398</v>
      </c>
      <c r="AN19" s="1" t="s">
        <v>7398</v>
      </c>
      <c r="AO19" s="1" t="s">
        <v>7310</v>
      </c>
      <c r="AR19" s="39">
        <v>44805</v>
      </c>
      <c r="AS19" s="1"/>
    </row>
    <row r="20" spans="1:45">
      <c r="A20" s="11" t="s">
        <v>7399</v>
      </c>
      <c r="B20" s="1" t="s">
        <v>7400</v>
      </c>
      <c r="D20" s="1" t="s">
        <v>491</v>
      </c>
      <c r="AK20" s="1" t="s">
        <v>4075</v>
      </c>
      <c r="AM20" s="1" t="s">
        <v>7401</v>
      </c>
      <c r="AN20" s="1" t="s">
        <v>434</v>
      </c>
      <c r="AO20" s="1" t="s">
        <v>7300</v>
      </c>
      <c r="AR20" s="39">
        <v>44835</v>
      </c>
      <c r="AS20" s="1"/>
    </row>
    <row r="21" spans="1:45">
      <c r="A21" s="1" t="s">
        <v>7402</v>
      </c>
      <c r="B21" s="1" t="s">
        <v>7403</v>
      </c>
      <c r="D21" s="1" t="s">
        <v>675</v>
      </c>
      <c r="AK21" s="1" t="s">
        <v>5823</v>
      </c>
      <c r="AM21" s="1" t="s">
        <v>434</v>
      </c>
      <c r="AN21" s="1" t="s">
        <v>7273</v>
      </c>
      <c r="AO21" s="1" t="s">
        <v>7404</v>
      </c>
      <c r="AR21" s="39">
        <v>44866</v>
      </c>
      <c r="AS21" s="1"/>
    </row>
    <row r="22" spans="1:45">
      <c r="A22" s="1" t="s">
        <v>7405</v>
      </c>
      <c r="B22" s="1" t="s">
        <v>7406</v>
      </c>
      <c r="D22" s="1" t="s">
        <v>7390</v>
      </c>
      <c r="AK22" s="1" t="s">
        <v>3388</v>
      </c>
      <c r="AM22" s="1" t="s">
        <v>7273</v>
      </c>
      <c r="AO22" s="1" t="s">
        <v>7300</v>
      </c>
      <c r="AR22" s="39">
        <v>44896</v>
      </c>
      <c r="AS22" s="1"/>
    </row>
    <row r="23" spans="1:45">
      <c r="A23" s="1" t="s">
        <v>2606</v>
      </c>
      <c r="B23" s="1" t="s">
        <v>7407</v>
      </c>
      <c r="D23" s="1" t="s">
        <v>7276</v>
      </c>
      <c r="AK23" s="1" t="s">
        <v>383</v>
      </c>
      <c r="AM23" s="1" t="s">
        <v>7408</v>
      </c>
      <c r="AR23" s="39">
        <v>44927</v>
      </c>
      <c r="AS23" s="1"/>
    </row>
    <row r="24" spans="1:45">
      <c r="A24" s="11" t="s">
        <v>1408</v>
      </c>
      <c r="B24" s="1" t="s">
        <v>7409</v>
      </c>
      <c r="D24" s="1" t="s">
        <v>7277</v>
      </c>
      <c r="AK24" s="1" t="s">
        <v>7410</v>
      </c>
      <c r="AR24" s="39">
        <v>44980</v>
      </c>
    </row>
    <row r="25" spans="1:45">
      <c r="A25" s="1" t="s">
        <v>7411</v>
      </c>
      <c r="B25" s="1" t="s">
        <v>7412</v>
      </c>
      <c r="D25" s="1" t="s">
        <v>72</v>
      </c>
      <c r="AK25" s="1" t="s">
        <v>6254</v>
      </c>
      <c r="AO25" s="1" t="s">
        <v>7303</v>
      </c>
      <c r="AR25" s="39">
        <v>44986</v>
      </c>
    </row>
    <row r="26" spans="1:45">
      <c r="A26" s="1" t="s">
        <v>129</v>
      </c>
      <c r="B26" s="1" t="s">
        <v>7413</v>
      </c>
      <c r="D26" s="1" t="s">
        <v>122</v>
      </c>
      <c r="AK26" s="1" t="s">
        <v>6142</v>
      </c>
      <c r="AO26" s="1" t="s">
        <v>7414</v>
      </c>
      <c r="AR26" s="39">
        <v>45017</v>
      </c>
    </row>
    <row r="27" spans="1:45">
      <c r="A27" s="1" t="s">
        <v>7415</v>
      </c>
      <c r="B27" s="1" t="s">
        <v>7416</v>
      </c>
      <c r="D27" s="1" t="s">
        <v>1589</v>
      </c>
      <c r="AK27" s="1" t="s">
        <v>2566</v>
      </c>
      <c r="AO27" s="1" t="s">
        <v>7417</v>
      </c>
      <c r="AR27" s="39">
        <v>45047</v>
      </c>
    </row>
    <row r="28" spans="1:45">
      <c r="A28" s="1" t="s">
        <v>7418</v>
      </c>
      <c r="B28" s="1" t="s">
        <v>7362</v>
      </c>
      <c r="D28" s="1" t="s">
        <v>7272</v>
      </c>
      <c r="AK28" s="1" t="s">
        <v>117</v>
      </c>
      <c r="AO28" s="1" t="s">
        <v>7419</v>
      </c>
      <c r="AR28" s="39">
        <v>45078</v>
      </c>
    </row>
    <row r="29" spans="1:45" ht="15" customHeight="1">
      <c r="A29" s="28" t="s">
        <v>5890</v>
      </c>
      <c r="B29" s="1" t="s">
        <v>7420</v>
      </c>
      <c r="D29" s="1" t="s">
        <v>434</v>
      </c>
      <c r="AK29" s="3" t="s">
        <v>6720</v>
      </c>
      <c r="AO29" s="1" t="s">
        <v>7421</v>
      </c>
      <c r="AR29" s="39">
        <v>45108</v>
      </c>
    </row>
    <row r="30" spans="1:45">
      <c r="A30" s="1" t="s">
        <v>7422</v>
      </c>
      <c r="B30" s="1" t="s">
        <v>7423</v>
      </c>
      <c r="D30" s="1" t="s">
        <v>7273</v>
      </c>
      <c r="AK30" s="1" t="s">
        <v>1574</v>
      </c>
      <c r="AO30" s="1" t="s">
        <v>7424</v>
      </c>
      <c r="AR30" s="39">
        <v>45139</v>
      </c>
    </row>
    <row r="31" spans="1:45">
      <c r="A31" s="11" t="s">
        <v>7425</v>
      </c>
      <c r="B31" s="1" t="s">
        <v>7272</v>
      </c>
      <c r="D31" s="1" t="s">
        <v>7426</v>
      </c>
      <c r="AK31" s="3" t="s">
        <v>7427</v>
      </c>
      <c r="AO31" s="1" t="s">
        <v>7428</v>
      </c>
      <c r="AR31" s="39">
        <v>45170</v>
      </c>
    </row>
    <row r="32" spans="1:45">
      <c r="A32" s="1" t="s">
        <v>7429</v>
      </c>
      <c r="B32" s="1" t="s">
        <v>7430</v>
      </c>
      <c r="D32" s="1" t="s">
        <v>1069</v>
      </c>
      <c r="AK32" s="1" t="s">
        <v>7431</v>
      </c>
      <c r="AR32" s="39">
        <v>45200</v>
      </c>
    </row>
    <row r="33" spans="1:44">
      <c r="A33" s="1" t="s">
        <v>7432</v>
      </c>
      <c r="B33" s="1" t="s">
        <v>7433</v>
      </c>
      <c r="AK33" s="1" t="s">
        <v>4855</v>
      </c>
      <c r="AR33" s="39">
        <v>45231</v>
      </c>
    </row>
    <row r="34" spans="1:44">
      <c r="A34" s="1" t="s">
        <v>682</v>
      </c>
      <c r="B34" s="1" t="s">
        <v>7434</v>
      </c>
      <c r="AK34" s="1" t="s">
        <v>504</v>
      </c>
      <c r="AR34" s="39">
        <v>45261</v>
      </c>
    </row>
    <row r="35" spans="1:44">
      <c r="A35" s="1" t="s">
        <v>7435</v>
      </c>
      <c r="B35" s="1" t="s">
        <v>7436</v>
      </c>
      <c r="AK35" s="1" t="s">
        <v>487</v>
      </c>
      <c r="AO35" s="1" t="s">
        <v>7437</v>
      </c>
      <c r="AR35" s="39">
        <v>45292</v>
      </c>
    </row>
    <row r="36" spans="1:44">
      <c r="A36" s="1" t="s">
        <v>7438</v>
      </c>
      <c r="B36" s="1" t="s">
        <v>7439</v>
      </c>
      <c r="AK36" s="1" t="s">
        <v>3733</v>
      </c>
      <c r="AO36" s="1" t="s">
        <v>7346</v>
      </c>
      <c r="AR36" s="39">
        <v>45323</v>
      </c>
    </row>
    <row r="37" spans="1:44">
      <c r="A37" s="11" t="s">
        <v>7440</v>
      </c>
      <c r="B37" s="1" t="s">
        <v>7441</v>
      </c>
      <c r="AK37" s="1" t="s">
        <v>5612</v>
      </c>
      <c r="AO37" s="1" t="s">
        <v>7442</v>
      </c>
      <c r="AR37" s="39">
        <v>45352</v>
      </c>
    </row>
    <row r="38" spans="1:44">
      <c r="A38" s="1" t="s">
        <v>7443</v>
      </c>
      <c r="B38" s="1" t="s">
        <v>7444</v>
      </c>
      <c r="AK38" s="1" t="s">
        <v>7445</v>
      </c>
      <c r="AO38" s="1" t="s">
        <v>7310</v>
      </c>
      <c r="AR38" s="39">
        <v>45383</v>
      </c>
    </row>
    <row r="39" spans="1:44">
      <c r="A39" s="1" t="s">
        <v>7446</v>
      </c>
      <c r="B39" s="1" t="s">
        <v>7447</v>
      </c>
      <c r="AK39" s="1" t="s">
        <v>6281</v>
      </c>
      <c r="AR39" s="39">
        <v>45413</v>
      </c>
    </row>
    <row r="40" spans="1:44">
      <c r="A40" s="1" t="s">
        <v>7448</v>
      </c>
      <c r="B40" s="1" t="s">
        <v>7449</v>
      </c>
      <c r="AK40" s="1" t="s">
        <v>3327</v>
      </c>
      <c r="AR40" s="39">
        <v>45444</v>
      </c>
    </row>
    <row r="41" spans="1:44">
      <c r="A41" s="1" t="s">
        <v>7450</v>
      </c>
      <c r="B41" s="1" t="s">
        <v>7451</v>
      </c>
      <c r="AK41" s="1" t="s">
        <v>7452</v>
      </c>
      <c r="AR41" s="39">
        <v>45474</v>
      </c>
    </row>
    <row r="42" spans="1:44">
      <c r="A42" s="1" t="s">
        <v>7453</v>
      </c>
      <c r="B42" s="1" t="s">
        <v>7454</v>
      </c>
      <c r="AK42" s="10" t="s">
        <v>4825</v>
      </c>
      <c r="AR42" s="39">
        <v>45505</v>
      </c>
    </row>
    <row r="43" spans="1:44">
      <c r="A43" s="1" t="s">
        <v>7455</v>
      </c>
      <c r="B43" s="1" t="s">
        <v>7456</v>
      </c>
      <c r="AK43" s="1" t="s">
        <v>7457</v>
      </c>
      <c r="AR43" s="39">
        <v>45536</v>
      </c>
    </row>
    <row r="44" spans="1:44">
      <c r="A44" s="11" t="s">
        <v>7458</v>
      </c>
      <c r="B44" s="1" t="s">
        <v>7459</v>
      </c>
      <c r="AK44" s="1" t="s">
        <v>599</v>
      </c>
      <c r="AR44" s="39">
        <v>45566</v>
      </c>
    </row>
    <row r="45" spans="1:44">
      <c r="A45" s="11" t="s">
        <v>7460</v>
      </c>
      <c r="B45" s="1" t="s">
        <v>7461</v>
      </c>
      <c r="AK45" s="1" t="s">
        <v>5073</v>
      </c>
      <c r="AR45" s="39">
        <v>45597</v>
      </c>
    </row>
    <row r="46" spans="1:44">
      <c r="A46" s="11" t="s">
        <v>951</v>
      </c>
      <c r="B46" s="1" t="s">
        <v>7462</v>
      </c>
      <c r="AK46" s="1" t="s">
        <v>7463</v>
      </c>
      <c r="AR46" s="39">
        <v>45627</v>
      </c>
    </row>
    <row r="47" spans="1:44">
      <c r="A47" s="11" t="s">
        <v>1749</v>
      </c>
      <c r="B47" s="11" t="s">
        <v>7464</v>
      </c>
      <c r="AK47" s="1" t="s">
        <v>1273</v>
      </c>
      <c r="AR47" s="39">
        <v>45658</v>
      </c>
    </row>
    <row r="48" spans="1:44">
      <c r="A48" s="1" t="s">
        <v>7465</v>
      </c>
      <c r="B48" s="1" t="s">
        <v>7466</v>
      </c>
      <c r="AK48" s="11" t="s">
        <v>6129</v>
      </c>
      <c r="AR48" s="39">
        <v>45689</v>
      </c>
    </row>
    <row r="49" spans="1:44">
      <c r="A49" s="1" t="s">
        <v>7467</v>
      </c>
      <c r="B49" s="1" t="s">
        <v>7468</v>
      </c>
      <c r="AK49" s="1" t="s">
        <v>344</v>
      </c>
      <c r="AR49" s="39">
        <v>45748</v>
      </c>
    </row>
    <row r="50" spans="1:44">
      <c r="A50" s="1" t="s">
        <v>7469</v>
      </c>
      <c r="B50" s="1" t="s">
        <v>7470</v>
      </c>
      <c r="AK50" s="1" t="s">
        <v>3809</v>
      </c>
      <c r="AR50" s="39">
        <v>45778</v>
      </c>
    </row>
    <row r="51" spans="1:44">
      <c r="A51" s="1" t="s">
        <v>7471</v>
      </c>
      <c r="B51" s="1" t="s">
        <v>7472</v>
      </c>
      <c r="AK51" s="1" t="s">
        <v>202</v>
      </c>
      <c r="AR51" s="39">
        <v>45809</v>
      </c>
    </row>
    <row r="52" spans="1:44">
      <c r="A52" s="1" t="s">
        <v>7473</v>
      </c>
      <c r="B52" s="1" t="s">
        <v>7474</v>
      </c>
      <c r="AK52" s="1" t="s">
        <v>5916</v>
      </c>
      <c r="AR52" s="39">
        <v>45839</v>
      </c>
    </row>
    <row r="53" spans="1:44">
      <c r="A53" s="1" t="s">
        <v>7475</v>
      </c>
      <c r="B53" s="1" t="s">
        <v>7476</v>
      </c>
      <c r="AK53" s="1" t="s">
        <v>403</v>
      </c>
      <c r="AR53" s="39">
        <v>45901</v>
      </c>
    </row>
    <row r="54" spans="1:44">
      <c r="A54" s="1" t="s">
        <v>4049</v>
      </c>
      <c r="B54" s="1" t="s">
        <v>7477</v>
      </c>
      <c r="AK54" s="1" t="s">
        <v>1558</v>
      </c>
      <c r="AR54" s="39">
        <v>45931</v>
      </c>
    </row>
    <row r="55" spans="1:44">
      <c r="A55" s="1" t="s">
        <v>7478</v>
      </c>
      <c r="B55" s="1" t="s">
        <v>7479</v>
      </c>
      <c r="AK55" s="1" t="s">
        <v>854</v>
      </c>
      <c r="AR55" s="39">
        <v>45962</v>
      </c>
    </row>
    <row r="56" spans="1:44">
      <c r="A56" s="1" t="s">
        <v>378</v>
      </c>
      <c r="B56" s="1" t="s">
        <v>7480</v>
      </c>
      <c r="AK56" s="1" t="s">
        <v>3892</v>
      </c>
      <c r="AR56" s="39">
        <v>45992</v>
      </c>
    </row>
    <row r="57" spans="1:44">
      <c r="A57" s="1" t="s">
        <v>378</v>
      </c>
      <c r="B57" s="1" t="s">
        <v>7481</v>
      </c>
      <c r="AK57" s="1" t="s">
        <v>253</v>
      </c>
      <c r="AR57" s="39">
        <v>46023</v>
      </c>
    </row>
    <row r="58" spans="1:44">
      <c r="A58" s="1" t="s">
        <v>7482</v>
      </c>
      <c r="B58" s="1" t="s">
        <v>7483</v>
      </c>
      <c r="AK58" s="1" t="s">
        <v>5832</v>
      </c>
      <c r="AR58" s="39">
        <v>46054</v>
      </c>
    </row>
    <row r="59" spans="1:44">
      <c r="A59" s="1" t="s">
        <v>7484</v>
      </c>
      <c r="B59" s="1" t="s">
        <v>7485</v>
      </c>
      <c r="AK59" s="1" t="s">
        <v>7486</v>
      </c>
      <c r="AR59" s="39">
        <v>46082</v>
      </c>
    </row>
    <row r="60" spans="1:44">
      <c r="A60" s="1" t="s">
        <v>7487</v>
      </c>
      <c r="B60" s="1" t="s">
        <v>7488</v>
      </c>
      <c r="AK60" s="1" t="s">
        <v>670</v>
      </c>
      <c r="AR60" s="39"/>
    </row>
    <row r="61" spans="1:44">
      <c r="A61" s="1" t="s">
        <v>7489</v>
      </c>
      <c r="B61" s="1" t="s">
        <v>7490</v>
      </c>
      <c r="AK61" s="1" t="s">
        <v>7491</v>
      </c>
    </row>
    <row r="62" spans="1:44">
      <c r="A62" s="1" t="s">
        <v>7492</v>
      </c>
      <c r="B62" s="1" t="s">
        <v>7493</v>
      </c>
      <c r="AK62" s="1" t="s">
        <v>4236</v>
      </c>
    </row>
    <row r="63" spans="1:44">
      <c r="A63" s="1" t="s">
        <v>1898</v>
      </c>
      <c r="B63" s="1" t="s">
        <v>7494</v>
      </c>
    </row>
    <row r="64" spans="1:44">
      <c r="A64" s="1" t="s">
        <v>7495</v>
      </c>
      <c r="B64" s="1" t="s">
        <v>7496</v>
      </c>
    </row>
    <row r="65" spans="1:2">
      <c r="A65" s="1" t="s">
        <v>7359</v>
      </c>
      <c r="B65" s="1" t="s">
        <v>7497</v>
      </c>
    </row>
    <row r="66" spans="1:2">
      <c r="A66" s="1" t="s">
        <v>7498</v>
      </c>
      <c r="B66" s="1" t="s">
        <v>7499</v>
      </c>
    </row>
    <row r="67" spans="1:2">
      <c r="A67" s="1" t="s">
        <v>7500</v>
      </c>
      <c r="B67" s="1" t="s">
        <v>7401</v>
      </c>
    </row>
    <row r="68" spans="1:2">
      <c r="A68" s="1" t="s">
        <v>7501</v>
      </c>
      <c r="B68" s="1" t="s">
        <v>7502</v>
      </c>
    </row>
    <row r="69" spans="1:2">
      <c r="A69" s="24" t="s">
        <v>7503</v>
      </c>
      <c r="B69" s="1" t="s">
        <v>7504</v>
      </c>
    </row>
    <row r="70" spans="1:2">
      <c r="A70" s="24" t="s">
        <v>7505</v>
      </c>
      <c r="B70" s="1" t="s">
        <v>2655</v>
      </c>
    </row>
    <row r="71" spans="1:2">
      <c r="A71" s="1" t="s">
        <v>4562</v>
      </c>
      <c r="B71" s="1" t="s">
        <v>3990</v>
      </c>
    </row>
    <row r="72" spans="1:2">
      <c r="A72" s="1" t="s">
        <v>7506</v>
      </c>
      <c r="B72" s="1" t="s">
        <v>7507</v>
      </c>
    </row>
    <row r="73" spans="1:2">
      <c r="A73" s="1" t="s">
        <v>7508</v>
      </c>
      <c r="B73" s="1" t="s">
        <v>7509</v>
      </c>
    </row>
    <row r="74" spans="1:2">
      <c r="A74" s="1" t="s">
        <v>481</v>
      </c>
      <c r="B74" s="1" t="s">
        <v>7510</v>
      </c>
    </row>
    <row r="75" spans="1:2">
      <c r="A75" s="1" t="s">
        <v>7511</v>
      </c>
      <c r="B75" s="1" t="s">
        <v>7512</v>
      </c>
    </row>
    <row r="76" spans="1:2">
      <c r="A76" s="11" t="s">
        <v>2300</v>
      </c>
      <c r="B76" s="1" t="s">
        <v>7513</v>
      </c>
    </row>
    <row r="77" spans="1:2">
      <c r="A77" s="1" t="s">
        <v>7514</v>
      </c>
      <c r="B77" s="1"/>
    </row>
    <row r="78" spans="1:2">
      <c r="A78" s="1" t="s">
        <v>7515</v>
      </c>
      <c r="B78" s="1"/>
    </row>
    <row r="79" spans="1:2">
      <c r="A79" s="11" t="s">
        <v>7516</v>
      </c>
      <c r="B79" s="1"/>
    </row>
    <row r="80" spans="1:2">
      <c r="A80" s="1" t="s">
        <v>7517</v>
      </c>
      <c r="B80" s="1"/>
    </row>
    <row r="81" spans="1:2">
      <c r="A81" s="1" t="s">
        <v>2890</v>
      </c>
      <c r="B81" s="1"/>
    </row>
    <row r="82" spans="1:2">
      <c r="A82" s="1" t="s">
        <v>7518</v>
      </c>
      <c r="B82" s="1"/>
    </row>
    <row r="83" spans="1:2">
      <c r="A83" s="1" t="s">
        <v>7519</v>
      </c>
      <c r="B83" s="1"/>
    </row>
    <row r="84" spans="1:2">
      <c r="A84" s="1" t="s">
        <v>7520</v>
      </c>
      <c r="B84" s="1"/>
    </row>
    <row r="85" spans="1:2">
      <c r="A85" s="1" t="s">
        <v>7521</v>
      </c>
      <c r="B85" s="1"/>
    </row>
    <row r="86" spans="1:2">
      <c r="A86" s="1" t="s">
        <v>5290</v>
      </c>
      <c r="B86" s="1"/>
    </row>
    <row r="87" spans="1:2">
      <c r="A87" s="1" t="s">
        <v>5290</v>
      </c>
      <c r="B87" s="1"/>
    </row>
    <row r="88" spans="1:2">
      <c r="A88" s="1" t="s">
        <v>7522</v>
      </c>
      <c r="B88" s="1"/>
    </row>
    <row r="89" spans="1:2">
      <c r="A89" s="1" t="s">
        <v>7523</v>
      </c>
      <c r="B89" s="1"/>
    </row>
    <row r="90" spans="1:2">
      <c r="A90" s="1" t="s">
        <v>7524</v>
      </c>
      <c r="B90" s="1"/>
    </row>
    <row r="91" spans="1:2">
      <c r="A91" s="1" t="s">
        <v>7525</v>
      </c>
      <c r="B91" s="1"/>
    </row>
    <row r="92" spans="1:2">
      <c r="A92" s="1" t="s">
        <v>7526</v>
      </c>
      <c r="B92" s="1"/>
    </row>
    <row r="93" spans="1:2">
      <c r="A93" s="1" t="s">
        <v>7527</v>
      </c>
      <c r="B93" s="1"/>
    </row>
    <row r="94" spans="1:2">
      <c r="A94" s="11" t="s">
        <v>7528</v>
      </c>
      <c r="B94" s="1"/>
    </row>
    <row r="95" spans="1:2">
      <c r="A95" s="1" t="s">
        <v>7529</v>
      </c>
      <c r="B95" s="1"/>
    </row>
    <row r="96" spans="1:2">
      <c r="A96" s="1" t="s">
        <v>1175</v>
      </c>
      <c r="B96" s="1"/>
    </row>
    <row r="97" spans="1:2">
      <c r="A97" s="1" t="s">
        <v>7530</v>
      </c>
      <c r="B97" s="1"/>
    </row>
    <row r="98" spans="1:2">
      <c r="A98" s="1" t="s">
        <v>7531</v>
      </c>
      <c r="B98" s="1"/>
    </row>
    <row r="99" spans="1:2">
      <c r="A99" s="11" t="s">
        <v>7532</v>
      </c>
      <c r="B99" s="1"/>
    </row>
    <row r="100" spans="1:2">
      <c r="A100" s="1" t="s">
        <v>7533</v>
      </c>
      <c r="B100" s="1"/>
    </row>
    <row r="101" spans="1:2">
      <c r="A101" s="1" t="s">
        <v>7534</v>
      </c>
      <c r="B101" s="1"/>
    </row>
    <row r="102" spans="1:2">
      <c r="A102" s="1" t="s">
        <v>7535</v>
      </c>
      <c r="B102" s="1"/>
    </row>
    <row r="103" spans="1:2">
      <c r="A103" s="1" t="s">
        <v>7536</v>
      </c>
      <c r="B103" s="1"/>
    </row>
    <row r="104" spans="1:2">
      <c r="A104" s="11" t="s">
        <v>4245</v>
      </c>
      <c r="B104" s="1"/>
    </row>
    <row r="105" spans="1:2">
      <c r="A105" s="1" t="s">
        <v>7537</v>
      </c>
      <c r="B105" s="1"/>
    </row>
    <row r="106" spans="1:2">
      <c r="A106" s="1" t="s">
        <v>7538</v>
      </c>
      <c r="B106" s="1"/>
    </row>
    <row r="107" spans="1:2">
      <c r="A107" s="1" t="s">
        <v>7539</v>
      </c>
      <c r="B107" s="1"/>
    </row>
    <row r="108" spans="1:2">
      <c r="A108" s="1" t="s">
        <v>7540</v>
      </c>
      <c r="B108" s="1"/>
    </row>
    <row r="109" spans="1:2">
      <c r="A109" s="1" t="s">
        <v>7541</v>
      </c>
      <c r="B109" s="1"/>
    </row>
    <row r="110" spans="1:2">
      <c r="A110" s="1" t="s">
        <v>7542</v>
      </c>
      <c r="B110" s="1"/>
    </row>
    <row r="111" spans="1:2">
      <c r="A111" s="1" t="s">
        <v>7543</v>
      </c>
      <c r="B111" s="1"/>
    </row>
    <row r="112" spans="1:2">
      <c r="A112" s="1" t="s">
        <v>7544</v>
      </c>
      <c r="B112" s="1"/>
    </row>
    <row r="113" spans="1:2">
      <c r="A113" s="1" t="s">
        <v>7545</v>
      </c>
      <c r="B113" s="1"/>
    </row>
    <row r="114" spans="1:2">
      <c r="A114" s="1" t="s">
        <v>7545</v>
      </c>
      <c r="B114" s="1"/>
    </row>
    <row r="115" spans="1:2">
      <c r="A115" s="1" t="s">
        <v>7546</v>
      </c>
      <c r="B115" s="1"/>
    </row>
    <row r="116" spans="1:2">
      <c r="A116" s="1" t="s">
        <v>7547</v>
      </c>
      <c r="B116" s="1"/>
    </row>
    <row r="117" spans="1:2">
      <c r="A117" s="11" t="s">
        <v>7548</v>
      </c>
      <c r="B117" s="1"/>
    </row>
    <row r="118" spans="1:2">
      <c r="A118" s="1" t="s">
        <v>7549</v>
      </c>
      <c r="B118" s="1"/>
    </row>
    <row r="119" spans="1:2">
      <c r="A119" s="1" t="s">
        <v>2599</v>
      </c>
      <c r="B119" s="1"/>
    </row>
    <row r="120" spans="1:2">
      <c r="A120" s="1" t="s">
        <v>7550</v>
      </c>
      <c r="B120" s="1"/>
    </row>
    <row r="121" spans="1:2">
      <c r="A121" s="29" t="s">
        <v>7551</v>
      </c>
      <c r="B121" s="1"/>
    </row>
    <row r="122" spans="1:2">
      <c r="A122" s="1" t="s">
        <v>7552</v>
      </c>
      <c r="B122" s="1"/>
    </row>
    <row r="123" spans="1:2">
      <c r="A123" s="1" t="s">
        <v>7553</v>
      </c>
      <c r="B123" s="1"/>
    </row>
    <row r="124" spans="1:2">
      <c r="A124" s="11" t="s">
        <v>7554</v>
      </c>
      <c r="B124" s="1"/>
    </row>
    <row r="125" spans="1:2">
      <c r="A125" s="1" t="s">
        <v>7555</v>
      </c>
      <c r="B125" s="1"/>
    </row>
    <row r="126" spans="1:2">
      <c r="A126" s="1" t="s">
        <v>2123</v>
      </c>
      <c r="B126" s="1"/>
    </row>
    <row r="127" spans="1:2">
      <c r="A127" s="1" t="s">
        <v>142</v>
      </c>
      <c r="B127" s="1"/>
    </row>
    <row r="128" spans="1:2">
      <c r="A128" s="11" t="s">
        <v>7556</v>
      </c>
      <c r="B128" s="1"/>
    </row>
    <row r="129" spans="1:2">
      <c r="A129" s="1" t="s">
        <v>7557</v>
      </c>
      <c r="B129" s="1"/>
    </row>
    <row r="130" spans="1:2">
      <c r="A130" s="1" t="s">
        <v>7558</v>
      </c>
      <c r="B130" s="1"/>
    </row>
    <row r="131" spans="1:2">
      <c r="A131" s="1" t="s">
        <v>7559</v>
      </c>
      <c r="B131" s="1"/>
    </row>
    <row r="132" spans="1:2">
      <c r="A132" s="1" t="s">
        <v>2672</v>
      </c>
      <c r="B132" s="1"/>
    </row>
    <row r="133" spans="1:2">
      <c r="A133" s="1" t="s">
        <v>7560</v>
      </c>
      <c r="B133" s="1"/>
    </row>
    <row r="134" spans="1:2">
      <c r="A134" s="1" t="s">
        <v>7561</v>
      </c>
      <c r="B134" s="1"/>
    </row>
    <row r="135" spans="1:2">
      <c r="A135" s="1" t="s">
        <v>7562</v>
      </c>
      <c r="B135" s="1"/>
    </row>
    <row r="136" spans="1:2">
      <c r="A136" s="1" t="s">
        <v>6082</v>
      </c>
      <c r="B136" s="1"/>
    </row>
    <row r="137" spans="1:2">
      <c r="A137" s="1" t="s">
        <v>7563</v>
      </c>
      <c r="B137" s="1"/>
    </row>
    <row r="138" spans="1:2">
      <c r="A138" s="1" t="s">
        <v>7564</v>
      </c>
      <c r="B138" s="1"/>
    </row>
    <row r="139" spans="1:2">
      <c r="A139" s="1" t="s">
        <v>7565</v>
      </c>
      <c r="B139" s="1"/>
    </row>
    <row r="140" spans="1:2" ht="15" customHeight="1">
      <c r="A140" s="28" t="s">
        <v>7566</v>
      </c>
      <c r="B140" s="1"/>
    </row>
    <row r="141" spans="1:2">
      <c r="A141" s="11" t="s">
        <v>7567</v>
      </c>
      <c r="B141" s="1"/>
    </row>
    <row r="142" spans="1:2">
      <c r="A142" s="1" t="s">
        <v>752</v>
      </c>
      <c r="B142" s="1"/>
    </row>
    <row r="143" spans="1:2">
      <c r="A143" s="1" t="s">
        <v>7568</v>
      </c>
      <c r="B143" s="1"/>
    </row>
    <row r="144" spans="1:2">
      <c r="A144" s="1" t="s">
        <v>7569</v>
      </c>
      <c r="B144" s="1"/>
    </row>
    <row r="145" spans="1:2">
      <c r="A145" s="1" t="s">
        <v>7570</v>
      </c>
      <c r="B145" s="1"/>
    </row>
    <row r="146" spans="1:2">
      <c r="A146" s="11" t="s">
        <v>2011</v>
      </c>
      <c r="B146" s="1"/>
    </row>
    <row r="147" spans="1:2">
      <c r="A147" s="1" t="s">
        <v>7571</v>
      </c>
      <c r="B147" s="1"/>
    </row>
    <row r="148" spans="1:2">
      <c r="A148" s="1" t="s">
        <v>7572</v>
      </c>
      <c r="B148" s="1"/>
    </row>
    <row r="149" spans="1:2">
      <c r="A149" s="1" t="s">
        <v>7573</v>
      </c>
      <c r="B149" s="1"/>
    </row>
    <row r="150" spans="1:2">
      <c r="A150" s="1" t="s">
        <v>7574</v>
      </c>
      <c r="B150" s="1"/>
    </row>
    <row r="151" spans="1:2">
      <c r="A151" s="1" t="s">
        <v>4344</v>
      </c>
      <c r="B151" s="1"/>
    </row>
    <row r="152" spans="1:2">
      <c r="A152" s="1" t="s">
        <v>7575</v>
      </c>
      <c r="B152" s="1"/>
    </row>
    <row r="153" spans="1:2">
      <c r="A153" s="1" t="s">
        <v>7576</v>
      </c>
      <c r="B153" s="1"/>
    </row>
    <row r="154" spans="1:2">
      <c r="A154" s="1" t="s">
        <v>7577</v>
      </c>
      <c r="B154" s="1"/>
    </row>
    <row r="155" spans="1:2">
      <c r="A155" s="1" t="s">
        <v>4602</v>
      </c>
      <c r="B155" s="1"/>
    </row>
    <row r="156" spans="1:2">
      <c r="A156" s="1" t="s">
        <v>901</v>
      </c>
      <c r="B156" s="1"/>
    </row>
    <row r="157" spans="1:2">
      <c r="A157" s="1" t="s">
        <v>7578</v>
      </c>
      <c r="B157" s="1"/>
    </row>
    <row r="158" spans="1:2">
      <c r="A158" s="1" t="s">
        <v>7579</v>
      </c>
      <c r="B158" s="1"/>
    </row>
    <row r="159" spans="1:2">
      <c r="A159" s="1" t="s">
        <v>7580</v>
      </c>
      <c r="B159" s="1"/>
    </row>
    <row r="160" spans="1:2">
      <c r="A160" s="1" t="s">
        <v>7581</v>
      </c>
      <c r="B160" s="1"/>
    </row>
    <row r="161" spans="1:2">
      <c r="A161" s="1" t="s">
        <v>7582</v>
      </c>
      <c r="B161" s="1"/>
    </row>
    <row r="162" spans="1:2">
      <c r="A162" s="1" t="s">
        <v>5761</v>
      </c>
      <c r="B162" s="1"/>
    </row>
    <row r="163" spans="1:2">
      <c r="A163" s="11" t="s">
        <v>7583</v>
      </c>
      <c r="B163" s="1"/>
    </row>
    <row r="164" spans="1:2">
      <c r="A164" s="1" t="s">
        <v>7584</v>
      </c>
      <c r="B164" s="1"/>
    </row>
    <row r="165" spans="1:2" ht="15" customHeight="1">
      <c r="A165" s="28" t="s">
        <v>7585</v>
      </c>
      <c r="B165" s="1"/>
    </row>
    <row r="166" spans="1:2">
      <c r="A166" s="1" t="s">
        <v>3140</v>
      </c>
      <c r="B166" s="1"/>
    </row>
    <row r="167" spans="1:2">
      <c r="A167" s="1" t="s">
        <v>7586</v>
      </c>
      <c r="B167" s="1"/>
    </row>
    <row r="168" spans="1:2">
      <c r="A168" s="1" t="s">
        <v>7587</v>
      </c>
      <c r="B168" s="1"/>
    </row>
    <row r="169" spans="1:2">
      <c r="A169" s="1" t="s">
        <v>717</v>
      </c>
      <c r="B169" s="1"/>
    </row>
    <row r="170" spans="1:2">
      <c r="A170" s="1" t="s">
        <v>2049</v>
      </c>
      <c r="B170" s="1"/>
    </row>
    <row r="171" spans="1:2">
      <c r="A171" s="1" t="s">
        <v>7588</v>
      </c>
      <c r="B171" s="1"/>
    </row>
    <row r="172" spans="1:2">
      <c r="A172" s="1" t="s">
        <v>7589</v>
      </c>
      <c r="B172" s="1"/>
    </row>
    <row r="173" spans="1:2">
      <c r="A173" s="1" t="s">
        <v>2466</v>
      </c>
      <c r="B173" s="1"/>
    </row>
    <row r="174" spans="1:2">
      <c r="A174" s="1" t="s">
        <v>7590</v>
      </c>
      <c r="B174" s="1"/>
    </row>
    <row r="175" spans="1:2">
      <c r="A175" s="1" t="s">
        <v>7591</v>
      </c>
      <c r="B175" s="1"/>
    </row>
    <row r="176" spans="1:2">
      <c r="A176" s="1" t="s">
        <v>7592</v>
      </c>
      <c r="B176" s="1"/>
    </row>
    <row r="177" spans="1:2">
      <c r="A177" s="1" t="s">
        <v>7593</v>
      </c>
      <c r="B177" s="1"/>
    </row>
    <row r="178" spans="1:2">
      <c r="A178" s="1" t="s">
        <v>7594</v>
      </c>
      <c r="B178" s="1"/>
    </row>
    <row r="179" spans="1:2">
      <c r="A179" s="1" t="s">
        <v>7595</v>
      </c>
      <c r="B179" s="1"/>
    </row>
    <row r="180" spans="1:2">
      <c r="A180" s="1" t="s">
        <v>7596</v>
      </c>
      <c r="B180" s="1"/>
    </row>
    <row r="181" spans="1:2">
      <c r="A181" s="1" t="s">
        <v>7597</v>
      </c>
      <c r="B181" s="1"/>
    </row>
    <row r="182" spans="1:2">
      <c r="A182" s="1" t="s">
        <v>7598</v>
      </c>
      <c r="B182" s="1"/>
    </row>
    <row r="183" spans="1:2">
      <c r="A183" s="1" t="s">
        <v>7599</v>
      </c>
      <c r="B183" s="1"/>
    </row>
    <row r="184" spans="1:2">
      <c r="A184" s="1" t="s">
        <v>4191</v>
      </c>
      <c r="B184" s="1"/>
    </row>
    <row r="185" spans="1:2">
      <c r="A185" s="1" t="s">
        <v>7600</v>
      </c>
      <c r="B185" s="1"/>
    </row>
    <row r="186" spans="1:2">
      <c r="A186" s="1" t="s">
        <v>7601</v>
      </c>
      <c r="B186" s="1"/>
    </row>
    <row r="187" spans="1:2">
      <c r="A187" s="1" t="s">
        <v>7602</v>
      </c>
      <c r="B187" s="1"/>
    </row>
    <row r="188" spans="1:2">
      <c r="A188" s="1" t="s">
        <v>1206</v>
      </c>
      <c r="B188" s="1"/>
    </row>
    <row r="189" spans="1:2">
      <c r="A189" s="1" t="s">
        <v>7603</v>
      </c>
      <c r="B189" s="1"/>
    </row>
    <row r="190" spans="1:2">
      <c r="A190" s="1" t="s">
        <v>1165</v>
      </c>
      <c r="B190" s="1"/>
    </row>
    <row r="191" spans="1:2">
      <c r="A191" s="1" t="s">
        <v>590</v>
      </c>
      <c r="B191" s="1"/>
    </row>
    <row r="192" spans="1:2">
      <c r="A192" s="1" t="s">
        <v>7604</v>
      </c>
      <c r="B192" s="1"/>
    </row>
    <row r="193" spans="1:2">
      <c r="A193" s="1" t="s">
        <v>7605</v>
      </c>
      <c r="B193" s="1"/>
    </row>
    <row r="194" spans="1:2">
      <c r="A194" s="1" t="s">
        <v>7606</v>
      </c>
      <c r="B194" s="1"/>
    </row>
    <row r="195" spans="1:2">
      <c r="A195" s="1" t="s">
        <v>7607</v>
      </c>
      <c r="B195" s="1"/>
    </row>
    <row r="196" spans="1:2">
      <c r="A196" s="1" t="s">
        <v>452</v>
      </c>
      <c r="B196" s="1"/>
    </row>
    <row r="197" spans="1:2">
      <c r="A197" s="1" t="s">
        <v>7608</v>
      </c>
      <c r="B197" s="1"/>
    </row>
    <row r="198" spans="1:2">
      <c r="A198" s="1" t="s">
        <v>1734</v>
      </c>
      <c r="B198" s="1"/>
    </row>
    <row r="199" spans="1:2">
      <c r="A199" s="1" t="s">
        <v>7609</v>
      </c>
      <c r="B199" s="1"/>
    </row>
    <row r="200" spans="1:2">
      <c r="A200" s="1" t="s">
        <v>7610</v>
      </c>
      <c r="B200" s="1"/>
    </row>
    <row r="201" spans="1:2">
      <c r="A201" s="1" t="s">
        <v>4381</v>
      </c>
      <c r="B201" s="1"/>
    </row>
    <row r="202" spans="1:2">
      <c r="A202" s="1" t="s">
        <v>2101</v>
      </c>
      <c r="B202" s="1"/>
    </row>
    <row r="203" spans="1:2">
      <c r="A203" s="11" t="s">
        <v>4186</v>
      </c>
      <c r="B203" s="1"/>
    </row>
    <row r="204" spans="1:2">
      <c r="A204" s="1" t="s">
        <v>7611</v>
      </c>
      <c r="B204" s="1"/>
    </row>
    <row r="205" spans="1:2">
      <c r="A205" s="1" t="s">
        <v>7612</v>
      </c>
      <c r="B205" s="1"/>
    </row>
    <row r="206" spans="1:2">
      <c r="A206" s="1" t="s">
        <v>7613</v>
      </c>
      <c r="B206" s="1"/>
    </row>
    <row r="207" spans="1:2">
      <c r="A207" s="1" t="s">
        <v>7614</v>
      </c>
      <c r="B207" s="1"/>
    </row>
    <row r="208" spans="1:2">
      <c r="A208" s="11" t="s">
        <v>7615</v>
      </c>
      <c r="B208" s="1"/>
    </row>
    <row r="209" spans="1:2">
      <c r="A209" s="1" t="s">
        <v>7616</v>
      </c>
      <c r="B209" s="1"/>
    </row>
    <row r="210" spans="1:2">
      <c r="A210" s="1" t="s">
        <v>187</v>
      </c>
      <c r="B210" s="1"/>
    </row>
    <row r="211" spans="1:2">
      <c r="A211" s="1" t="s">
        <v>2489</v>
      </c>
      <c r="B211" s="1"/>
    </row>
    <row r="212" spans="1:2">
      <c r="A212" s="1" t="s">
        <v>7617</v>
      </c>
      <c r="B212" s="1"/>
    </row>
    <row r="213" spans="1:2">
      <c r="A213" s="1" t="s">
        <v>7618</v>
      </c>
      <c r="B213" s="1"/>
    </row>
    <row r="214" spans="1:2">
      <c r="A214" s="1" t="s">
        <v>7619</v>
      </c>
      <c r="B214" s="1"/>
    </row>
    <row r="215" spans="1:2">
      <c r="A215" s="1" t="s">
        <v>7620</v>
      </c>
      <c r="B215" s="1"/>
    </row>
    <row r="216" spans="1:2">
      <c r="A216" s="1" t="s">
        <v>7621</v>
      </c>
      <c r="B216" s="1"/>
    </row>
    <row r="217" spans="1:2">
      <c r="A217" s="1" t="s">
        <v>7371</v>
      </c>
      <c r="B217" s="1"/>
    </row>
    <row r="218" spans="1:2">
      <c r="A218" s="11" t="s">
        <v>7622</v>
      </c>
      <c r="B218" s="1"/>
    </row>
    <row r="219" spans="1:2">
      <c r="A219" s="1" t="s">
        <v>7623</v>
      </c>
      <c r="B219" s="1"/>
    </row>
    <row r="220" spans="1:2">
      <c r="A220" s="1" t="s">
        <v>7624</v>
      </c>
      <c r="B220" s="1"/>
    </row>
    <row r="221" spans="1:2">
      <c r="A221" s="1" t="s">
        <v>7625</v>
      </c>
      <c r="B221" s="1"/>
    </row>
    <row r="222" spans="1:2">
      <c r="A222" s="1" t="s">
        <v>7626</v>
      </c>
      <c r="B222" s="1"/>
    </row>
    <row r="223" spans="1:2">
      <c r="A223" s="1" t="s">
        <v>7627</v>
      </c>
      <c r="B223" s="1"/>
    </row>
    <row r="224" spans="1:2">
      <c r="A224" s="1" t="s">
        <v>7628</v>
      </c>
      <c r="B224" s="1"/>
    </row>
    <row r="225" spans="1:2">
      <c r="A225" s="1" t="s">
        <v>7629</v>
      </c>
      <c r="B225" s="1"/>
    </row>
    <row r="226" spans="1:2">
      <c r="A226" s="1" t="s">
        <v>577</v>
      </c>
      <c r="B226" s="1"/>
    </row>
    <row r="227" spans="1:2">
      <c r="A227" s="1" t="s">
        <v>886</v>
      </c>
      <c r="B227" s="1"/>
    </row>
    <row r="228" spans="1:2">
      <c r="A228" s="1" t="s">
        <v>7630</v>
      </c>
      <c r="B228" s="1"/>
    </row>
    <row r="229" spans="1:2">
      <c r="A229" s="1" t="s">
        <v>7631</v>
      </c>
      <c r="B229" s="1"/>
    </row>
    <row r="230" spans="1:2">
      <c r="A230" s="1" t="s">
        <v>7632</v>
      </c>
      <c r="B230" s="1"/>
    </row>
    <row r="231" spans="1:2">
      <c r="A231" s="1" t="s">
        <v>7633</v>
      </c>
      <c r="B231" s="1"/>
    </row>
    <row r="232" spans="1:2">
      <c r="A232" s="1" t="s">
        <v>2659</v>
      </c>
      <c r="B232" s="1"/>
    </row>
    <row r="233" spans="1:2">
      <c r="A233" s="1" t="s">
        <v>118</v>
      </c>
      <c r="B233" s="1"/>
    </row>
    <row r="234" spans="1:2">
      <c r="A234" s="11" t="s">
        <v>7634</v>
      </c>
      <c r="B234" s="1"/>
    </row>
    <row r="235" spans="1:2">
      <c r="A235" s="1" t="s">
        <v>7635</v>
      </c>
      <c r="B235" s="1"/>
    </row>
    <row r="236" spans="1:2">
      <c r="A236" s="1" t="s">
        <v>2714</v>
      </c>
      <c r="B236" s="1"/>
    </row>
    <row r="237" spans="1:2">
      <c r="A237" s="11" t="s">
        <v>7636</v>
      </c>
      <c r="B237" s="1"/>
    </row>
    <row r="238" spans="1:2">
      <c r="A238" s="1" t="s">
        <v>7637</v>
      </c>
      <c r="B238" s="1"/>
    </row>
    <row r="239" spans="1:2">
      <c r="A239" s="1" t="s">
        <v>7638</v>
      </c>
      <c r="B239" s="1"/>
    </row>
    <row r="240" spans="1:2">
      <c r="A240" s="11" t="s">
        <v>7639</v>
      </c>
      <c r="B240" s="1"/>
    </row>
    <row r="241" spans="1:2">
      <c r="A241" s="1" t="s">
        <v>7640</v>
      </c>
      <c r="B241" s="1"/>
    </row>
    <row r="242" spans="1:2">
      <c r="A242" s="1" t="s">
        <v>7641</v>
      </c>
      <c r="B242" s="1"/>
    </row>
    <row r="243" spans="1:2">
      <c r="A243" s="1" t="s">
        <v>7642</v>
      </c>
      <c r="B243" s="1"/>
    </row>
    <row r="244" spans="1:2">
      <c r="A244" s="1" t="s">
        <v>5797</v>
      </c>
      <c r="B244" s="1"/>
    </row>
    <row r="245" spans="1:2">
      <c r="A245" s="1" t="s">
        <v>1381</v>
      </c>
      <c r="B245" s="1"/>
    </row>
    <row r="246" spans="1:2">
      <c r="A246" s="1" t="s">
        <v>7643</v>
      </c>
      <c r="B246" s="1"/>
    </row>
    <row r="247" spans="1:2">
      <c r="A247" s="1" t="s">
        <v>2178</v>
      </c>
      <c r="B247" s="1"/>
    </row>
    <row r="248" spans="1:2">
      <c r="A248" s="1" t="s">
        <v>7644</v>
      </c>
      <c r="B248" s="1"/>
    </row>
    <row r="249" spans="1:2">
      <c r="A249" s="1" t="s">
        <v>7645</v>
      </c>
      <c r="B249" s="1"/>
    </row>
    <row r="250" spans="1:2">
      <c r="A250" s="1" t="s">
        <v>1135</v>
      </c>
      <c r="B250" s="1"/>
    </row>
    <row r="251" spans="1:2">
      <c r="A251" s="1" t="s">
        <v>5314</v>
      </c>
      <c r="B251" s="1"/>
    </row>
    <row r="252" spans="1:2">
      <c r="A252" s="1" t="s">
        <v>7646</v>
      </c>
      <c r="B252" s="1"/>
    </row>
    <row r="253" spans="1:2">
      <c r="A253" s="1" t="s">
        <v>7647</v>
      </c>
      <c r="B253" s="1"/>
    </row>
    <row r="254" spans="1:2">
      <c r="A254" s="1" t="s">
        <v>7648</v>
      </c>
      <c r="B254" s="1"/>
    </row>
    <row r="255" spans="1:2">
      <c r="A255" s="1" t="s">
        <v>7649</v>
      </c>
      <c r="B255" s="1"/>
    </row>
    <row r="256" spans="1:2">
      <c r="A256" s="1" t="s">
        <v>7650</v>
      </c>
      <c r="B256" s="1"/>
    </row>
    <row r="257" spans="1:2">
      <c r="A257" s="1" t="s">
        <v>7651</v>
      </c>
      <c r="B257" s="1"/>
    </row>
    <row r="258" spans="1:2">
      <c r="A258" s="1" t="s">
        <v>7652</v>
      </c>
      <c r="B258" s="1"/>
    </row>
    <row r="259" spans="1:2">
      <c r="A259" s="1" t="s">
        <v>7653</v>
      </c>
      <c r="B259" s="1"/>
    </row>
    <row r="260" spans="1:2">
      <c r="A260" s="1" t="s">
        <v>7654</v>
      </c>
      <c r="B260" s="1"/>
    </row>
    <row r="261" spans="1:2">
      <c r="A261" s="1" t="s">
        <v>7655</v>
      </c>
      <c r="B261" s="1"/>
    </row>
    <row r="262" spans="1:2">
      <c r="A262" s="1" t="s">
        <v>7656</v>
      </c>
      <c r="B262" s="1"/>
    </row>
    <row r="263" spans="1:2">
      <c r="A263" s="1" t="s">
        <v>7657</v>
      </c>
      <c r="B263" s="1"/>
    </row>
    <row r="264" spans="1:2">
      <c r="A264" s="1" t="s">
        <v>7658</v>
      </c>
      <c r="B264" s="1"/>
    </row>
    <row r="265" spans="1:2">
      <c r="A265" s="1" t="s">
        <v>662</v>
      </c>
      <c r="B265" s="1"/>
    </row>
    <row r="266" spans="1:2">
      <c r="A266" s="1" t="s">
        <v>5598</v>
      </c>
      <c r="B266" s="1"/>
    </row>
    <row r="267" spans="1:2">
      <c r="A267" s="1" t="s">
        <v>7659</v>
      </c>
      <c r="B267" s="1"/>
    </row>
    <row r="268" spans="1:2">
      <c r="A268" s="1" t="s">
        <v>6721</v>
      </c>
      <c r="B268" s="1"/>
    </row>
    <row r="269" spans="1:2">
      <c r="A269" s="1" t="s">
        <v>3146</v>
      </c>
      <c r="B269" s="1"/>
    </row>
    <row r="270" spans="1:2">
      <c r="A270" s="1" t="s">
        <v>4856</v>
      </c>
      <c r="B270" s="1"/>
    </row>
    <row r="271" spans="1:2">
      <c r="A271" s="1" t="s">
        <v>7660</v>
      </c>
      <c r="B271" s="1"/>
    </row>
    <row r="272" spans="1:2">
      <c r="A272" s="1" t="s">
        <v>7661</v>
      </c>
      <c r="B272" s="1"/>
    </row>
    <row r="273" spans="1:2">
      <c r="A273" s="1" t="s">
        <v>984</v>
      </c>
      <c r="B273" s="1"/>
    </row>
    <row r="274" spans="1:2">
      <c r="A274" s="1" t="s">
        <v>2567</v>
      </c>
      <c r="B274" s="1"/>
    </row>
    <row r="275" spans="1:2">
      <c r="A275" s="1" t="s">
        <v>7662</v>
      </c>
      <c r="B275" s="1"/>
    </row>
    <row r="276" spans="1:2">
      <c r="A276" s="1" t="s">
        <v>7663</v>
      </c>
      <c r="B276" s="1"/>
    </row>
    <row r="277" spans="1:2">
      <c r="A277" s="1" t="s">
        <v>7664</v>
      </c>
      <c r="B277" s="1"/>
    </row>
    <row r="278" spans="1:2">
      <c r="A278" s="1" t="s">
        <v>7665</v>
      </c>
      <c r="B278" s="1"/>
    </row>
    <row r="279" spans="1:2">
      <c r="A279" s="11" t="s">
        <v>7666</v>
      </c>
      <c r="B279" s="1"/>
    </row>
    <row r="280" spans="1:2">
      <c r="A280" s="1" t="s">
        <v>105</v>
      </c>
      <c r="B280" s="1"/>
    </row>
    <row r="281" spans="1:2">
      <c r="A281" s="1" t="s">
        <v>7667</v>
      </c>
      <c r="B281" s="1"/>
    </row>
    <row r="282" spans="1:2">
      <c r="A282" s="1" t="s">
        <v>7668</v>
      </c>
      <c r="B282" s="1"/>
    </row>
    <row r="283" spans="1:2">
      <c r="A283" s="1" t="s">
        <v>7669</v>
      </c>
      <c r="B283" s="1"/>
    </row>
    <row r="284" spans="1:2">
      <c r="A284" s="1" t="s">
        <v>384</v>
      </c>
      <c r="B284" s="1"/>
    </row>
    <row r="285" spans="1:2">
      <c r="A285" s="1" t="s">
        <v>1021</v>
      </c>
      <c r="B285" s="1"/>
    </row>
    <row r="286" spans="1:2">
      <c r="A286" s="1" t="s">
        <v>855</v>
      </c>
      <c r="B286" s="1"/>
    </row>
    <row r="287" spans="1:2">
      <c r="A287" s="1" t="s">
        <v>2677</v>
      </c>
      <c r="B287" s="1"/>
    </row>
    <row r="288" spans="1:2">
      <c r="A288" s="1" t="s">
        <v>5029</v>
      </c>
      <c r="B288" s="1"/>
    </row>
    <row r="289" spans="1:2">
      <c r="A289" s="1" t="s">
        <v>7670</v>
      </c>
      <c r="B289" s="1"/>
    </row>
    <row r="290" spans="1:2">
      <c r="A290" s="1" t="s">
        <v>7671</v>
      </c>
      <c r="B290" s="1"/>
    </row>
    <row r="291" spans="1:2">
      <c r="A291" s="1" t="s">
        <v>7672</v>
      </c>
      <c r="B291" s="1"/>
    </row>
    <row r="292" spans="1:2">
      <c r="A292" s="11" t="s">
        <v>7673</v>
      </c>
      <c r="B292" s="1"/>
    </row>
    <row r="293" spans="1:2">
      <c r="A293" s="1" t="s">
        <v>7674</v>
      </c>
      <c r="B293" s="1"/>
    </row>
    <row r="294" spans="1:2">
      <c r="A294" s="1" t="s">
        <v>7675</v>
      </c>
      <c r="B294" s="1"/>
    </row>
    <row r="295" spans="1:2">
      <c r="A295" s="1" t="s">
        <v>7676</v>
      </c>
      <c r="B295" s="1"/>
    </row>
    <row r="296" spans="1:2">
      <c r="A296" s="1" t="s">
        <v>7385</v>
      </c>
      <c r="B296" s="1"/>
    </row>
    <row r="297" spans="1:2">
      <c r="A297" s="1" t="s">
        <v>7677</v>
      </c>
      <c r="B297" s="1"/>
    </row>
    <row r="298" spans="1:2">
      <c r="A298" s="1" t="s">
        <v>7678</v>
      </c>
      <c r="B298" s="1"/>
    </row>
    <row r="299" spans="1:2">
      <c r="A299" s="1" t="s">
        <v>7679</v>
      </c>
      <c r="B299" s="1"/>
    </row>
    <row r="300" spans="1:2">
      <c r="A300" s="1" t="s">
        <v>7680</v>
      </c>
      <c r="B300" s="1"/>
    </row>
    <row r="301" spans="1:2">
      <c r="A301" s="1" t="s">
        <v>7681</v>
      </c>
      <c r="B301" s="1"/>
    </row>
    <row r="302" spans="1:2">
      <c r="A302" s="1" t="s">
        <v>7682</v>
      </c>
      <c r="B302" s="1"/>
    </row>
    <row r="303" spans="1:2">
      <c r="A303" s="1" t="s">
        <v>7683</v>
      </c>
      <c r="B303" s="1"/>
    </row>
    <row r="304" spans="1:2">
      <c r="A304" s="11" t="s">
        <v>7684</v>
      </c>
      <c r="B304" s="1"/>
    </row>
    <row r="305" spans="1:2">
      <c r="A305" s="1" t="s">
        <v>7685</v>
      </c>
      <c r="B305" s="1"/>
    </row>
    <row r="306" spans="1:2">
      <c r="A306" s="1" t="s">
        <v>5833</v>
      </c>
      <c r="B306" s="1"/>
    </row>
    <row r="307" spans="1:2">
      <c r="A307" s="1" t="s">
        <v>7686</v>
      </c>
      <c r="B307" s="1"/>
    </row>
    <row r="308" spans="1:2">
      <c r="A308" s="1" t="s">
        <v>7687</v>
      </c>
      <c r="B308" s="1"/>
    </row>
    <row r="309" spans="1:2">
      <c r="A309" s="11" t="s">
        <v>7688</v>
      </c>
      <c r="B309" s="1"/>
    </row>
    <row r="310" spans="1:2">
      <c r="A310" s="1" t="s">
        <v>7689</v>
      </c>
      <c r="B310" s="1"/>
    </row>
    <row r="311" spans="1:2">
      <c r="A311" s="1" t="s">
        <v>7690</v>
      </c>
      <c r="B311" s="1"/>
    </row>
    <row r="312" spans="1:2">
      <c r="A312" s="1" t="s">
        <v>7691</v>
      </c>
      <c r="B312" s="1"/>
    </row>
    <row r="313" spans="1:2">
      <c r="A313" s="1" t="s">
        <v>7692</v>
      </c>
      <c r="B313" s="1"/>
    </row>
    <row r="314" spans="1:2">
      <c r="A314" s="1" t="s">
        <v>7693</v>
      </c>
      <c r="B314" s="1"/>
    </row>
    <row r="315" spans="1:2">
      <c r="A315" s="1" t="s">
        <v>7694</v>
      </c>
      <c r="B315" s="1"/>
    </row>
    <row r="316" spans="1:2">
      <c r="A316" s="1" t="s">
        <v>7695</v>
      </c>
      <c r="B316" s="1"/>
    </row>
    <row r="317" spans="1:2">
      <c r="A317" s="1" t="s">
        <v>7696</v>
      </c>
      <c r="B317" s="1"/>
    </row>
    <row r="318" spans="1:2">
      <c r="A318" s="1" t="s">
        <v>7697</v>
      </c>
      <c r="B318" s="1"/>
    </row>
    <row r="319" spans="1:2">
      <c r="A319" s="1" t="s">
        <v>3715</v>
      </c>
      <c r="B319" s="1"/>
    </row>
    <row r="320" spans="1:2">
      <c r="A320" s="1" t="s">
        <v>7698</v>
      </c>
      <c r="B320" s="1"/>
    </row>
    <row r="321" spans="1:2">
      <c r="A321" s="1" t="s">
        <v>7699</v>
      </c>
      <c r="B321" s="1"/>
    </row>
    <row r="322" spans="1:2">
      <c r="A322" s="11" t="s">
        <v>7700</v>
      </c>
      <c r="B322" s="1"/>
    </row>
    <row r="323" spans="1:2">
      <c r="A323" s="1" t="s">
        <v>834</v>
      </c>
      <c r="B323" s="1"/>
    </row>
    <row r="324" spans="1:2">
      <c r="A324" s="1" t="s">
        <v>7701</v>
      </c>
      <c r="B324" s="1"/>
    </row>
    <row r="325" spans="1:2">
      <c r="A325" s="1" t="s">
        <v>94</v>
      </c>
      <c r="B325" s="1"/>
    </row>
    <row r="326" spans="1:2">
      <c r="A326" s="1" t="s">
        <v>7702</v>
      </c>
      <c r="B326" s="1"/>
    </row>
    <row r="327" spans="1:2">
      <c r="A327" s="11" t="s">
        <v>7703</v>
      </c>
      <c r="B327" s="1"/>
    </row>
    <row r="328" spans="1:2">
      <c r="A328" s="1" t="s">
        <v>7704</v>
      </c>
      <c r="B328" s="1"/>
    </row>
    <row r="329" spans="1:2">
      <c r="A329" s="1" t="s">
        <v>7705</v>
      </c>
      <c r="B329" s="1"/>
    </row>
    <row r="330" spans="1:2">
      <c r="A330" s="1" t="s">
        <v>7706</v>
      </c>
      <c r="B330" s="1"/>
    </row>
    <row r="331" spans="1:2">
      <c r="A331" s="1" t="s">
        <v>7707</v>
      </c>
      <c r="B331" s="1"/>
    </row>
    <row r="332" spans="1:2">
      <c r="A332" s="11" t="s">
        <v>7707</v>
      </c>
      <c r="B332" s="1"/>
    </row>
    <row r="333" spans="1:2">
      <c r="A333" s="1" t="s">
        <v>7708</v>
      </c>
      <c r="B333" s="1"/>
    </row>
    <row r="334" spans="1:2">
      <c r="A334" s="1" t="s">
        <v>7709</v>
      </c>
      <c r="B334" s="1"/>
    </row>
    <row r="335" spans="1:2">
      <c r="A335" s="1" t="s">
        <v>7710</v>
      </c>
      <c r="B335" s="1"/>
    </row>
    <row r="336" spans="1:2">
      <c r="A336" s="1" t="s">
        <v>4334</v>
      </c>
      <c r="B336" s="1"/>
    </row>
    <row r="337" spans="1:2">
      <c r="A337" s="1" t="s">
        <v>775</v>
      </c>
      <c r="B337" s="1"/>
    </row>
    <row r="338" spans="1:2">
      <c r="A338" s="1" t="s">
        <v>7711</v>
      </c>
      <c r="B338" s="1"/>
    </row>
    <row r="339" spans="1:2">
      <c r="A339" s="11" t="s">
        <v>7712</v>
      </c>
      <c r="B339" s="1"/>
    </row>
    <row r="340" spans="1:2">
      <c r="A340" s="11" t="s">
        <v>1296</v>
      </c>
      <c r="B340" s="1"/>
    </row>
    <row r="341" spans="1:2">
      <c r="A341" s="11" t="s">
        <v>7713</v>
      </c>
      <c r="B341" s="1"/>
    </row>
    <row r="342" spans="1:2">
      <c r="A342" s="1" t="s">
        <v>7714</v>
      </c>
      <c r="B342" s="1"/>
    </row>
    <row r="343" spans="1:2">
      <c r="A343" s="1" t="s">
        <v>7715</v>
      </c>
      <c r="B343" s="1"/>
    </row>
    <row r="344" spans="1:2">
      <c r="A344" s="1" t="s">
        <v>1050</v>
      </c>
      <c r="B344" s="1"/>
    </row>
    <row r="345" spans="1:2">
      <c r="A345" s="1" t="s">
        <v>7716</v>
      </c>
      <c r="B345" s="1"/>
    </row>
    <row r="346" spans="1:2">
      <c r="A346" s="11" t="s">
        <v>7717</v>
      </c>
      <c r="B346" s="1"/>
    </row>
    <row r="347" spans="1:2">
      <c r="A347" s="1" t="s">
        <v>7718</v>
      </c>
      <c r="B347" s="1"/>
    </row>
    <row r="348" spans="1:2">
      <c r="A348" s="1" t="s">
        <v>3194</v>
      </c>
      <c r="B348" s="1"/>
    </row>
    <row r="349" spans="1:2">
      <c r="A349" s="1" t="s">
        <v>7719</v>
      </c>
      <c r="B349" s="1"/>
    </row>
    <row r="350" spans="1:2">
      <c r="A350" s="1" t="s">
        <v>7720</v>
      </c>
      <c r="B350" s="1"/>
    </row>
    <row r="351" spans="1:2">
      <c r="A351" s="1" t="s">
        <v>658</v>
      </c>
      <c r="B351" s="1"/>
    </row>
    <row r="352" spans="1:2">
      <c r="A352" s="11" t="s">
        <v>7721</v>
      </c>
      <c r="B352" s="1"/>
    </row>
    <row r="353" spans="1:2">
      <c r="A353" s="1" t="s">
        <v>7722</v>
      </c>
      <c r="B353" s="1"/>
    </row>
    <row r="354" spans="1:2">
      <c r="A354" s="1" t="s">
        <v>7723</v>
      </c>
      <c r="B354" s="1"/>
    </row>
    <row r="355" spans="1:2">
      <c r="A355" s="1" t="s">
        <v>7724</v>
      </c>
      <c r="B355" s="1"/>
    </row>
    <row r="356" spans="1:2">
      <c r="A356" s="11" t="s">
        <v>7725</v>
      </c>
      <c r="B356" s="1"/>
    </row>
    <row r="357" spans="1:2">
      <c r="A357" s="1" t="s">
        <v>7726</v>
      </c>
      <c r="B357" s="1"/>
    </row>
    <row r="358" spans="1:2">
      <c r="A358" s="1" t="s">
        <v>7727</v>
      </c>
      <c r="B358" s="1"/>
    </row>
    <row r="359" spans="1:2">
      <c r="A359" s="1" t="s">
        <v>7728</v>
      </c>
      <c r="B359" s="1"/>
    </row>
    <row r="360" spans="1:2">
      <c r="A360" s="1" t="s">
        <v>7729</v>
      </c>
      <c r="B360" s="1"/>
    </row>
    <row r="361" spans="1:2">
      <c r="A361" s="1" t="s">
        <v>7730</v>
      </c>
      <c r="B361" s="1"/>
    </row>
    <row r="362" spans="1:2">
      <c r="A362" s="1" t="s">
        <v>7211</v>
      </c>
      <c r="B362" s="1"/>
    </row>
    <row r="363" spans="1:2">
      <c r="A363" s="1" t="s">
        <v>2196</v>
      </c>
      <c r="B363" s="1"/>
    </row>
    <row r="364" spans="1:2">
      <c r="A364" s="1" t="s">
        <v>7731</v>
      </c>
      <c r="B364" s="1"/>
    </row>
    <row r="365" spans="1:2">
      <c r="A365" s="1" t="s">
        <v>7732</v>
      </c>
      <c r="B365" s="1"/>
    </row>
    <row r="366" spans="1:2">
      <c r="A366" s="1" t="s">
        <v>7733</v>
      </c>
      <c r="B366" s="1"/>
    </row>
    <row r="367" spans="1:2">
      <c r="A367" s="1" t="s">
        <v>7734</v>
      </c>
      <c r="B367" s="1"/>
    </row>
    <row r="368" spans="1:2">
      <c r="A368" s="1" t="s">
        <v>7735</v>
      </c>
      <c r="B368" s="1"/>
    </row>
    <row r="369" spans="1:2">
      <c r="A369" s="1" t="s">
        <v>7736</v>
      </c>
      <c r="B369" s="1"/>
    </row>
    <row r="370" spans="1:2">
      <c r="A370" s="1" t="s">
        <v>5520</v>
      </c>
      <c r="B370" s="1"/>
    </row>
    <row r="371" spans="1:2">
      <c r="A371" s="1" t="s">
        <v>7737</v>
      </c>
      <c r="B371" s="1"/>
    </row>
    <row r="372" spans="1:2">
      <c r="A372" s="1" t="s">
        <v>7738</v>
      </c>
      <c r="B372" s="1"/>
    </row>
    <row r="373" spans="1:2">
      <c r="A373" s="1" t="s">
        <v>3893</v>
      </c>
      <c r="B373" s="1"/>
    </row>
    <row r="374" spans="1:2">
      <c r="A374" s="1" t="s">
        <v>7739</v>
      </c>
      <c r="B374" s="1"/>
    </row>
    <row r="375" spans="1:2">
      <c r="A375" s="11" t="s">
        <v>7740</v>
      </c>
      <c r="B375" s="1"/>
    </row>
    <row r="376" spans="1:2">
      <c r="A376" s="1" t="s">
        <v>7741</v>
      </c>
      <c r="B376" s="1"/>
    </row>
    <row r="377" spans="1:2">
      <c r="A377" s="1" t="s">
        <v>7742</v>
      </c>
      <c r="B377" s="1"/>
    </row>
    <row r="378" spans="1:2">
      <c r="A378" s="11" t="s">
        <v>7743</v>
      </c>
      <c r="B378" s="1"/>
    </row>
    <row r="379" spans="1:2">
      <c r="A379" s="1" t="s">
        <v>7744</v>
      </c>
      <c r="B379" s="1"/>
    </row>
    <row r="380" spans="1:2">
      <c r="A380" s="11" t="s">
        <v>6409</v>
      </c>
      <c r="B380" s="1"/>
    </row>
    <row r="381" spans="1:2">
      <c r="A381" s="1" t="s">
        <v>7745</v>
      </c>
      <c r="B381" s="1"/>
    </row>
    <row r="382" spans="1:2">
      <c r="A382" s="1" t="s">
        <v>7746</v>
      </c>
      <c r="B382" s="1"/>
    </row>
    <row r="383" spans="1:2">
      <c r="A383" s="1" t="s">
        <v>7747</v>
      </c>
      <c r="B383" s="1"/>
    </row>
    <row r="384" spans="1:2">
      <c r="A384" s="11" t="s">
        <v>7748</v>
      </c>
      <c r="B384" s="1"/>
    </row>
    <row r="385" spans="1:2">
      <c r="A385" s="1" t="s">
        <v>7749</v>
      </c>
      <c r="B385" s="1"/>
    </row>
    <row r="386" spans="1:2">
      <c r="A386" s="1" t="s">
        <v>3734</v>
      </c>
      <c r="B386" s="1"/>
    </row>
    <row r="387" spans="1:2">
      <c r="A387" s="1" t="s">
        <v>505</v>
      </c>
      <c r="B387" s="1"/>
    </row>
    <row r="388" spans="1:2">
      <c r="A388" s="1" t="s">
        <v>7750</v>
      </c>
      <c r="B388" s="1"/>
    </row>
    <row r="389" spans="1:2">
      <c r="A389" s="1" t="s">
        <v>2552</v>
      </c>
      <c r="B389" s="1"/>
    </row>
    <row r="390" spans="1:2">
      <c r="A390" s="1" t="s">
        <v>7751</v>
      </c>
      <c r="B390" s="1"/>
    </row>
    <row r="391" spans="1:2">
      <c r="A391" s="1" t="s">
        <v>7752</v>
      </c>
      <c r="B391" s="1"/>
    </row>
    <row r="392" spans="1:2">
      <c r="A392" s="11" t="s">
        <v>7753</v>
      </c>
      <c r="B392" s="1"/>
    </row>
    <row r="393" spans="1:2">
      <c r="A393" s="1" t="s">
        <v>7754</v>
      </c>
      <c r="B393" s="1"/>
    </row>
    <row r="394" spans="1:2">
      <c r="A394" s="1" t="s">
        <v>7755</v>
      </c>
      <c r="B394" s="1"/>
    </row>
    <row r="395" spans="1:2">
      <c r="A395" s="1" t="s">
        <v>3818</v>
      </c>
      <c r="B395" s="1"/>
    </row>
    <row r="396" spans="1:2">
      <c r="A396" s="1" t="s">
        <v>2162</v>
      </c>
      <c r="B396" s="1"/>
    </row>
    <row r="397" spans="1:2">
      <c r="A397" s="1" t="s">
        <v>7756</v>
      </c>
      <c r="B397" s="1"/>
    </row>
    <row r="398" spans="1:2">
      <c r="A398" s="1" t="s">
        <v>7757</v>
      </c>
      <c r="B398" s="1"/>
    </row>
    <row r="399" spans="1:2">
      <c r="A399" s="1" t="s">
        <v>7758</v>
      </c>
      <c r="B399" s="1"/>
    </row>
    <row r="400" spans="1:2">
      <c r="A400" s="11" t="s">
        <v>7759</v>
      </c>
      <c r="B400" s="1"/>
    </row>
    <row r="401" spans="1:2">
      <c r="A401" s="11" t="s">
        <v>7760</v>
      </c>
      <c r="B401" s="1"/>
    </row>
    <row r="402" spans="1:2">
      <c r="A402" s="1" t="s">
        <v>892</v>
      </c>
      <c r="B402" s="1"/>
    </row>
    <row r="403" spans="1:2">
      <c r="A403" s="1" t="s">
        <v>404</v>
      </c>
      <c r="B403" s="1"/>
    </row>
    <row r="404" spans="1:2">
      <c r="A404" s="1" t="s">
        <v>7350</v>
      </c>
      <c r="B404" s="1"/>
    </row>
    <row r="405" spans="1:2">
      <c r="A405" s="1" t="s">
        <v>3504</v>
      </c>
      <c r="B405" s="1"/>
    </row>
    <row r="406" spans="1:2">
      <c r="A406" s="11" t="s">
        <v>7761</v>
      </c>
      <c r="B406" s="1"/>
    </row>
    <row r="407" spans="1:2">
      <c r="A407" s="1" t="s">
        <v>7408</v>
      </c>
      <c r="B407" s="1"/>
    </row>
    <row r="408" spans="1:2">
      <c r="A408" s="1" t="s">
        <v>4754</v>
      </c>
      <c r="B408" s="1"/>
    </row>
    <row r="409" spans="1:2">
      <c r="A409" s="1" t="s">
        <v>7762</v>
      </c>
      <c r="B409" s="1"/>
    </row>
    <row r="410" spans="1:2">
      <c r="A410" s="1" t="s">
        <v>7763</v>
      </c>
      <c r="B410" s="1"/>
    </row>
    <row r="411" spans="1:2">
      <c r="A411" s="1" t="s">
        <v>7764</v>
      </c>
      <c r="B411" s="1"/>
    </row>
    <row r="412" spans="1:2">
      <c r="A412" s="1" t="s">
        <v>7765</v>
      </c>
      <c r="B412" s="1"/>
    </row>
    <row r="413" spans="1:2">
      <c r="A413" s="1" t="s">
        <v>7766</v>
      </c>
      <c r="B413" s="1"/>
    </row>
    <row r="414" spans="1:2">
      <c r="A414" s="1" t="s">
        <v>7767</v>
      </c>
      <c r="B414" s="1"/>
    </row>
    <row r="415" spans="1:2">
      <c r="A415" s="1" t="s">
        <v>7413</v>
      </c>
      <c r="B415" s="1"/>
    </row>
    <row r="416" spans="1:2">
      <c r="A416" s="11" t="s">
        <v>7768</v>
      </c>
      <c r="B416" s="1"/>
    </row>
    <row r="417" spans="1:2">
      <c r="A417" s="1" t="s">
        <v>7769</v>
      </c>
      <c r="B417" s="1"/>
    </row>
    <row r="418" spans="1:2">
      <c r="A418" s="1" t="s">
        <v>7770</v>
      </c>
      <c r="B418" s="1"/>
    </row>
    <row r="419" spans="1:2">
      <c r="A419" s="1" t="s">
        <v>7771</v>
      </c>
      <c r="B419" s="1"/>
    </row>
    <row r="420" spans="1:2">
      <c r="A420" s="1" t="s">
        <v>4487</v>
      </c>
      <c r="B420" s="1"/>
    </row>
    <row r="421" spans="1:2">
      <c r="A421" s="1" t="s">
        <v>1903</v>
      </c>
      <c r="B421" s="1"/>
    </row>
    <row r="422" spans="1:2">
      <c r="A422" s="1" t="s">
        <v>1903</v>
      </c>
      <c r="B422" s="1"/>
    </row>
    <row r="423" spans="1:2">
      <c r="A423" s="1" t="s">
        <v>7772</v>
      </c>
      <c r="B423" s="1"/>
    </row>
    <row r="424" spans="1:2">
      <c r="A424" s="1" t="s">
        <v>7773</v>
      </c>
      <c r="B424" s="1"/>
    </row>
    <row r="425" spans="1:2">
      <c r="A425" s="1" t="s">
        <v>7774</v>
      </c>
      <c r="B425" s="1"/>
    </row>
    <row r="426" spans="1:2">
      <c r="A426" s="1" t="s">
        <v>7416</v>
      </c>
      <c r="B426" s="1"/>
    </row>
    <row r="427" spans="1:2">
      <c r="A427" s="1" t="s">
        <v>7775</v>
      </c>
      <c r="B427" s="1"/>
    </row>
    <row r="428" spans="1:2">
      <c r="A428" s="1" t="s">
        <v>7776</v>
      </c>
      <c r="B428" s="1"/>
    </row>
    <row r="429" spans="1:2">
      <c r="A429" s="11" t="s">
        <v>7777</v>
      </c>
      <c r="B429" s="1"/>
    </row>
    <row r="430" spans="1:2">
      <c r="A430" s="1" t="s">
        <v>7778</v>
      </c>
      <c r="B430" s="1"/>
    </row>
    <row r="431" spans="1:2">
      <c r="A431" s="1" t="s">
        <v>7779</v>
      </c>
      <c r="B431" s="1"/>
    </row>
    <row r="432" spans="1:2">
      <c r="A432" s="1" t="s">
        <v>7780</v>
      </c>
      <c r="B432" s="1"/>
    </row>
    <row r="433" spans="1:2">
      <c r="A433" s="1" t="s">
        <v>7781</v>
      </c>
      <c r="B433" s="1"/>
    </row>
    <row r="434" spans="1:2">
      <c r="A434" s="1" t="s">
        <v>7782</v>
      </c>
      <c r="B434" s="1"/>
    </row>
    <row r="435" spans="1:2">
      <c r="A435" s="1" t="s">
        <v>7783</v>
      </c>
      <c r="B435" s="1"/>
    </row>
    <row r="436" spans="1:2">
      <c r="A436" s="1" t="s">
        <v>7784</v>
      </c>
      <c r="B436" s="1"/>
    </row>
    <row r="437" spans="1:2">
      <c r="A437" s="1" t="s">
        <v>6813</v>
      </c>
      <c r="B437" s="1"/>
    </row>
    <row r="438" spans="1:2">
      <c r="A438" s="1" t="s">
        <v>1951</v>
      </c>
      <c r="B438" s="1"/>
    </row>
    <row r="439" spans="1:2">
      <c r="A439" s="1" t="s">
        <v>7785</v>
      </c>
      <c r="B439" s="1"/>
    </row>
    <row r="440" spans="1:2">
      <c r="A440" s="1" t="s">
        <v>7786</v>
      </c>
      <c r="B440" s="1"/>
    </row>
    <row r="441" spans="1:2">
      <c r="A441" s="1" t="s">
        <v>7787</v>
      </c>
      <c r="B441" s="1"/>
    </row>
    <row r="442" spans="1:2">
      <c r="A442" s="1" t="s">
        <v>1417</v>
      </c>
      <c r="B442" s="1"/>
    </row>
    <row r="443" spans="1:2">
      <c r="A443" s="11" t="s">
        <v>4620</v>
      </c>
      <c r="B443" s="1"/>
    </row>
    <row r="444" spans="1:2">
      <c r="A444" s="1" t="s">
        <v>7788</v>
      </c>
      <c r="B444" s="1"/>
    </row>
    <row r="445" spans="1:2">
      <c r="A445" s="1" t="s">
        <v>1880</v>
      </c>
      <c r="B445" s="1"/>
    </row>
    <row r="446" spans="1:2">
      <c r="A446" s="1" t="s">
        <v>7789</v>
      </c>
      <c r="B446" s="1"/>
    </row>
    <row r="447" spans="1:2">
      <c r="A447" s="1" t="s">
        <v>7790</v>
      </c>
      <c r="B447" s="1"/>
    </row>
    <row r="448" spans="1:2">
      <c r="A448" s="1" t="s">
        <v>7791</v>
      </c>
      <c r="B448" s="1"/>
    </row>
    <row r="449" spans="1:2">
      <c r="A449" s="1" t="s">
        <v>7792</v>
      </c>
      <c r="B449" s="1"/>
    </row>
    <row r="450" spans="1:2">
      <c r="A450" s="1" t="s">
        <v>7793</v>
      </c>
      <c r="B450" s="1"/>
    </row>
    <row r="451" spans="1:2">
      <c r="A451" s="1" t="s">
        <v>7794</v>
      </c>
      <c r="B451" s="1"/>
    </row>
    <row r="452" spans="1:2">
      <c r="A452" s="1" t="s">
        <v>7795</v>
      </c>
      <c r="B452" s="1"/>
    </row>
    <row r="453" spans="1:2">
      <c r="A453" s="1" t="s">
        <v>7796</v>
      </c>
      <c r="B453" s="1"/>
    </row>
    <row r="454" spans="1:2">
      <c r="A454" s="1" t="s">
        <v>3169</v>
      </c>
      <c r="B454" s="1"/>
    </row>
    <row r="455" spans="1:2">
      <c r="A455" s="1" t="s">
        <v>7797</v>
      </c>
      <c r="B455" s="1"/>
    </row>
    <row r="456" spans="1:2" ht="15" customHeight="1">
      <c r="A456" s="28" t="s">
        <v>7798</v>
      </c>
      <c r="B456" s="1"/>
    </row>
    <row r="457" spans="1:2">
      <c r="A457" s="1" t="s">
        <v>7799</v>
      </c>
      <c r="B457" s="1"/>
    </row>
    <row r="458" spans="1:2">
      <c r="A458" s="1" t="s">
        <v>7800</v>
      </c>
      <c r="B458" s="1"/>
    </row>
    <row r="459" spans="1:2">
      <c r="A459" s="1" t="s">
        <v>7801</v>
      </c>
      <c r="B459" s="1"/>
    </row>
    <row r="460" spans="1:2">
      <c r="A460" s="1" t="s">
        <v>7802</v>
      </c>
      <c r="B460" s="1"/>
    </row>
    <row r="461" spans="1:2">
      <c r="A461" s="1" t="s">
        <v>7803</v>
      </c>
      <c r="B461" s="1"/>
    </row>
    <row r="462" spans="1:2">
      <c r="A462" s="1" t="s">
        <v>7804</v>
      </c>
      <c r="B462" s="1"/>
    </row>
    <row r="463" spans="1:2">
      <c r="A463" s="1" t="s">
        <v>7805</v>
      </c>
      <c r="B463" s="1"/>
    </row>
    <row r="464" spans="1:2">
      <c r="A464" s="1" t="s">
        <v>430</v>
      </c>
      <c r="B464" s="1"/>
    </row>
    <row r="465" spans="1:2">
      <c r="A465" s="1" t="s">
        <v>7806</v>
      </c>
      <c r="B465" s="1"/>
    </row>
    <row r="466" spans="1:2">
      <c r="A466" s="1" t="s">
        <v>7807</v>
      </c>
      <c r="B466" s="1"/>
    </row>
    <row r="467" spans="1:2">
      <c r="A467" s="1" t="s">
        <v>7808</v>
      </c>
      <c r="B467" s="1"/>
    </row>
    <row r="468" spans="1:2">
      <c r="A468" s="11" t="s">
        <v>7809</v>
      </c>
      <c r="B468" s="1"/>
    </row>
    <row r="469" spans="1:2">
      <c r="A469" s="1" t="s">
        <v>7810</v>
      </c>
      <c r="B469" s="1"/>
    </row>
    <row r="470" spans="1:2">
      <c r="A470" s="11" t="s">
        <v>7811</v>
      </c>
      <c r="B470" s="1"/>
    </row>
    <row r="471" spans="1:2">
      <c r="A471" s="1" t="s">
        <v>7812</v>
      </c>
      <c r="B471" s="1"/>
    </row>
    <row r="472" spans="1:2">
      <c r="A472" s="1" t="s">
        <v>7813</v>
      </c>
      <c r="B472" s="1"/>
    </row>
    <row r="473" spans="1:2">
      <c r="A473" s="1" t="s">
        <v>7814</v>
      </c>
      <c r="B473" s="1"/>
    </row>
    <row r="474" spans="1:2">
      <c r="A474" s="1" t="s">
        <v>7815</v>
      </c>
      <c r="B474" s="1"/>
    </row>
    <row r="475" spans="1:2">
      <c r="A475" s="1" t="s">
        <v>7816</v>
      </c>
    </row>
    <row r="476" spans="1:2">
      <c r="A476" s="1" t="s">
        <v>7817</v>
      </c>
    </row>
    <row r="477" spans="1:2">
      <c r="A477" s="1" t="s">
        <v>7818</v>
      </c>
    </row>
    <row r="478" spans="1:2">
      <c r="A478" s="1" t="s">
        <v>7819</v>
      </c>
    </row>
    <row r="479" spans="1:2">
      <c r="A479" s="1" t="s">
        <v>7820</v>
      </c>
    </row>
    <row r="480" spans="1:2">
      <c r="A480" s="1" t="s">
        <v>7821</v>
      </c>
    </row>
    <row r="481" spans="1:1">
      <c r="A481" s="1" t="s">
        <v>7822</v>
      </c>
    </row>
    <row r="482" spans="1:1">
      <c r="A482" s="1" t="s">
        <v>336</v>
      </c>
    </row>
    <row r="483" spans="1:1">
      <c r="A483" s="11" t="s">
        <v>7823</v>
      </c>
    </row>
    <row r="484" spans="1:1">
      <c r="A484" s="11" t="s">
        <v>7824</v>
      </c>
    </row>
    <row r="485" spans="1:1">
      <c r="A485" s="1" t="s">
        <v>7825</v>
      </c>
    </row>
    <row r="486" spans="1:1">
      <c r="A486" s="1" t="s">
        <v>7826</v>
      </c>
    </row>
    <row r="487" spans="1:1">
      <c r="A487" s="1" t="s">
        <v>7827</v>
      </c>
    </row>
    <row r="488" spans="1:1">
      <c r="A488" s="1" t="s">
        <v>7828</v>
      </c>
    </row>
    <row r="489" spans="1:1">
      <c r="A489" s="1" t="s">
        <v>1339</v>
      </c>
    </row>
    <row r="490" spans="1:1">
      <c r="A490" s="1" t="s">
        <v>7829</v>
      </c>
    </row>
    <row r="491" spans="1:1">
      <c r="A491" s="11" t="s">
        <v>7830</v>
      </c>
    </row>
    <row r="492" spans="1:1">
      <c r="A492" s="1" t="s">
        <v>7831</v>
      </c>
    </row>
    <row r="493" spans="1:1">
      <c r="A493" s="1" t="s">
        <v>7832</v>
      </c>
    </row>
    <row r="494" spans="1:1">
      <c r="A494" s="11" t="s">
        <v>7833</v>
      </c>
    </row>
    <row r="495" spans="1:1">
      <c r="A495" s="11" t="s">
        <v>7834</v>
      </c>
    </row>
    <row r="496" spans="1:1">
      <c r="A496" s="1" t="s">
        <v>7835</v>
      </c>
    </row>
    <row r="497" spans="1:1">
      <c r="A497" s="1" t="s">
        <v>7836</v>
      </c>
    </row>
    <row r="498" spans="1:1">
      <c r="A498" s="1" t="s">
        <v>7433</v>
      </c>
    </row>
    <row r="499" spans="1:1">
      <c r="A499" s="1" t="s">
        <v>7434</v>
      </c>
    </row>
    <row r="500" spans="1:1">
      <c r="A500" s="1" t="s">
        <v>7837</v>
      </c>
    </row>
    <row r="501" spans="1:1">
      <c r="A501" s="1" t="s">
        <v>7838</v>
      </c>
    </row>
    <row r="502" spans="1:1">
      <c r="A502" s="1" t="s">
        <v>7839</v>
      </c>
    </row>
    <row r="503" spans="1:1">
      <c r="A503" s="1" t="s">
        <v>7840</v>
      </c>
    </row>
    <row r="504" spans="1:1">
      <c r="A504" s="1" t="s">
        <v>7841</v>
      </c>
    </row>
    <row r="505" spans="1:1">
      <c r="A505" s="1" t="s">
        <v>7842</v>
      </c>
    </row>
    <row r="506" spans="1:1">
      <c r="A506" s="1" t="s">
        <v>7843</v>
      </c>
    </row>
    <row r="507" spans="1:1">
      <c r="A507" s="11" t="s">
        <v>7844</v>
      </c>
    </row>
    <row r="508" spans="1:1">
      <c r="A508" s="1" t="s">
        <v>7845</v>
      </c>
    </row>
    <row r="509" spans="1:1">
      <c r="A509" s="11" t="s">
        <v>7846</v>
      </c>
    </row>
    <row r="510" spans="1:1">
      <c r="A510" s="1" t="s">
        <v>7847</v>
      </c>
    </row>
    <row r="511" spans="1:1">
      <c r="A511" s="1" t="s">
        <v>7848</v>
      </c>
    </row>
    <row r="512" spans="1:1">
      <c r="A512" s="1" t="s">
        <v>7849</v>
      </c>
    </row>
    <row r="513" spans="1:1">
      <c r="A513" s="1" t="s">
        <v>7850</v>
      </c>
    </row>
    <row r="514" spans="1:1">
      <c r="A514" s="1" t="s">
        <v>7851</v>
      </c>
    </row>
    <row r="515" spans="1:1">
      <c r="A515" s="11" t="s">
        <v>7852</v>
      </c>
    </row>
    <row r="516" spans="1:1">
      <c r="A516" s="1" t="s">
        <v>7853</v>
      </c>
    </row>
    <row r="517" spans="1:1">
      <c r="A517" s="1" t="s">
        <v>7854</v>
      </c>
    </row>
    <row r="518" spans="1:1">
      <c r="A518" s="1" t="s">
        <v>6149</v>
      </c>
    </row>
    <row r="519" spans="1:1">
      <c r="A519" s="1" t="s">
        <v>7855</v>
      </c>
    </row>
    <row r="520" spans="1:1">
      <c r="A520" s="1" t="s">
        <v>1575</v>
      </c>
    </row>
    <row r="521" spans="1:1">
      <c r="A521" s="1" t="s">
        <v>4424</v>
      </c>
    </row>
    <row r="522" spans="1:1">
      <c r="A522" s="30" t="s">
        <v>7856</v>
      </c>
    </row>
    <row r="523" spans="1:1">
      <c r="A523" s="1" t="s">
        <v>7857</v>
      </c>
    </row>
    <row r="524" spans="1:1">
      <c r="A524" s="1" t="s">
        <v>2655</v>
      </c>
    </row>
    <row r="525" spans="1:1">
      <c r="A525" s="1" t="s">
        <v>3990</v>
      </c>
    </row>
    <row r="526" spans="1:1">
      <c r="A526" s="1" t="s">
        <v>7858</v>
      </c>
    </row>
    <row r="527" spans="1:1">
      <c r="A527" s="1" t="s">
        <v>7273</v>
      </c>
    </row>
    <row r="528" spans="1:1">
      <c r="A528" s="1" t="s">
        <v>671</v>
      </c>
    </row>
    <row r="529" spans="1:1">
      <c r="A529" s="1" t="s">
        <v>1069</v>
      </c>
    </row>
    <row r="530" spans="1:1">
      <c r="A530" s="1" t="s">
        <v>7859</v>
      </c>
    </row>
    <row r="531" spans="1:1">
      <c r="A531" s="1" t="s">
        <v>7860</v>
      </c>
    </row>
    <row r="532" spans="1:1">
      <c r="A532" s="1" t="s">
        <v>7861</v>
      </c>
    </row>
    <row r="533" spans="1:1">
      <c r="A533" s="1" t="s">
        <v>7862</v>
      </c>
    </row>
  </sheetData>
  <pageMargins left="0.7" right="0.7" top="0.75" bottom="0.75" header="0.3" footer="0.3"/>
  <tableParts count="50">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s>
</worksheet>
</file>

<file path=docMetadata/LabelInfo.xml><?xml version="1.0" encoding="utf-8"?>
<clbl:labelList xmlns:clbl="http://schemas.microsoft.com/office/2020/mipLabelMetadata">
  <clbl:label id="{3129b2cc-4393-4691-814d-95eb8359c06c}" enabled="1" method="Standard" siteId="{deff24bb-2089-4400-8c8e-f71e680378b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63</vt:i4>
      </vt:variant>
    </vt:vector>
  </HeadingPairs>
  <TitlesOfParts>
    <vt:vector size="66" baseType="lpstr">
      <vt:lpstr>Daily Operations Testimony</vt:lpstr>
      <vt:lpstr>Sheet1</vt:lpstr>
      <vt:lpstr>List</vt:lpstr>
      <vt:lpstr>ABGB</vt:lpstr>
      <vt:lpstr>AIOps</vt:lpstr>
      <vt:lpstr>Airtel_PaymentBank</vt:lpstr>
      <vt:lpstr>AirtelIQ</vt:lpstr>
      <vt:lpstr>AirtelPaymentBank</vt:lpstr>
      <vt:lpstr>AlertCategory</vt:lpstr>
      <vt:lpstr>Analytics</vt:lpstr>
      <vt:lpstr>ApplicationName</vt:lpstr>
      <vt:lpstr>Avoidance</vt:lpstr>
      <vt:lpstr>Broadband</vt:lpstr>
      <vt:lpstr>CaseNInteraction</vt:lpstr>
      <vt:lpstr>Category</vt:lpstr>
      <vt:lpstr>CategoryNew</vt:lpstr>
      <vt:lpstr>CCT</vt:lpstr>
      <vt:lpstr>Change</vt:lpstr>
      <vt:lpstr>DCInfra</vt:lpstr>
      <vt:lpstr>DCNetwork</vt:lpstr>
      <vt:lpstr>DeviceManagement</vt:lpstr>
      <vt:lpstr>DigitalAcquisition</vt:lpstr>
      <vt:lpstr>DigitalAcquisitionOps</vt:lpstr>
      <vt:lpstr>DigitalExperienceB2B</vt:lpstr>
      <vt:lpstr>DigitalExperienceB2C</vt:lpstr>
      <vt:lpstr>Domain</vt:lpstr>
      <vt:lpstr>DTH</vt:lpstr>
      <vt:lpstr>HowAvoided</vt:lpstr>
      <vt:lpstr>iFactory</vt:lpstr>
      <vt:lpstr>ImpactedBusinessService</vt:lpstr>
      <vt:lpstr>ImpactingLOB</vt:lpstr>
      <vt:lpstr>IncidentType</vt:lpstr>
      <vt:lpstr>InfraIssue</vt:lpstr>
      <vt:lpstr>Integration</vt:lpstr>
      <vt:lpstr>IntOps</vt:lpstr>
      <vt:lpstr>iOT</vt:lpstr>
      <vt:lpstr>IssueType</vt:lpstr>
      <vt:lpstr>Journey</vt:lpstr>
      <vt:lpstr>LOB</vt:lpstr>
      <vt:lpstr>Location</vt:lpstr>
      <vt:lpstr>Month</vt:lpstr>
      <vt:lpstr>NA</vt:lpstr>
      <vt:lpstr>NetworkDigitization</vt:lpstr>
      <vt:lpstr>NSG</vt:lpstr>
      <vt:lpstr>Nxtra</vt:lpstr>
      <vt:lpstr>PaymentBank</vt:lpstr>
      <vt:lpstr>Postpaid</vt:lpstr>
      <vt:lpstr>Prepaid</vt:lpstr>
      <vt:lpstr>PriorityMatrix</vt:lpstr>
      <vt:lpstr>ProcessandHygiene</vt:lpstr>
      <vt:lpstr>ProductIssue</vt:lpstr>
      <vt:lpstr>RCAStatus</vt:lpstr>
      <vt:lpstr>RepeatIssue</vt:lpstr>
      <vt:lpstr>Security</vt:lpstr>
      <vt:lpstr>Servicepath</vt:lpstr>
      <vt:lpstr>Sev</vt:lpstr>
      <vt:lpstr>Severity</vt:lpstr>
      <vt:lpstr>SeverityEventTicket</vt:lpstr>
      <vt:lpstr>SeverityType</vt:lpstr>
      <vt:lpstr>Status</vt:lpstr>
      <vt:lpstr>SupportingPartner</vt:lpstr>
      <vt:lpstr>Telemedia</vt:lpstr>
      <vt:lpstr>ThirdParty</vt:lpstr>
      <vt:lpstr>UNOC</vt:lpstr>
      <vt:lpstr>WYNK</vt:lpstr>
      <vt:lpstr>Xstream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Samir Sikri</dc:creator>
  <cp:lastModifiedBy>Patodia, Shobhit</cp:lastModifiedBy>
  <dcterms:created xsi:type="dcterms:W3CDTF">2021-10-29T11:32:42Z</dcterms:created>
  <dcterms:modified xsi:type="dcterms:W3CDTF">2026-09-07T11:46:45Z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0x010100FDB736E58B652840842DE5A11D643097</vt:lpwstr>
  </property>
</Properties>
</file>